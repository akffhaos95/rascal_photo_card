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2815\Desktop\재영\3. RASCAL\"/>
    </mc:Choice>
  </mc:AlternateContent>
  <xr:revisionPtr revIDLastSave="0" documentId="13_ncr:1_{CCE4E922-C25B-4204-BFB4-16DD3CB51450}" xr6:coauthVersionLast="47" xr6:coauthVersionMax="47" xr10:uidLastSave="{00000000-0000-0000-0000-000000000000}"/>
  <bookViews>
    <workbookView xWindow="-120" yWindow="-120" windowWidth="29040" windowHeight="15840" tabRatio="914" xr2:uid="{00000000-000D-0000-FFFF-FFFF00000000}"/>
  </bookViews>
  <sheets>
    <sheet name="Score-Pitcher" sheetId="10" r:id="rId1"/>
    <sheet name="Score-Batter" sheetId="11" r:id="rId2"/>
    <sheet name="Player" sheetId="12" r:id="rId3"/>
    <sheet name="통산 성적(~'23)" sheetId="1" state="hidden" r:id="rId4"/>
    <sheet name="시즌별 정리" sheetId="3" state="hidden" r:id="rId5"/>
    <sheet name="통산 성적(~'24) (김희제 포함)" sheetId="4" state="hidden" r:id="rId6"/>
    <sheet name="22년 샘프리그(22')" sheetId="5" state="hidden" r:id="rId7"/>
    <sheet name="22년 드림즈(23')" sheetId="6" state="hidden" r:id="rId8"/>
    <sheet name="23년 상반기 코모도(23')" sheetId="7" state="hidden" r:id="rId9"/>
    <sheet name="23년 디비전 리그(23')" sheetId="8" state="hidden" r:id="rId10"/>
    <sheet name="통산 성적(~'25)" sheetId="2" r:id="rId11"/>
    <sheet name="25년 시즌" sheetId="9" r:id="rId12"/>
    <sheet name="23 서구하반기('24)" sheetId="13" state="hidden" r:id="rId13"/>
    <sheet name="23 下코모도리그('24)" sheetId="14" state="hidden" r:id="rId14"/>
    <sheet name="24 上코모도리그('24)" sheetId="15" state="hidden" r:id="rId15"/>
    <sheet name="24 上디비전리그('24)" sheetId="16" state="hidden" r:id="rId16"/>
    <sheet name="24 下코모도(6-A)('25)" sheetId="17" r:id="rId17"/>
    <sheet name="24 下코모도(6-C)('25)" sheetId="18" r:id="rId18"/>
    <sheet name="25 上코모도(6-BB)('25)" sheetId="19" r:id="rId19"/>
    <sheet name="25 下디비전('26)" sheetId="20" state="hidden" r:id="rId20"/>
    <sheet name="22년 시즌" sheetId="21" r:id="rId21"/>
    <sheet name="23년 시즌" sheetId="22" r:id="rId22"/>
    <sheet name="24년 시즌" sheetId="23" r:id="rId23"/>
    <sheet name="팀짜보기" sheetId="24" state="hidden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0" l="1"/>
  <c r="D7" i="10"/>
  <c r="D6" i="10"/>
  <c r="D5" i="10"/>
  <c r="D4" i="10"/>
  <c r="D3" i="10"/>
  <c r="B3" i="10"/>
  <c r="B3" i="11"/>
  <c r="D3" i="11"/>
  <c r="E3" i="11"/>
  <c r="F3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E10" i="12"/>
  <c r="G8" i="10"/>
  <c r="G7" i="10"/>
  <c r="G6" i="10"/>
  <c r="G5" i="10"/>
  <c r="G4" i="10"/>
  <c r="G3" i="10"/>
  <c r="F4" i="10"/>
  <c r="F5" i="10"/>
  <c r="F6" i="10"/>
  <c r="F7" i="10"/>
  <c r="F8" i="10"/>
  <c r="F3" i="10"/>
  <c r="C8" i="10"/>
  <c r="C7" i="10"/>
  <c r="C6" i="10"/>
  <c r="C5" i="10"/>
  <c r="C4" i="10"/>
  <c r="C3" i="10"/>
  <c r="B4" i="10"/>
  <c r="B5" i="10"/>
  <c r="B6" i="10"/>
  <c r="B7" i="10"/>
  <c r="B8" i="10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3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P26" i="9" a="1"/>
  <c r="P26" i="9" s="1"/>
  <c r="Q26" i="9" a="1"/>
  <c r="Q26" i="9" s="1"/>
  <c r="R26" i="9" a="1"/>
  <c r="R26" i="9" s="1"/>
  <c r="T26" i="9" a="1"/>
  <c r="T26" i="9" s="1"/>
  <c r="P31" i="24" a="1"/>
  <c r="P31" i="24" s="1"/>
  <c r="Q31" i="24" s="1" a="1"/>
  <c r="Q31" i="24" s="1"/>
  <c r="O31" i="24" a="1"/>
  <c r="O31" i="24" s="1"/>
  <c r="N31" i="24" a="1"/>
  <c r="N31" i="24" s="1"/>
  <c r="M31" i="24" a="1"/>
  <c r="M31" i="24" s="1"/>
  <c r="L31" i="24" a="1"/>
  <c r="L31" i="24" s="1"/>
  <c r="R31" i="24" s="1" a="1"/>
  <c r="R31" i="24" s="1"/>
  <c r="K31" i="24" a="1"/>
  <c r="K31" i="24" s="1"/>
  <c r="J31" i="24" a="1"/>
  <c r="J31" i="24" s="1"/>
  <c r="S31" i="24" s="1" a="1"/>
  <c r="S31" i="24" s="1"/>
  <c r="I31" i="24" a="1"/>
  <c r="I31" i="24" s="1"/>
  <c r="H31" i="24" a="1"/>
  <c r="H31" i="24" s="1"/>
  <c r="G31" i="24" a="1"/>
  <c r="G31" i="24" s="1"/>
  <c r="F31" i="24" a="1"/>
  <c r="F31" i="24" s="1"/>
  <c r="E31" i="24" a="1"/>
  <c r="E31" i="24" s="1"/>
  <c r="D31" i="24" a="1"/>
  <c r="D31" i="24" s="1"/>
  <c r="C31" i="24" a="1"/>
  <c r="C31" i="24" s="1"/>
  <c r="T30" i="24" a="1"/>
  <c r="T30" i="24" s="1"/>
  <c r="S30" i="24" a="1"/>
  <c r="S30" i="24" s="1"/>
  <c r="R30" i="24" a="1"/>
  <c r="R30" i="24" s="1"/>
  <c r="Q30" i="24" a="1"/>
  <c r="Q30" i="24" s="1"/>
  <c r="T29" i="24" a="1"/>
  <c r="T29" i="24" s="1"/>
  <c r="S29" i="24" a="1"/>
  <c r="S29" i="24" s="1"/>
  <c r="R29" i="24" a="1"/>
  <c r="R29" i="24" s="1"/>
  <c r="Q29" i="24" a="1"/>
  <c r="Q29" i="24" s="1"/>
  <c r="T28" i="24" a="1"/>
  <c r="T28" i="24" s="1"/>
  <c r="S28" i="24" a="1"/>
  <c r="S28" i="24" s="1"/>
  <c r="R28" i="24" a="1"/>
  <c r="R28" i="24" s="1"/>
  <c r="Q28" i="24" a="1"/>
  <c r="Q28" i="24" s="1"/>
  <c r="T27" i="24" a="1"/>
  <c r="T27" i="24" s="1"/>
  <c r="S27" i="24" a="1"/>
  <c r="S27" i="24" s="1"/>
  <c r="R27" i="24" a="1"/>
  <c r="R27" i="24" s="1"/>
  <c r="Q27" i="24" a="1"/>
  <c r="Q27" i="24" s="1"/>
  <c r="T26" i="24" a="1"/>
  <c r="T26" i="24" s="1"/>
  <c r="S26" i="24" a="1"/>
  <c r="S26" i="24" s="1"/>
  <c r="R26" i="24" a="1"/>
  <c r="R26" i="24" s="1"/>
  <c r="Q26" i="24" a="1"/>
  <c r="Q26" i="24" s="1"/>
  <c r="R22" i="24" a="1"/>
  <c r="R22" i="24" s="1"/>
  <c r="P22" i="24" a="1"/>
  <c r="P22" i="24" s="1"/>
  <c r="O22" i="24" a="1"/>
  <c r="O22" i="24" s="1"/>
  <c r="N22" i="24" a="1"/>
  <c r="N22" i="24" s="1"/>
  <c r="M22" i="24" a="1"/>
  <c r="M22" i="24" s="1"/>
  <c r="L22" i="24" a="1"/>
  <c r="L22" i="24" s="1"/>
  <c r="K22" i="24" a="1"/>
  <c r="K22" i="24" s="1"/>
  <c r="J22" i="24" a="1"/>
  <c r="J22" i="24" s="1"/>
  <c r="I22" i="24" a="1"/>
  <c r="I22" i="24" s="1"/>
  <c r="H22" i="24" a="1"/>
  <c r="H22" i="24" s="1"/>
  <c r="G22" i="24" a="1"/>
  <c r="G22" i="24" s="1"/>
  <c r="D22" i="24" s="1" a="1"/>
  <c r="D22" i="24" s="1"/>
  <c r="F22" i="24" a="1"/>
  <c r="F22" i="24" s="1"/>
  <c r="E22" i="24" a="1"/>
  <c r="E22" i="24" s="1"/>
  <c r="S21" i="24" a="1"/>
  <c r="S21" i="24" s="1"/>
  <c r="T21" i="24" s="1" a="1"/>
  <c r="T21" i="24" s="1"/>
  <c r="R21" i="24" a="1"/>
  <c r="R21" i="24" s="1"/>
  <c r="Q21" i="24" a="1"/>
  <c r="Q21" i="24" s="1"/>
  <c r="D21" i="24" a="1"/>
  <c r="D21" i="24" s="1"/>
  <c r="S20" i="24" a="1"/>
  <c r="S20" i="24" s="1"/>
  <c r="T20" i="24" s="1" a="1"/>
  <c r="T20" i="24" s="1"/>
  <c r="R20" i="24" a="1"/>
  <c r="R20" i="24" s="1"/>
  <c r="Q20" i="24" a="1"/>
  <c r="Q20" i="24" s="1"/>
  <c r="D20" i="24" a="1"/>
  <c r="D20" i="24" s="1"/>
  <c r="S19" i="24" a="1"/>
  <c r="S19" i="24" s="1"/>
  <c r="T19" i="24" s="1" a="1"/>
  <c r="T19" i="24" s="1"/>
  <c r="R19" i="24" a="1"/>
  <c r="R19" i="24" s="1"/>
  <c r="Q19" i="24" a="1"/>
  <c r="Q19" i="24" s="1"/>
  <c r="D19" i="24" a="1"/>
  <c r="D19" i="24" s="1"/>
  <c r="S18" i="24" a="1"/>
  <c r="S18" i="24" s="1"/>
  <c r="T18" i="24" s="1" a="1"/>
  <c r="T18" i="24" s="1"/>
  <c r="R18" i="24" a="1"/>
  <c r="R18" i="24" s="1"/>
  <c r="Q18" i="24" a="1"/>
  <c r="Q18" i="24" s="1"/>
  <c r="D18" i="24" a="1"/>
  <c r="D18" i="24" s="1"/>
  <c r="S17" i="24" a="1"/>
  <c r="S17" i="24" s="1"/>
  <c r="T17" i="24" s="1" a="1"/>
  <c r="T17" i="24" s="1"/>
  <c r="R17" i="24" a="1"/>
  <c r="R17" i="24" s="1"/>
  <c r="Q17" i="24" a="1"/>
  <c r="Q17" i="24" s="1"/>
  <c r="D17" i="24" a="1"/>
  <c r="D17" i="24" s="1"/>
  <c r="T16" i="24" a="1"/>
  <c r="T16" i="24" s="1"/>
  <c r="S16" i="24" a="1"/>
  <c r="S16" i="24" s="1"/>
  <c r="R16" i="24" a="1"/>
  <c r="R16" i="24" s="1"/>
  <c r="Q16" i="24" a="1"/>
  <c r="Q16" i="24" s="1"/>
  <c r="D16" i="24" a="1"/>
  <c r="D16" i="24" s="1"/>
  <c r="T15" i="24" a="1"/>
  <c r="T15" i="24" s="1"/>
  <c r="S15" i="24" a="1"/>
  <c r="S15" i="24" s="1"/>
  <c r="R15" i="24" a="1"/>
  <c r="R15" i="24" s="1"/>
  <c r="Q15" i="24" a="1"/>
  <c r="Q15" i="24" s="1"/>
  <c r="D15" i="24" a="1"/>
  <c r="D15" i="24" s="1"/>
  <c r="S14" i="24" a="1"/>
  <c r="S14" i="24" s="1"/>
  <c r="T14" i="24" s="1" a="1"/>
  <c r="T14" i="24" s="1"/>
  <c r="R14" i="24" a="1"/>
  <c r="R14" i="24" s="1"/>
  <c r="Q14" i="24" a="1"/>
  <c r="Q14" i="24" s="1"/>
  <c r="D14" i="24" a="1"/>
  <c r="D14" i="24" s="1"/>
  <c r="S13" i="24" a="1"/>
  <c r="S13" i="24" s="1"/>
  <c r="T13" i="24" s="1" a="1"/>
  <c r="T13" i="24" s="1"/>
  <c r="R13" i="24" a="1"/>
  <c r="R13" i="24" s="1"/>
  <c r="Q13" i="24" a="1"/>
  <c r="Q13" i="24" s="1"/>
  <c r="D13" i="24" a="1"/>
  <c r="D13" i="24" s="1"/>
  <c r="S12" i="24" a="1"/>
  <c r="S12" i="24" s="1"/>
  <c r="T12" i="24" s="1" a="1"/>
  <c r="T12" i="24" s="1"/>
  <c r="R12" i="24" a="1"/>
  <c r="R12" i="24" s="1"/>
  <c r="Q12" i="24" a="1"/>
  <c r="Q12" i="24" s="1"/>
  <c r="D12" i="24" a="1"/>
  <c r="D12" i="24" s="1"/>
  <c r="S11" i="24" a="1"/>
  <c r="S11" i="24" s="1"/>
  <c r="T11" i="24" s="1" a="1"/>
  <c r="T11" i="24" s="1"/>
  <c r="R11" i="24" a="1"/>
  <c r="R11" i="24" s="1"/>
  <c r="Q11" i="24" a="1"/>
  <c r="Q11" i="24" s="1"/>
  <c r="D11" i="24" a="1"/>
  <c r="D11" i="24" s="1"/>
  <c r="S10" i="24" a="1"/>
  <c r="S10" i="24" s="1"/>
  <c r="R10" i="24" a="1"/>
  <c r="R10" i="24" s="1"/>
  <c r="Q10" i="24" a="1"/>
  <c r="Q10" i="24" s="1"/>
  <c r="D10" i="24" a="1"/>
  <c r="D10" i="24" s="1"/>
  <c r="S9" i="24" a="1"/>
  <c r="S9" i="24" s="1"/>
  <c r="R9" i="24" a="1"/>
  <c r="R9" i="24" s="1"/>
  <c r="Q9" i="24" a="1"/>
  <c r="Q9" i="24" s="1"/>
  <c r="D9" i="24" a="1"/>
  <c r="D9" i="24" s="1"/>
  <c r="T8" i="24" a="1"/>
  <c r="T8" i="24" s="1"/>
  <c r="S8" i="24" a="1"/>
  <c r="S8" i="24" s="1"/>
  <c r="R8" i="24" a="1"/>
  <c r="R8" i="24" s="1"/>
  <c r="Q8" i="24" a="1"/>
  <c r="Q8" i="24" s="1"/>
  <c r="D8" i="24" a="1"/>
  <c r="D8" i="24" s="1"/>
  <c r="T7" i="24" a="1"/>
  <c r="T7" i="24" s="1"/>
  <c r="S7" i="24" a="1"/>
  <c r="S7" i="24" s="1"/>
  <c r="R7" i="24" a="1"/>
  <c r="R7" i="24" s="1"/>
  <c r="Q7" i="24" a="1"/>
  <c r="Q7" i="24" s="1"/>
  <c r="D7" i="24" a="1"/>
  <c r="D7" i="24" s="1"/>
  <c r="S6" i="24" a="1"/>
  <c r="S6" i="24" s="1"/>
  <c r="T6" i="24" s="1" a="1"/>
  <c r="T6" i="24" s="1"/>
  <c r="R6" i="24" a="1"/>
  <c r="R6" i="24" s="1"/>
  <c r="Q6" i="24" a="1"/>
  <c r="Q6" i="24" s="1"/>
  <c r="D6" i="24" a="1"/>
  <c r="D6" i="24" s="1"/>
  <c r="S5" i="24" a="1"/>
  <c r="S5" i="24" s="1"/>
  <c r="T5" i="24" s="1" a="1"/>
  <c r="T5" i="24" s="1"/>
  <c r="R5" i="24" a="1"/>
  <c r="R5" i="24" s="1"/>
  <c r="Q5" i="24" a="1"/>
  <c r="Q5" i="24" s="1"/>
  <c r="D5" i="24" a="1"/>
  <c r="D5" i="24" s="1"/>
  <c r="S4" i="24" a="1"/>
  <c r="S4" i="24" s="1"/>
  <c r="T4" i="24" s="1" a="1"/>
  <c r="T4" i="24" s="1"/>
  <c r="R4" i="24" a="1"/>
  <c r="R4" i="24" s="1"/>
  <c r="Q4" i="24" a="1"/>
  <c r="Q4" i="24" s="1"/>
  <c r="D4" i="24" a="1"/>
  <c r="D4" i="24" s="1"/>
  <c r="R38" i="23" a="1"/>
  <c r="R38" i="23" s="1"/>
  <c r="O38" i="23" a="1"/>
  <c r="O38" i="23" s="1"/>
  <c r="N38" i="23" a="1"/>
  <c r="N38" i="23" s="1"/>
  <c r="M38" i="23" a="1"/>
  <c r="M38" i="23" s="1"/>
  <c r="T38" i="23" s="1" a="1"/>
  <c r="T38" i="23" s="1"/>
  <c r="L38" i="23" a="1"/>
  <c r="L38" i="23" s="1"/>
  <c r="K38" i="23" a="1"/>
  <c r="K38" i="23" s="1"/>
  <c r="Q38" i="23" s="1" a="1"/>
  <c r="Q38" i="23" s="1"/>
  <c r="J38" i="23" a="1"/>
  <c r="J38" i="23" s="1"/>
  <c r="I38" i="23" a="1"/>
  <c r="I38" i="23" s="1"/>
  <c r="H38" i="23" a="1"/>
  <c r="H38" i="23" s="1"/>
  <c r="G38" i="23" a="1"/>
  <c r="G38" i="23" s="1"/>
  <c r="F38" i="23" a="1"/>
  <c r="F38" i="23" s="1"/>
  <c r="E38" i="23" a="1"/>
  <c r="E38" i="23" s="1"/>
  <c r="D38" i="23" a="1"/>
  <c r="D38" i="23" s="1"/>
  <c r="C38" i="23" a="1"/>
  <c r="C38" i="23" s="1"/>
  <c r="X37" i="23" a="1"/>
  <c r="X37" i="23" s="1"/>
  <c r="V37" i="23" a="1"/>
  <c r="V37" i="23" s="1"/>
  <c r="U37" i="23" a="1"/>
  <c r="U37" i="23" s="1"/>
  <c r="T37" i="23" a="1"/>
  <c r="T37" i="23" s="1"/>
  <c r="S37" i="23" a="1"/>
  <c r="S37" i="23" s="1"/>
  <c r="R37" i="23" a="1"/>
  <c r="R37" i="23" s="1"/>
  <c r="Q37" i="23" a="1"/>
  <c r="Q37" i="23" s="1"/>
  <c r="P37" i="23" a="1"/>
  <c r="P37" i="23" s="1"/>
  <c r="X36" i="23" a="1"/>
  <c r="X36" i="23" s="1"/>
  <c r="V36" i="23" a="1"/>
  <c r="V36" i="23" s="1"/>
  <c r="U36" i="23" a="1"/>
  <c r="U36" i="23" s="1"/>
  <c r="T36" i="23" a="1"/>
  <c r="T36" i="23" s="1"/>
  <c r="S36" i="23" a="1"/>
  <c r="S36" i="23" s="1"/>
  <c r="R36" i="23" a="1"/>
  <c r="R36" i="23" s="1"/>
  <c r="Q36" i="23" a="1"/>
  <c r="Q36" i="23" s="1"/>
  <c r="P36" i="23" a="1"/>
  <c r="P36" i="23" s="1"/>
  <c r="X35" i="23" a="1"/>
  <c r="X35" i="23" s="1"/>
  <c r="V35" i="23" a="1"/>
  <c r="V35" i="23" s="1"/>
  <c r="U35" i="23" a="1"/>
  <c r="U35" i="23" s="1"/>
  <c r="T35" i="23" a="1"/>
  <c r="T35" i="23" s="1"/>
  <c r="S35" i="23" a="1"/>
  <c r="S35" i="23" s="1"/>
  <c r="R35" i="23" a="1"/>
  <c r="R35" i="23" s="1"/>
  <c r="Q35" i="23" a="1"/>
  <c r="Q35" i="23" s="1"/>
  <c r="P35" i="23" a="1"/>
  <c r="P35" i="23" s="1"/>
  <c r="X34" i="23" a="1"/>
  <c r="X34" i="23" s="1"/>
  <c r="V34" i="23" a="1"/>
  <c r="V34" i="23" s="1"/>
  <c r="U34" i="23" a="1"/>
  <c r="U34" i="23" s="1"/>
  <c r="T34" i="23" a="1"/>
  <c r="T34" i="23" s="1"/>
  <c r="S34" i="23" a="1"/>
  <c r="S34" i="23" s="1"/>
  <c r="R34" i="23" a="1"/>
  <c r="R34" i="23" s="1"/>
  <c r="Q34" i="23" a="1"/>
  <c r="Q34" i="23" s="1"/>
  <c r="P34" i="23" a="1"/>
  <c r="P34" i="23" s="1"/>
  <c r="X33" i="23" a="1"/>
  <c r="X33" i="23" s="1"/>
  <c r="V33" i="23" a="1"/>
  <c r="V33" i="23" s="1"/>
  <c r="U33" i="23" a="1"/>
  <c r="U33" i="23" s="1"/>
  <c r="T33" i="23" a="1"/>
  <c r="T33" i="23" s="1"/>
  <c r="S33" i="23" a="1"/>
  <c r="S33" i="23" s="1"/>
  <c r="R33" i="23" a="1"/>
  <c r="R33" i="23" s="1"/>
  <c r="Q33" i="23" a="1"/>
  <c r="Q33" i="23" s="1"/>
  <c r="P33" i="23" a="1"/>
  <c r="P33" i="23" s="1"/>
  <c r="X32" i="23" a="1"/>
  <c r="X32" i="23" s="1"/>
  <c r="P32" i="23" a="1"/>
  <c r="P32" i="23" s="1"/>
  <c r="X31" i="23" a="1"/>
  <c r="X31" i="23" s="1"/>
  <c r="V31" i="23" a="1"/>
  <c r="V31" i="23" s="1"/>
  <c r="U31" i="23" a="1"/>
  <c r="U31" i="23" s="1"/>
  <c r="T31" i="23" a="1"/>
  <c r="T31" i="23" s="1"/>
  <c r="S31" i="23" a="1"/>
  <c r="S31" i="23" s="1"/>
  <c r="R31" i="23" a="1"/>
  <c r="R31" i="23" s="1"/>
  <c r="Q31" i="23" a="1"/>
  <c r="Q31" i="23" s="1"/>
  <c r="P31" i="23" a="1"/>
  <c r="P31" i="23" s="1"/>
  <c r="X30" i="23" a="1"/>
  <c r="X30" i="23" s="1"/>
  <c r="V30" i="23" a="1"/>
  <c r="V30" i="23" s="1"/>
  <c r="U30" i="23" a="1"/>
  <c r="U30" i="23" s="1"/>
  <c r="T30" i="23" a="1"/>
  <c r="T30" i="23" s="1"/>
  <c r="S30" i="23" a="1"/>
  <c r="S30" i="23" s="1"/>
  <c r="R30" i="23" a="1"/>
  <c r="R30" i="23" s="1"/>
  <c r="Q30" i="23" a="1"/>
  <c r="Q30" i="23" s="1"/>
  <c r="P30" i="23" a="1"/>
  <c r="P30" i="23" s="1"/>
  <c r="V29" i="23" a="1"/>
  <c r="V29" i="23" s="1"/>
  <c r="U29" i="23" a="1"/>
  <c r="U29" i="23" s="1"/>
  <c r="T29" i="23" a="1"/>
  <c r="T29" i="23" s="1"/>
  <c r="S29" i="23" a="1"/>
  <c r="S29" i="23" s="1"/>
  <c r="R29" i="23" a="1"/>
  <c r="R29" i="23" s="1"/>
  <c r="Q29" i="23" a="1"/>
  <c r="Q29" i="23" s="1"/>
  <c r="X28" i="23" a="1"/>
  <c r="X28" i="23" s="1"/>
  <c r="V28" i="23" a="1"/>
  <c r="V28" i="23" s="1"/>
  <c r="U28" i="23" a="1"/>
  <c r="U28" i="23" s="1"/>
  <c r="T28" i="23" a="1"/>
  <c r="T28" i="23" s="1"/>
  <c r="S28" i="23" a="1"/>
  <c r="S28" i="23" s="1"/>
  <c r="R28" i="23" a="1"/>
  <c r="R28" i="23" s="1"/>
  <c r="Q28" i="23" a="1"/>
  <c r="Q28" i="23" s="1"/>
  <c r="P28" i="23" a="1"/>
  <c r="P28" i="23" s="1"/>
  <c r="W24" i="23" a="1"/>
  <c r="W24" i="23" s="1"/>
  <c r="O24" i="23" a="1"/>
  <c r="O24" i="23" s="1"/>
  <c r="P24" i="23" s="1" a="1"/>
  <c r="P24" i="23" s="1"/>
  <c r="N24" i="23" a="1"/>
  <c r="N24" i="23" s="1"/>
  <c r="M24" i="23" a="1"/>
  <c r="M24" i="23" s="1"/>
  <c r="L24" i="23" a="1"/>
  <c r="L24" i="23" s="1"/>
  <c r="K24" i="23" a="1"/>
  <c r="K24" i="23" s="1"/>
  <c r="J24" i="23" a="1"/>
  <c r="J24" i="23" s="1"/>
  <c r="I24" i="23" a="1"/>
  <c r="I24" i="23" s="1"/>
  <c r="H24" i="23" a="1"/>
  <c r="H24" i="23" s="1"/>
  <c r="G24" i="23" a="1"/>
  <c r="G24" i="23" s="1"/>
  <c r="F24" i="23" a="1"/>
  <c r="F24" i="23" s="1"/>
  <c r="E24" i="23" a="1"/>
  <c r="E24" i="23" s="1"/>
  <c r="D24" i="23" a="1"/>
  <c r="D24" i="23" s="1"/>
  <c r="C24" i="23" a="1"/>
  <c r="C24" i="23" s="1"/>
  <c r="Z23" i="23" a="1"/>
  <c r="Z23" i="23"/>
  <c r="T23" i="23" a="1"/>
  <c r="T23" i="23"/>
  <c r="R23" i="23" a="1"/>
  <c r="R23" i="23" s="1"/>
  <c r="S23" i="23" s="1" a="1"/>
  <c r="S23" i="23" s="1"/>
  <c r="Q23" i="23" a="1"/>
  <c r="Q23" i="23" s="1"/>
  <c r="P23" i="23" a="1"/>
  <c r="P23" i="23" s="1"/>
  <c r="C23" i="23" a="1"/>
  <c r="C23" i="23" s="1"/>
  <c r="Z22" i="23" a="1"/>
  <c r="Z22" i="23" s="1"/>
  <c r="T22" i="23" a="1"/>
  <c r="T22" i="23" s="1"/>
  <c r="R22" i="23" a="1"/>
  <c r="R22" i="23" s="1"/>
  <c r="Q22" i="23" a="1"/>
  <c r="Q22" i="23" s="1"/>
  <c r="P22" i="23" a="1"/>
  <c r="P22" i="23" s="1"/>
  <c r="C22" i="23" a="1"/>
  <c r="C22" i="23" s="1"/>
  <c r="Z21" i="23" a="1"/>
  <c r="Z21" i="23"/>
  <c r="T21" i="23" a="1"/>
  <c r="T21" i="23" s="1"/>
  <c r="R21" i="23" a="1"/>
  <c r="R21" i="23"/>
  <c r="S21" i="23" s="1" a="1"/>
  <c r="S21" i="23" s="1"/>
  <c r="Q21" i="23" a="1"/>
  <c r="Q21" i="23" s="1"/>
  <c r="P21" i="23" a="1"/>
  <c r="P21" i="23"/>
  <c r="C21" i="23" a="1"/>
  <c r="C21" i="23" s="1"/>
  <c r="Z20" i="23" a="1"/>
  <c r="Z20" i="23" s="1"/>
  <c r="T20" i="23" a="1"/>
  <c r="T20" i="23" s="1"/>
  <c r="S20" i="23"/>
  <c r="R20" i="23" a="1"/>
  <c r="R20" i="23" s="1"/>
  <c r="S20" i="23" s="1" a="1"/>
  <c r="Q20" i="23" a="1"/>
  <c r="Q20" i="23"/>
  <c r="P20" i="23" a="1"/>
  <c r="P20" i="23" s="1"/>
  <c r="C20" i="23" a="1"/>
  <c r="C20" i="23" s="1"/>
  <c r="Z19" i="23" a="1"/>
  <c r="Z19" i="23"/>
  <c r="T19" i="23" a="1"/>
  <c r="T19" i="23"/>
  <c r="R19" i="23" a="1"/>
  <c r="R19" i="23" s="1"/>
  <c r="Q19" i="23" a="1"/>
  <c r="Q19" i="23" s="1"/>
  <c r="P19" i="23" a="1"/>
  <c r="P19" i="23" s="1"/>
  <c r="C19" i="23" a="1"/>
  <c r="C19" i="23" s="1"/>
  <c r="Z18" i="23" a="1"/>
  <c r="Z18" i="23" s="1"/>
  <c r="T18" i="23" a="1"/>
  <c r="T18" i="23" s="1"/>
  <c r="S18" i="23" a="1"/>
  <c r="S18" i="23" s="1"/>
  <c r="R18" i="23" a="1"/>
  <c r="R18" i="23" s="1"/>
  <c r="Q18" i="23" a="1"/>
  <c r="Q18" i="23"/>
  <c r="P18" i="23" a="1"/>
  <c r="P18" i="23" s="1"/>
  <c r="C18" i="23" a="1"/>
  <c r="C18" i="23"/>
  <c r="Z17" i="23" a="1"/>
  <c r="Z17" i="23" s="1"/>
  <c r="T17" i="23" a="1"/>
  <c r="T17" i="23"/>
  <c r="S17" i="23" a="1"/>
  <c r="S17" i="23" s="1"/>
  <c r="R17" i="23" a="1"/>
  <c r="R17" i="23"/>
  <c r="Q17" i="23" a="1"/>
  <c r="Q17" i="23" s="1"/>
  <c r="P17" i="23" a="1"/>
  <c r="P17" i="23" s="1"/>
  <c r="C17" i="23" a="1"/>
  <c r="C17" i="23" s="1"/>
  <c r="Z16" i="23" a="1"/>
  <c r="Z16" i="23" s="1"/>
  <c r="T16" i="23" a="1"/>
  <c r="T16" i="23" s="1"/>
  <c r="R16" i="23" a="1"/>
  <c r="R16" i="23" s="1"/>
  <c r="Q16" i="23" a="1"/>
  <c r="Q16" i="23" s="1"/>
  <c r="S16" i="23" s="1" a="1"/>
  <c r="S16" i="23" s="1"/>
  <c r="P16" i="23" a="1"/>
  <c r="P16" i="23" s="1"/>
  <c r="C16" i="23" a="1"/>
  <c r="C16" i="23" s="1"/>
  <c r="Z15" i="23" a="1"/>
  <c r="Z15" i="23"/>
  <c r="T15" i="23" a="1"/>
  <c r="T15" i="23"/>
  <c r="R15" i="23" a="1"/>
  <c r="R15" i="23" s="1"/>
  <c r="Q15" i="23" a="1"/>
  <c r="Q15" i="23" s="1"/>
  <c r="P15" i="23" a="1"/>
  <c r="P15" i="23"/>
  <c r="C15" i="23" a="1"/>
  <c r="C15" i="23"/>
  <c r="Z14" i="23" a="1"/>
  <c r="Z14" i="23" s="1"/>
  <c r="T14" i="23" a="1"/>
  <c r="T14" i="23" s="1"/>
  <c r="R14" i="23" a="1"/>
  <c r="R14" i="23"/>
  <c r="Q14" i="23" a="1"/>
  <c r="Q14" i="23" s="1"/>
  <c r="P14" i="23" a="1"/>
  <c r="P14" i="23" s="1"/>
  <c r="C14" i="23" a="1"/>
  <c r="C14" i="23"/>
  <c r="Z13" i="23" a="1"/>
  <c r="Z13" i="23" s="1"/>
  <c r="T13" i="23" a="1"/>
  <c r="T13" i="23" s="1"/>
  <c r="R13" i="23" a="1"/>
  <c r="R13" i="23" s="1"/>
  <c r="Q13" i="23" a="1"/>
  <c r="Q13" i="23"/>
  <c r="P13" i="23" a="1"/>
  <c r="P13" i="23" s="1"/>
  <c r="C13" i="23" a="1"/>
  <c r="C13" i="23" s="1"/>
  <c r="Z12" i="23" a="1"/>
  <c r="Z12" i="23"/>
  <c r="T12" i="23" a="1"/>
  <c r="T12" i="23" s="1"/>
  <c r="R12" i="23" a="1"/>
  <c r="R12" i="23" s="1"/>
  <c r="Q12" i="23" a="1"/>
  <c r="Q12" i="23" s="1"/>
  <c r="P12" i="23" a="1"/>
  <c r="P12" i="23" s="1"/>
  <c r="C12" i="23" a="1"/>
  <c r="C12" i="23"/>
  <c r="Z11" i="23" a="1"/>
  <c r="Z11" i="23" s="1"/>
  <c r="T11" i="23" a="1"/>
  <c r="T11" i="23"/>
  <c r="R11" i="23" a="1"/>
  <c r="R11" i="23" s="1"/>
  <c r="Q11" i="23" a="1"/>
  <c r="Q11" i="23" s="1"/>
  <c r="P11" i="23" a="1"/>
  <c r="P11" i="23"/>
  <c r="C11" i="23" a="1"/>
  <c r="C11" i="23" s="1"/>
  <c r="X11" i="23" s="1" a="1"/>
  <c r="X11" i="23" s="1"/>
  <c r="Z10" i="23" a="1"/>
  <c r="Z10" i="23" s="1"/>
  <c r="AA10" i="23" s="1" a="1"/>
  <c r="AA10" i="23" s="1"/>
  <c r="T10" i="23" a="1"/>
  <c r="T10" i="23" s="1"/>
  <c r="R10" i="23" a="1"/>
  <c r="R10" i="23"/>
  <c r="Q10" i="23" a="1"/>
  <c r="Q10" i="23" s="1"/>
  <c r="S10" i="23" s="1" a="1"/>
  <c r="S10" i="23" s="1"/>
  <c r="P10" i="23" a="1"/>
  <c r="P10" i="23" s="1"/>
  <c r="C10" i="23" a="1"/>
  <c r="C10" i="23" s="1"/>
  <c r="Z9" i="23" a="1"/>
  <c r="Z9" i="23"/>
  <c r="AA9" i="23" s="1" a="1"/>
  <c r="AA9" i="23" s="1"/>
  <c r="T9" i="23" a="1"/>
  <c r="T9" i="23"/>
  <c r="R9" i="23" a="1"/>
  <c r="R9" i="23"/>
  <c r="Q9" i="23" a="1"/>
  <c r="Q9" i="23" s="1"/>
  <c r="S9" i="23" s="1" a="1"/>
  <c r="S9" i="23" s="1"/>
  <c r="P9" i="23" a="1"/>
  <c r="P9" i="23"/>
  <c r="C9" i="23" a="1"/>
  <c r="C9" i="23" s="1"/>
  <c r="Z8" i="23" a="1"/>
  <c r="Z8" i="23"/>
  <c r="T8" i="23" a="1"/>
  <c r="T8" i="23"/>
  <c r="R8" i="23" a="1"/>
  <c r="R8" i="23" s="1"/>
  <c r="Q8" i="23" a="1"/>
  <c r="Q8" i="23"/>
  <c r="S8" i="23" s="1" a="1"/>
  <c r="S8" i="23" s="1"/>
  <c r="P8" i="23" a="1"/>
  <c r="P8" i="23" s="1"/>
  <c r="C8" i="23" a="1"/>
  <c r="C8" i="23"/>
  <c r="Z7" i="23" a="1"/>
  <c r="Z7" i="23"/>
  <c r="T7" i="23" a="1"/>
  <c r="T7" i="23" s="1"/>
  <c r="R7" i="23" a="1"/>
  <c r="R7" i="23" s="1"/>
  <c r="Q7" i="23" a="1"/>
  <c r="Q7" i="23" s="1"/>
  <c r="P7" i="23" a="1"/>
  <c r="P7" i="23"/>
  <c r="C7" i="23" a="1"/>
  <c r="C7" i="23"/>
  <c r="Z6" i="23" a="1"/>
  <c r="Z6" i="23" s="1"/>
  <c r="T6" i="23" a="1"/>
  <c r="T6" i="23" s="1"/>
  <c r="R6" i="23" a="1"/>
  <c r="R6" i="23"/>
  <c r="Q6" i="23" a="1"/>
  <c r="Q6" i="23"/>
  <c r="P6" i="23" a="1"/>
  <c r="P6" i="23" s="1"/>
  <c r="C6" i="23" a="1"/>
  <c r="C6" i="23" s="1"/>
  <c r="Z5" i="23" a="1"/>
  <c r="Z5" i="23" s="1"/>
  <c r="T5" i="23" a="1"/>
  <c r="T5" i="23"/>
  <c r="R5" i="23" a="1"/>
  <c r="R5" i="23"/>
  <c r="Q5" i="23" a="1"/>
  <c r="Q5" i="23" s="1"/>
  <c r="P5" i="23" a="1"/>
  <c r="P5" i="23"/>
  <c r="C5" i="23" a="1"/>
  <c r="C5" i="23" s="1"/>
  <c r="Z4" i="23" a="1"/>
  <c r="Z4" i="23" s="1"/>
  <c r="T4" i="23" a="1"/>
  <c r="T4" i="23"/>
  <c r="R4" i="23" a="1"/>
  <c r="R4" i="23" s="1"/>
  <c r="Q4" i="23" a="1"/>
  <c r="Q4" i="23"/>
  <c r="S4" i="23" s="1" a="1"/>
  <c r="S4" i="23" s="1"/>
  <c r="P4" i="23" a="1"/>
  <c r="P4" i="23"/>
  <c r="C4" i="23" a="1"/>
  <c r="C4" i="23" s="1"/>
  <c r="O37" i="22" a="1"/>
  <c r="O37" i="22" s="1"/>
  <c r="N37" i="22" a="1"/>
  <c r="N37" i="22"/>
  <c r="M37" i="22" a="1"/>
  <c r="M37" i="22" s="1"/>
  <c r="T37" i="22" s="1" a="1"/>
  <c r="T37" i="22" s="1"/>
  <c r="L37" i="22" a="1"/>
  <c r="L37" i="22" s="1"/>
  <c r="K37" i="22" a="1"/>
  <c r="K37" i="22"/>
  <c r="Q37" i="22" s="1" a="1"/>
  <c r="Q37" i="22" s="1"/>
  <c r="J37" i="22" a="1"/>
  <c r="J37" i="22" s="1"/>
  <c r="I37" i="22" a="1"/>
  <c r="I37" i="22" s="1"/>
  <c r="H37" i="22" a="1"/>
  <c r="H37" i="22" s="1"/>
  <c r="G37" i="22" a="1"/>
  <c r="G37" i="22"/>
  <c r="F37" i="22" a="1"/>
  <c r="F37" i="22"/>
  <c r="E37" i="22" a="1"/>
  <c r="E37" i="22" s="1"/>
  <c r="D37" i="22" a="1"/>
  <c r="D37" i="22"/>
  <c r="C37" i="22" a="1"/>
  <c r="C37" i="22" s="1"/>
  <c r="X36" i="22" a="1"/>
  <c r="X36" i="22"/>
  <c r="V36" i="22" a="1"/>
  <c r="V36" i="22" s="1"/>
  <c r="U36" i="22" a="1"/>
  <c r="U36" i="22"/>
  <c r="T36" i="22" a="1"/>
  <c r="T36" i="22" s="1"/>
  <c r="S36" i="22" a="1"/>
  <c r="S36" i="22"/>
  <c r="R36" i="22" a="1"/>
  <c r="R36" i="22" s="1"/>
  <c r="Q36" i="22" a="1"/>
  <c r="Q36" i="22" s="1"/>
  <c r="P36" i="22" a="1"/>
  <c r="P36" i="22"/>
  <c r="X35" i="22" a="1"/>
  <c r="X35" i="22" s="1"/>
  <c r="V35" i="22" a="1"/>
  <c r="V35" i="22" s="1"/>
  <c r="U35" i="22" a="1"/>
  <c r="U35" i="22"/>
  <c r="T35" i="22" a="1"/>
  <c r="T35" i="22"/>
  <c r="S35" i="22" a="1"/>
  <c r="S35" i="22" s="1"/>
  <c r="R35" i="22" a="1"/>
  <c r="R35" i="22" s="1"/>
  <c r="Q35" i="22" a="1"/>
  <c r="Q35" i="22"/>
  <c r="P35" i="22" a="1"/>
  <c r="P35" i="22" s="1"/>
  <c r="X34" i="22" a="1"/>
  <c r="X34" i="22"/>
  <c r="V34" i="22" a="1"/>
  <c r="V34" i="22" s="1"/>
  <c r="T34" i="22" a="1"/>
  <c r="T34" i="22"/>
  <c r="S34" i="22" a="1"/>
  <c r="S34" i="22" s="1"/>
  <c r="R34" i="22" a="1"/>
  <c r="R34" i="22"/>
  <c r="Q34" i="22" a="1"/>
  <c r="Q34" i="22" s="1"/>
  <c r="P34" i="22" a="1"/>
  <c r="P34" i="22" s="1"/>
  <c r="X33" i="22" a="1"/>
  <c r="X33" i="22"/>
  <c r="V33" i="22" a="1"/>
  <c r="V33" i="22" s="1"/>
  <c r="U33" i="22" a="1"/>
  <c r="U33" i="22" s="1"/>
  <c r="T33" i="22" a="1"/>
  <c r="T33" i="22" s="1"/>
  <c r="S33" i="22" a="1"/>
  <c r="S33" i="22"/>
  <c r="R33" i="22" a="1"/>
  <c r="R33" i="22" s="1"/>
  <c r="Q33" i="22" a="1"/>
  <c r="Q33" i="22" s="1"/>
  <c r="P33" i="22" a="1"/>
  <c r="P33" i="22"/>
  <c r="X32" i="22" a="1"/>
  <c r="X32" i="22" s="1"/>
  <c r="V32" i="22" a="1"/>
  <c r="V32" i="22"/>
  <c r="U32" i="22" a="1"/>
  <c r="U32" i="22" s="1"/>
  <c r="T32" i="22" a="1"/>
  <c r="T32" i="22"/>
  <c r="S32" i="22" a="1"/>
  <c r="S32" i="22" s="1"/>
  <c r="R32" i="22" a="1"/>
  <c r="R32" i="22"/>
  <c r="Q32" i="22" a="1"/>
  <c r="Q32" i="22" s="1"/>
  <c r="P32" i="22" a="1"/>
  <c r="P32" i="22" s="1"/>
  <c r="X31" i="22" a="1"/>
  <c r="X31" i="22"/>
  <c r="V31" i="22" a="1"/>
  <c r="V31" i="22" s="1"/>
  <c r="U31" i="22" a="1"/>
  <c r="U31" i="22" s="1"/>
  <c r="T31" i="22" a="1"/>
  <c r="T31" i="22" s="1"/>
  <c r="S31" i="22" a="1"/>
  <c r="S31" i="22"/>
  <c r="R31" i="22" a="1"/>
  <c r="R31" i="22" s="1"/>
  <c r="Q31" i="22" a="1"/>
  <c r="Q31" i="22" s="1"/>
  <c r="P31" i="22" a="1"/>
  <c r="P31" i="22"/>
  <c r="X29" i="22" a="1"/>
  <c r="X29" i="22" s="1"/>
  <c r="V29" i="22" a="1"/>
  <c r="V29" i="22"/>
  <c r="U29" i="22" a="1"/>
  <c r="U29" i="22" s="1"/>
  <c r="T29" i="22" a="1"/>
  <c r="T29" i="22"/>
  <c r="S29" i="22" a="1"/>
  <c r="S29" i="22"/>
  <c r="R29" i="22" a="1"/>
  <c r="R29" i="22"/>
  <c r="Q29" i="22" a="1"/>
  <c r="Q29" i="22" s="1"/>
  <c r="P29" i="22" a="1"/>
  <c r="P29" i="22" s="1"/>
  <c r="O25" i="22" a="1"/>
  <c r="O25" i="22" s="1"/>
  <c r="N25" i="22" a="1"/>
  <c r="N25" i="22" s="1"/>
  <c r="M25" i="22" a="1"/>
  <c r="M25" i="22" s="1"/>
  <c r="L25" i="22" a="1"/>
  <c r="L25" i="22"/>
  <c r="K25" i="22" a="1"/>
  <c r="K25" i="22" s="1"/>
  <c r="J25" i="22" a="1"/>
  <c r="J25" i="22" s="1"/>
  <c r="I25" i="22" a="1"/>
  <c r="I25" i="22"/>
  <c r="H25" i="22" a="1"/>
  <c r="H25" i="22" s="1"/>
  <c r="G25" i="22" a="1"/>
  <c r="G25" i="22"/>
  <c r="F25" i="22" a="1"/>
  <c r="F25" i="22" s="1"/>
  <c r="C25" i="22" s="1" a="1"/>
  <c r="C25" i="22" s="1"/>
  <c r="E25" i="22" a="1"/>
  <c r="E25" i="22"/>
  <c r="D25" i="22" a="1"/>
  <c r="D25" i="22" s="1"/>
  <c r="W24" i="22" a="1"/>
  <c r="W24" i="22" s="1"/>
  <c r="X23" i="22" a="1"/>
  <c r="X23" i="22" s="1"/>
  <c r="V23" i="22" a="1"/>
  <c r="V23" i="22"/>
  <c r="U23" i="22" a="1"/>
  <c r="U23" i="22" s="1"/>
  <c r="T23" i="22" a="1"/>
  <c r="T23" i="22" s="1"/>
  <c r="X22" i="22" a="1"/>
  <c r="X22" i="22" s="1"/>
  <c r="V22" i="22" a="1"/>
  <c r="V22" i="22" s="1"/>
  <c r="U22" i="22" a="1"/>
  <c r="U22" i="22" s="1"/>
  <c r="T22" i="22" a="1"/>
  <c r="T22" i="22" s="1"/>
  <c r="X21" i="22" a="1"/>
  <c r="X21" i="22"/>
  <c r="V21" i="22" a="1"/>
  <c r="V21" i="22"/>
  <c r="U21" i="22" a="1"/>
  <c r="U21" i="22"/>
  <c r="T21" i="22" a="1"/>
  <c r="T21" i="22" s="1"/>
  <c r="X20" i="22" a="1"/>
  <c r="X20" i="22" s="1"/>
  <c r="V20" i="22" a="1"/>
  <c r="V20" i="22"/>
  <c r="U20" i="22" a="1"/>
  <c r="U20" i="22" s="1"/>
  <c r="T20" i="22" a="1"/>
  <c r="T20" i="22" s="1"/>
  <c r="X19" i="22" a="1"/>
  <c r="X19" i="22" s="1"/>
  <c r="V19" i="22" a="1"/>
  <c r="V19" i="22"/>
  <c r="U19" i="22" a="1"/>
  <c r="U19" i="22" s="1"/>
  <c r="T19" i="22" a="1"/>
  <c r="T19" i="22" s="1"/>
  <c r="X18" i="22" a="1"/>
  <c r="X18" i="22" s="1"/>
  <c r="V18" i="22" a="1"/>
  <c r="V18" i="22" s="1"/>
  <c r="U18" i="22" a="1"/>
  <c r="U18" i="22" s="1"/>
  <c r="T18" i="22" a="1"/>
  <c r="T18" i="22" s="1"/>
  <c r="X17" i="22" a="1"/>
  <c r="X17" i="22"/>
  <c r="V17" i="22" a="1"/>
  <c r="V17" i="22" s="1"/>
  <c r="U17" i="22" a="1"/>
  <c r="U17" i="22"/>
  <c r="T17" i="22" a="1"/>
  <c r="T17" i="22" s="1"/>
  <c r="X16" i="22" a="1"/>
  <c r="X16" i="22" s="1"/>
  <c r="V16" i="22" a="1"/>
  <c r="V16" i="22" s="1"/>
  <c r="U16" i="22" a="1"/>
  <c r="U16" i="22" s="1"/>
  <c r="T16" i="22" a="1"/>
  <c r="T16" i="22" s="1"/>
  <c r="X15" i="22" a="1"/>
  <c r="X15" i="22" s="1"/>
  <c r="V15" i="22" a="1"/>
  <c r="V15" i="22"/>
  <c r="U15" i="22" a="1"/>
  <c r="U15" i="22" s="1"/>
  <c r="T15" i="22" a="1"/>
  <c r="T15" i="22" s="1"/>
  <c r="X14" i="22" a="1"/>
  <c r="X14" i="22" s="1"/>
  <c r="V14" i="22" a="1"/>
  <c r="V14" i="22" s="1"/>
  <c r="U14" i="22" a="1"/>
  <c r="U14" i="22" s="1"/>
  <c r="T14" i="22" a="1"/>
  <c r="T14" i="22" s="1"/>
  <c r="X13" i="22" a="1"/>
  <c r="X13" i="22"/>
  <c r="V13" i="22" a="1"/>
  <c r="V13" i="22"/>
  <c r="U13" i="22" a="1"/>
  <c r="U13" i="22"/>
  <c r="T13" i="22" a="1"/>
  <c r="T13" i="22" s="1"/>
  <c r="X12" i="22" a="1"/>
  <c r="X12" i="22"/>
  <c r="V12" i="22" a="1"/>
  <c r="V12" i="22"/>
  <c r="U12" i="22" a="1"/>
  <c r="U12" i="22" s="1"/>
  <c r="T12" i="22" a="1"/>
  <c r="T12" i="22" s="1"/>
  <c r="X11" i="22" a="1"/>
  <c r="X11" i="22" s="1"/>
  <c r="V11" i="22" a="1"/>
  <c r="V11" i="22"/>
  <c r="U11" i="22" a="1"/>
  <c r="U11" i="22" s="1"/>
  <c r="T11" i="22" a="1"/>
  <c r="T11" i="22"/>
  <c r="X10" i="22" a="1"/>
  <c r="X10" i="22" s="1"/>
  <c r="V10" i="22" a="1"/>
  <c r="V10" i="22"/>
  <c r="U10" i="22" a="1"/>
  <c r="U10" i="22"/>
  <c r="T10" i="22" a="1"/>
  <c r="T10" i="22"/>
  <c r="X9" i="22" a="1"/>
  <c r="X9" i="22" s="1"/>
  <c r="V9" i="22" a="1"/>
  <c r="V9" i="22"/>
  <c r="U9" i="22" a="1"/>
  <c r="U9" i="22"/>
  <c r="T9" i="22" a="1"/>
  <c r="T9" i="22"/>
  <c r="X8" i="22" a="1"/>
  <c r="X8" i="22" s="1"/>
  <c r="V8" i="22" a="1"/>
  <c r="V8" i="22"/>
  <c r="U8" i="22" a="1"/>
  <c r="U8" i="22" s="1"/>
  <c r="T8" i="22" a="1"/>
  <c r="T8" i="22"/>
  <c r="X7" i="22" a="1"/>
  <c r="X7" i="22" s="1"/>
  <c r="V7" i="22" a="1"/>
  <c r="V7" i="22"/>
  <c r="U7" i="22" a="1"/>
  <c r="U7" i="22"/>
  <c r="T7" i="22" a="1"/>
  <c r="T7" i="22"/>
  <c r="X6" i="22" a="1"/>
  <c r="X6" i="22" s="1"/>
  <c r="V6" i="22" a="1"/>
  <c r="V6" i="22"/>
  <c r="U6" i="22" a="1"/>
  <c r="U6" i="22" s="1"/>
  <c r="T6" i="22" a="1"/>
  <c r="T6" i="22"/>
  <c r="X5" i="22" a="1"/>
  <c r="X5" i="22" s="1"/>
  <c r="V5" i="22" a="1"/>
  <c r="V5" i="22"/>
  <c r="U5" i="22" a="1"/>
  <c r="U5" i="22"/>
  <c r="T5" i="22" a="1"/>
  <c r="T5" i="22"/>
  <c r="X4" i="22" a="1"/>
  <c r="X4" i="22" s="1"/>
  <c r="V4" i="22" a="1"/>
  <c r="V4" i="22"/>
  <c r="U4" i="22" a="1"/>
  <c r="U4" i="22"/>
  <c r="T4" i="22" a="1"/>
  <c r="T4" i="22"/>
  <c r="T37" i="21" a="1"/>
  <c r="T37" i="21" s="1"/>
  <c r="R37" i="21" a="1"/>
  <c r="R37" i="21" s="1"/>
  <c r="O37" i="21" a="1"/>
  <c r="O37" i="21"/>
  <c r="N37" i="21" a="1"/>
  <c r="N37" i="21"/>
  <c r="M37" i="21" a="1"/>
  <c r="M37" i="21" s="1"/>
  <c r="L37" i="21" a="1"/>
  <c r="L37" i="21"/>
  <c r="K37" i="21" a="1"/>
  <c r="K37" i="21"/>
  <c r="J37" i="21" a="1"/>
  <c r="J37" i="21" s="1"/>
  <c r="I37" i="21" a="1"/>
  <c r="I37" i="21" s="1"/>
  <c r="H37" i="21" a="1"/>
  <c r="H37" i="21" s="1"/>
  <c r="G37" i="21" a="1"/>
  <c r="G37" i="21" s="1"/>
  <c r="F37" i="21" a="1"/>
  <c r="F37" i="21"/>
  <c r="E37" i="21" a="1"/>
  <c r="E37" i="21" s="1"/>
  <c r="D37" i="21" a="1"/>
  <c r="D37" i="21"/>
  <c r="C37" i="21" a="1"/>
  <c r="C37" i="21"/>
  <c r="X36" i="21" a="1"/>
  <c r="X36" i="21"/>
  <c r="V36" i="21" a="1"/>
  <c r="V36" i="21" s="1"/>
  <c r="U36" i="21" a="1"/>
  <c r="U36" i="21"/>
  <c r="T36" i="21" a="1"/>
  <c r="T36" i="21" s="1"/>
  <c r="S36" i="21" a="1"/>
  <c r="S36" i="21" s="1"/>
  <c r="R36" i="21" a="1"/>
  <c r="R36" i="21" s="1"/>
  <c r="Q36" i="21" a="1"/>
  <c r="Q36" i="21" s="1"/>
  <c r="P36" i="21" a="1"/>
  <c r="P36" i="21"/>
  <c r="X35" i="21" a="1"/>
  <c r="X35" i="21"/>
  <c r="V35" i="21" a="1"/>
  <c r="V35" i="21" s="1"/>
  <c r="U35" i="21" a="1"/>
  <c r="U35" i="21"/>
  <c r="T35" i="21" a="1"/>
  <c r="T35" i="21"/>
  <c r="S35" i="21" a="1"/>
  <c r="S35" i="21" s="1"/>
  <c r="R35" i="21" a="1"/>
  <c r="R35" i="21" s="1"/>
  <c r="Q35" i="21" a="1"/>
  <c r="Q35" i="21"/>
  <c r="P35" i="21" a="1"/>
  <c r="P35" i="21" s="1"/>
  <c r="X33" i="21" a="1"/>
  <c r="X33" i="21"/>
  <c r="V33" i="21" a="1"/>
  <c r="V33" i="21" s="1"/>
  <c r="U33" i="21" a="1"/>
  <c r="U33" i="21" s="1"/>
  <c r="T33" i="21" a="1"/>
  <c r="T33" i="21"/>
  <c r="S33" i="21" a="1"/>
  <c r="S33" i="21"/>
  <c r="R33" i="21" a="1"/>
  <c r="R33" i="21" s="1"/>
  <c r="Q33" i="21" a="1"/>
  <c r="Q33" i="21"/>
  <c r="P33" i="21" a="1"/>
  <c r="P33" i="21"/>
  <c r="X32" i="21" a="1"/>
  <c r="X32" i="21" s="1"/>
  <c r="V32" i="21" a="1"/>
  <c r="V32" i="21" s="1"/>
  <c r="U32" i="21" a="1"/>
  <c r="U32" i="21" s="1"/>
  <c r="T32" i="21" a="1"/>
  <c r="T32" i="21" s="1"/>
  <c r="S32" i="21" a="1"/>
  <c r="S32" i="21"/>
  <c r="R32" i="21" a="1"/>
  <c r="R32" i="21" s="1"/>
  <c r="Q32" i="21" a="1"/>
  <c r="Q32" i="21" s="1"/>
  <c r="P32" i="21" a="1"/>
  <c r="P32" i="21"/>
  <c r="X30" i="21" a="1"/>
  <c r="X30" i="21"/>
  <c r="X29" i="21" a="1"/>
  <c r="X29" i="21" s="1"/>
  <c r="O25" i="21" a="1"/>
  <c r="O25" i="21"/>
  <c r="N25" i="21" a="1"/>
  <c r="N25" i="21" s="1"/>
  <c r="M25" i="21" a="1"/>
  <c r="M25" i="21" s="1"/>
  <c r="L25" i="21" a="1"/>
  <c r="L25" i="21" s="1"/>
  <c r="K25" i="21" a="1"/>
  <c r="K25" i="21" s="1"/>
  <c r="J25" i="21" a="1"/>
  <c r="J25" i="21"/>
  <c r="I25" i="21" a="1"/>
  <c r="I25" i="21"/>
  <c r="H25" i="21" a="1"/>
  <c r="H25" i="21" s="1"/>
  <c r="G25" i="21" a="1"/>
  <c r="G25" i="21"/>
  <c r="F25" i="21" a="1"/>
  <c r="F25" i="21"/>
  <c r="E25" i="21" a="1"/>
  <c r="E25" i="21" s="1"/>
  <c r="D25" i="21" a="1"/>
  <c r="D25" i="21" s="1"/>
  <c r="R24" i="21" a="1"/>
  <c r="R24" i="21" s="1"/>
  <c r="Q23" i="21" a="1"/>
  <c r="Q23" i="21" s="1"/>
  <c r="R23" i="21" s="1" a="1"/>
  <c r="R23" i="21" s="1"/>
  <c r="P23" i="21" a="1"/>
  <c r="P23" i="21"/>
  <c r="C23" i="21" a="1"/>
  <c r="C23" i="21"/>
  <c r="Q22" i="21" a="1"/>
  <c r="Q22" i="21" s="1"/>
  <c r="R22" i="21" s="1" a="1"/>
  <c r="R22" i="21" s="1"/>
  <c r="P22" i="21" a="1"/>
  <c r="P22" i="21"/>
  <c r="C22" i="21" a="1"/>
  <c r="C22" i="21" s="1"/>
  <c r="Q21" i="21" a="1"/>
  <c r="Q21" i="21" s="1"/>
  <c r="P21" i="21" a="1"/>
  <c r="P21" i="21"/>
  <c r="C21" i="21" a="1"/>
  <c r="C21" i="21" s="1"/>
  <c r="T21" i="21" s="1" a="1"/>
  <c r="T21" i="21" s="1"/>
  <c r="R20" i="21" a="1"/>
  <c r="R20" i="21" s="1"/>
  <c r="Q20" i="21" a="1"/>
  <c r="Q20" i="21"/>
  <c r="P20" i="21" a="1"/>
  <c r="P20" i="21"/>
  <c r="C20" i="21" a="1"/>
  <c r="C20" i="21" s="1"/>
  <c r="R19" i="21" a="1"/>
  <c r="R19" i="21" s="1"/>
  <c r="Q19" i="21" a="1"/>
  <c r="Q19" i="21" s="1"/>
  <c r="P19" i="21" a="1"/>
  <c r="P19" i="21"/>
  <c r="C19" i="21" a="1"/>
  <c r="C19" i="21" s="1"/>
  <c r="Q18" i="21" a="1"/>
  <c r="Q18" i="21"/>
  <c r="R18" i="21" s="1" a="1"/>
  <c r="R18" i="21" s="1"/>
  <c r="P18" i="21" a="1"/>
  <c r="P18" i="21"/>
  <c r="C18" i="21" a="1"/>
  <c r="C18" i="21" s="1"/>
  <c r="R17" i="21" a="1"/>
  <c r="R17" i="21" s="1"/>
  <c r="Q16" i="21" a="1"/>
  <c r="Q16" i="21"/>
  <c r="R16" i="21" s="1" a="1"/>
  <c r="R16" i="21" s="1"/>
  <c r="P16" i="21" a="1"/>
  <c r="P16" i="21" s="1"/>
  <c r="C16" i="21" a="1"/>
  <c r="C16" i="21"/>
  <c r="R15" i="21" a="1"/>
  <c r="R15" i="21" s="1"/>
  <c r="Q14" i="21" a="1"/>
  <c r="Q14" i="21" s="1"/>
  <c r="R14" i="21" s="1" a="1"/>
  <c r="R14" i="21" s="1"/>
  <c r="P14" i="21" a="1"/>
  <c r="P14" i="21" s="1"/>
  <c r="C14" i="21" a="1"/>
  <c r="C14" i="21"/>
  <c r="Q13" i="21" a="1"/>
  <c r="Q13" i="21"/>
  <c r="P13" i="21" a="1"/>
  <c r="P13" i="21" s="1"/>
  <c r="C13" i="21" a="1"/>
  <c r="C13" i="21" s="1"/>
  <c r="R12" i="21" a="1"/>
  <c r="R12" i="21"/>
  <c r="Q11" i="21" a="1"/>
  <c r="Q11" i="21"/>
  <c r="P11" i="21" a="1"/>
  <c r="P11" i="21" s="1"/>
  <c r="C11" i="21" a="1"/>
  <c r="C11" i="21"/>
  <c r="R10" i="21" a="1"/>
  <c r="R10" i="21"/>
  <c r="Q10" i="21" a="1"/>
  <c r="Q10" i="21"/>
  <c r="P10" i="21" a="1"/>
  <c r="P10" i="21"/>
  <c r="C10" i="21" a="1"/>
  <c r="C10" i="21" s="1"/>
  <c r="Q9" i="21" a="1"/>
  <c r="Q9" i="21" s="1"/>
  <c r="P9" i="21" a="1"/>
  <c r="P9" i="21" s="1"/>
  <c r="C9" i="21" a="1"/>
  <c r="C9" i="21"/>
  <c r="R8" i="21" a="1"/>
  <c r="R8" i="21"/>
  <c r="Q8" i="21" a="1"/>
  <c r="Q8" i="21"/>
  <c r="P8" i="21" a="1"/>
  <c r="P8" i="21"/>
  <c r="C8" i="21" a="1"/>
  <c r="C8" i="21" s="1"/>
  <c r="R7" i="21" a="1"/>
  <c r="R7" i="21"/>
  <c r="Q6" i="21" a="1"/>
  <c r="Q6" i="21"/>
  <c r="R6" i="21" s="1" a="1"/>
  <c r="R6" i="21" s="1"/>
  <c r="P6" i="21" a="1"/>
  <c r="P6" i="21" s="1"/>
  <c r="C6" i="21" a="1"/>
  <c r="C6" i="21"/>
  <c r="Q5" i="21" a="1"/>
  <c r="Q5" i="21"/>
  <c r="P5" i="21" a="1"/>
  <c r="P5" i="21" s="1"/>
  <c r="C5" i="21" a="1"/>
  <c r="C5" i="21"/>
  <c r="P4" i="21" a="1"/>
  <c r="P4" i="21"/>
  <c r="R4" i="21" s="1" a="1"/>
  <c r="R4" i="21" s="1"/>
  <c r="C4" i="21" a="1"/>
  <c r="C4" i="21" s="1"/>
  <c r="Z42" i="20" a="1"/>
  <c r="Z42" i="20" s="1"/>
  <c r="Y42" i="20" a="1"/>
  <c r="Y42" i="20" s="1"/>
  <c r="U42" i="20" a="1"/>
  <c r="U42" i="20" s="1"/>
  <c r="P42" i="20" a="1"/>
  <c r="P42" i="20" s="1"/>
  <c r="O42" i="20" a="1"/>
  <c r="O42" i="20" s="1"/>
  <c r="N42" i="20" a="1"/>
  <c r="N42" i="20"/>
  <c r="M42" i="20" a="1"/>
  <c r="M42" i="20" s="1"/>
  <c r="T42" i="20" s="1" a="1"/>
  <c r="T42" i="20" s="1"/>
  <c r="L42" i="20" a="1"/>
  <c r="L42" i="20"/>
  <c r="K42" i="20" a="1"/>
  <c r="K42" i="20" s="1"/>
  <c r="Q42" i="20" s="1" a="1"/>
  <c r="Q42" i="20" s="1"/>
  <c r="J42" i="20" a="1"/>
  <c r="J42" i="20"/>
  <c r="I42" i="20" a="1"/>
  <c r="I42" i="20" s="1"/>
  <c r="H42" i="20" a="1"/>
  <c r="H42" i="20"/>
  <c r="S42" i="20" s="1" a="1"/>
  <c r="S42" i="20" s="1"/>
  <c r="G42" i="20" a="1"/>
  <c r="G42" i="20" s="1"/>
  <c r="F42" i="20" a="1"/>
  <c r="F42" i="20"/>
  <c r="E42" i="20" a="1"/>
  <c r="E42" i="20" s="1"/>
  <c r="D42" i="20" a="1"/>
  <c r="D42" i="20"/>
  <c r="C42" i="20" a="1"/>
  <c r="C42" i="20" s="1"/>
  <c r="W41" i="20" a="1"/>
  <c r="W41" i="20" s="1"/>
  <c r="V41" i="20" a="1"/>
  <c r="V41" i="20" s="1"/>
  <c r="U41" i="20" a="1"/>
  <c r="U41" i="20"/>
  <c r="T41" i="20" a="1"/>
  <c r="T41" i="20" s="1"/>
  <c r="S41" i="20" a="1"/>
  <c r="S41" i="20" s="1"/>
  <c r="R41" i="20" a="1"/>
  <c r="R41" i="20" s="1"/>
  <c r="Q41" i="20" a="1"/>
  <c r="Q41" i="20"/>
  <c r="P41" i="20" a="1"/>
  <c r="P41" i="20" s="1"/>
  <c r="W40" i="20" a="1"/>
  <c r="W40" i="20" s="1"/>
  <c r="V40" i="20" a="1"/>
  <c r="V40" i="20" s="1"/>
  <c r="U40" i="20" a="1"/>
  <c r="U40" i="20" s="1"/>
  <c r="T40" i="20" a="1"/>
  <c r="T40" i="20" s="1"/>
  <c r="S40" i="20" a="1"/>
  <c r="S40" i="20" s="1"/>
  <c r="R40" i="20" a="1"/>
  <c r="R40" i="20" s="1"/>
  <c r="Q40" i="20" a="1"/>
  <c r="Q40" i="20"/>
  <c r="P40" i="20" a="1"/>
  <c r="P40" i="20" s="1"/>
  <c r="W39" i="20" a="1"/>
  <c r="W39" i="20" s="1"/>
  <c r="V39" i="20" a="1"/>
  <c r="V39" i="20" s="1"/>
  <c r="U39" i="20" a="1"/>
  <c r="U39" i="20"/>
  <c r="T39" i="20" a="1"/>
  <c r="T39" i="20" s="1"/>
  <c r="S39" i="20" a="1"/>
  <c r="S39" i="20" s="1"/>
  <c r="R39" i="20" a="1"/>
  <c r="R39" i="20" s="1"/>
  <c r="Q39" i="20" a="1"/>
  <c r="Q39" i="20" s="1"/>
  <c r="P39" i="20" a="1"/>
  <c r="P39" i="20" s="1"/>
  <c r="W38" i="20" a="1"/>
  <c r="W38" i="20" s="1"/>
  <c r="V38" i="20" a="1"/>
  <c r="V38" i="20" s="1"/>
  <c r="U38" i="20" a="1"/>
  <c r="U38" i="20"/>
  <c r="T38" i="20" a="1"/>
  <c r="T38" i="20" s="1"/>
  <c r="S38" i="20" a="1"/>
  <c r="S38" i="20" s="1"/>
  <c r="R38" i="20" a="1"/>
  <c r="R38" i="20" s="1"/>
  <c r="Q38" i="20" a="1"/>
  <c r="Q38" i="20"/>
  <c r="P38" i="20" a="1"/>
  <c r="P38" i="20" s="1"/>
  <c r="W37" i="20" a="1"/>
  <c r="W37" i="20" s="1"/>
  <c r="V37" i="20" a="1"/>
  <c r="V37" i="20" s="1"/>
  <c r="U37" i="20" a="1"/>
  <c r="U37" i="20" s="1"/>
  <c r="T37" i="20" a="1"/>
  <c r="T37" i="20" s="1"/>
  <c r="S37" i="20" a="1"/>
  <c r="S37" i="20" s="1"/>
  <c r="R37" i="20" a="1"/>
  <c r="R37" i="20" s="1"/>
  <c r="Q37" i="20" a="1"/>
  <c r="Q37" i="20"/>
  <c r="P37" i="20" a="1"/>
  <c r="P37" i="20" s="1"/>
  <c r="W36" i="20" a="1"/>
  <c r="W36" i="20" s="1"/>
  <c r="V36" i="20" a="1"/>
  <c r="V36" i="20" s="1"/>
  <c r="U36" i="20" a="1"/>
  <c r="U36" i="20" s="1"/>
  <c r="T36" i="20" a="1"/>
  <c r="T36" i="20" s="1"/>
  <c r="S36" i="20" a="1"/>
  <c r="S36" i="20" s="1"/>
  <c r="R36" i="20" a="1"/>
  <c r="R36" i="20" s="1"/>
  <c r="Q36" i="20" a="1"/>
  <c r="Q36" i="20"/>
  <c r="P36" i="20" a="1"/>
  <c r="P36" i="20" s="1"/>
  <c r="W35" i="20" a="1"/>
  <c r="W35" i="20" s="1"/>
  <c r="V35" i="20" a="1"/>
  <c r="V35" i="20" s="1"/>
  <c r="U35" i="20" a="1"/>
  <c r="U35" i="20"/>
  <c r="T35" i="20" a="1"/>
  <c r="T35" i="20" s="1"/>
  <c r="S35" i="20" a="1"/>
  <c r="S35" i="20" s="1"/>
  <c r="R35" i="20" a="1"/>
  <c r="R35" i="20" s="1"/>
  <c r="Q35" i="20" a="1"/>
  <c r="Q35" i="20" s="1"/>
  <c r="P35" i="20" a="1"/>
  <c r="P35" i="20" s="1"/>
  <c r="W34" i="20" a="1"/>
  <c r="W34" i="20" s="1"/>
  <c r="V34" i="20" a="1"/>
  <c r="V34" i="20" s="1"/>
  <c r="U34" i="20" a="1"/>
  <c r="U34" i="20"/>
  <c r="T34" i="20" a="1"/>
  <c r="T34" i="20" s="1"/>
  <c r="S34" i="20" a="1"/>
  <c r="S34" i="20" s="1"/>
  <c r="R34" i="20" a="1"/>
  <c r="R34" i="20" s="1"/>
  <c r="Q34" i="20" a="1"/>
  <c r="Q34" i="20"/>
  <c r="P34" i="20" a="1"/>
  <c r="P34" i="20" s="1"/>
  <c r="W33" i="20" a="1"/>
  <c r="W33" i="20" s="1"/>
  <c r="V33" i="20" a="1"/>
  <c r="V33" i="20" s="1"/>
  <c r="U33" i="20" a="1"/>
  <c r="U33" i="20"/>
  <c r="T33" i="20" a="1"/>
  <c r="T33" i="20" s="1"/>
  <c r="S33" i="20" a="1"/>
  <c r="S33" i="20" s="1"/>
  <c r="R33" i="20" a="1"/>
  <c r="R33" i="20" s="1"/>
  <c r="Q33" i="20" a="1"/>
  <c r="Q33" i="20"/>
  <c r="P33" i="20" a="1"/>
  <c r="P33" i="20" s="1"/>
  <c r="W32" i="20" a="1"/>
  <c r="W32" i="20" s="1"/>
  <c r="V32" i="20" a="1"/>
  <c r="V32" i="20" s="1"/>
  <c r="U32" i="20" a="1"/>
  <c r="U32" i="20" s="1"/>
  <c r="T32" i="20" a="1"/>
  <c r="T32" i="20" s="1"/>
  <c r="S32" i="20" a="1"/>
  <c r="S32" i="20" s="1"/>
  <c r="R32" i="20" a="1"/>
  <c r="R32" i="20" s="1"/>
  <c r="Q32" i="20" a="1"/>
  <c r="Q32" i="20"/>
  <c r="P32" i="20" a="1"/>
  <c r="P32" i="20" s="1"/>
  <c r="W31" i="20" a="1"/>
  <c r="W31" i="20" s="1"/>
  <c r="V31" i="20" a="1"/>
  <c r="V31" i="20" s="1"/>
  <c r="U31" i="20" a="1"/>
  <c r="U31" i="20" s="1"/>
  <c r="T31" i="20" a="1"/>
  <c r="T31" i="20" s="1"/>
  <c r="S31" i="20" a="1"/>
  <c r="S31" i="20" s="1"/>
  <c r="R31" i="20" a="1"/>
  <c r="R31" i="20" s="1"/>
  <c r="Q31" i="20" a="1"/>
  <c r="Q31" i="20" s="1"/>
  <c r="P31" i="20" a="1"/>
  <c r="P31" i="20" s="1"/>
  <c r="AC27" i="20" a="1"/>
  <c r="AC27" i="20" s="1"/>
  <c r="AB27" i="20" a="1"/>
  <c r="AB27" i="20" s="1"/>
  <c r="AA27" i="20" a="1"/>
  <c r="AA27" i="20"/>
  <c r="Z27" i="20" a="1"/>
  <c r="Z27" i="20" s="1"/>
  <c r="Y27" i="20" a="1"/>
  <c r="Y27" i="20" s="1"/>
  <c r="O27" i="20" a="1"/>
  <c r="O27" i="20"/>
  <c r="N27" i="20" a="1"/>
  <c r="N27" i="20" s="1"/>
  <c r="M27" i="20" a="1"/>
  <c r="M27" i="20" s="1"/>
  <c r="L27" i="20" a="1"/>
  <c r="L27" i="20" s="1"/>
  <c r="K27" i="20" a="1"/>
  <c r="K27" i="20" s="1"/>
  <c r="J27" i="20" a="1"/>
  <c r="J27" i="20" s="1"/>
  <c r="I27" i="20" a="1"/>
  <c r="I27" i="20" s="1"/>
  <c r="H27" i="20" a="1"/>
  <c r="H27" i="20" s="1"/>
  <c r="F27" i="20" a="1"/>
  <c r="F27" i="20" s="1"/>
  <c r="E27" i="20" a="1"/>
  <c r="E27" i="20" s="1"/>
  <c r="D27" i="20" a="1"/>
  <c r="D27" i="20" s="1"/>
  <c r="P27" i="20" s="1" a="1"/>
  <c r="P27" i="20" s="1"/>
  <c r="W26" i="20" a="1"/>
  <c r="W26" i="20" s="1"/>
  <c r="U26" i="20" a="1"/>
  <c r="U26" i="20" s="1"/>
  <c r="T26" i="20" a="1"/>
  <c r="T26" i="20"/>
  <c r="S26" i="20" a="1"/>
  <c r="S26" i="20" s="1"/>
  <c r="V26" i="20" s="1" a="1"/>
  <c r="V26" i="20" s="1"/>
  <c r="R26" i="20" a="1"/>
  <c r="R26" i="20" s="1"/>
  <c r="Q26" i="20" a="1"/>
  <c r="Q26" i="20" s="1"/>
  <c r="P26" i="20" a="1"/>
  <c r="P26" i="20" s="1"/>
  <c r="W25" i="20" a="1"/>
  <c r="W25" i="20" s="1"/>
  <c r="U25" i="20" a="1"/>
  <c r="U25" i="20" s="1"/>
  <c r="T25" i="20" a="1"/>
  <c r="T25" i="20" s="1"/>
  <c r="R25" i="20" a="1"/>
  <c r="R25" i="20" s="1"/>
  <c r="P25" i="20" a="1"/>
  <c r="P25" i="20"/>
  <c r="G25" i="20" a="1"/>
  <c r="G25" i="20" s="1"/>
  <c r="W24" i="20" a="1"/>
  <c r="W24" i="20" s="1"/>
  <c r="T24" i="20" a="1"/>
  <c r="T24" i="20" s="1"/>
  <c r="R24" i="20" a="1"/>
  <c r="R24" i="20" s="1"/>
  <c r="Q24" i="20" a="1"/>
  <c r="Q24" i="20"/>
  <c r="P24" i="20" a="1"/>
  <c r="P24" i="20" s="1"/>
  <c r="W23" i="20" a="1"/>
  <c r="W23" i="20"/>
  <c r="U23" i="20" a="1"/>
  <c r="U23" i="20"/>
  <c r="T23" i="20" a="1"/>
  <c r="T23" i="20" s="1"/>
  <c r="R23" i="20" a="1"/>
  <c r="R23" i="20" s="1"/>
  <c r="Q23" i="20" a="1"/>
  <c r="Q23" i="20" s="1"/>
  <c r="S23" i="20" s="1" a="1"/>
  <c r="S23" i="20" s="1"/>
  <c r="V23" i="20" s="1" a="1"/>
  <c r="V23" i="20" s="1"/>
  <c r="P23" i="20" a="1"/>
  <c r="P23" i="20" s="1"/>
  <c r="W21" i="20" a="1"/>
  <c r="W21" i="20"/>
  <c r="T21" i="20" a="1"/>
  <c r="T21" i="20" s="1"/>
  <c r="R21" i="20" a="1"/>
  <c r="R21" i="20" s="1"/>
  <c r="Q21" i="20" a="1"/>
  <c r="Q21" i="20" s="1"/>
  <c r="P21" i="20" a="1"/>
  <c r="P21" i="20" s="1"/>
  <c r="W20" i="20" a="1"/>
  <c r="W20" i="20"/>
  <c r="U20" i="20" a="1"/>
  <c r="U20" i="20"/>
  <c r="T20" i="20" a="1"/>
  <c r="T20" i="20" s="1"/>
  <c r="R20" i="20" a="1"/>
  <c r="R20" i="20" s="1"/>
  <c r="Q20" i="20" a="1"/>
  <c r="Q20" i="20" s="1"/>
  <c r="S20" i="20" s="1" a="1"/>
  <c r="S20" i="20" s="1"/>
  <c r="V20" i="20" s="1" a="1"/>
  <c r="V20" i="20" s="1"/>
  <c r="P20" i="20" a="1"/>
  <c r="P20" i="20" s="1"/>
  <c r="U19" i="20" a="1"/>
  <c r="U19" i="20" s="1"/>
  <c r="T19" i="20" a="1"/>
  <c r="T19" i="20" s="1"/>
  <c r="R19" i="20" a="1"/>
  <c r="R19" i="20"/>
  <c r="Q19" i="20" a="1"/>
  <c r="Q19" i="20" s="1"/>
  <c r="P19" i="20" a="1"/>
  <c r="P19" i="20"/>
  <c r="W18" i="20" a="1"/>
  <c r="W18" i="20" s="1"/>
  <c r="R18" i="20" a="1"/>
  <c r="R18" i="20" s="1"/>
  <c r="Q18" i="20" a="1"/>
  <c r="Q18" i="20" s="1"/>
  <c r="P18" i="20" a="1"/>
  <c r="P18" i="20" s="1"/>
  <c r="W17" i="20" a="1"/>
  <c r="W17" i="20" s="1"/>
  <c r="U17" i="20" a="1"/>
  <c r="U17" i="20"/>
  <c r="T17" i="20" a="1"/>
  <c r="T17" i="20" s="1"/>
  <c r="R17" i="20" a="1"/>
  <c r="R17" i="20" s="1"/>
  <c r="S17" i="20" s="1" a="1"/>
  <c r="S17" i="20" s="1"/>
  <c r="V17" i="20" s="1" a="1"/>
  <c r="V17" i="20" s="1"/>
  <c r="Q17" i="20" a="1"/>
  <c r="Q17" i="20"/>
  <c r="P17" i="20" a="1"/>
  <c r="P17" i="20" s="1"/>
  <c r="W15" i="20" a="1"/>
  <c r="W15" i="20" s="1"/>
  <c r="T15" i="20" a="1"/>
  <c r="T15" i="20" s="1"/>
  <c r="R15" i="20" a="1"/>
  <c r="R15" i="20" s="1"/>
  <c r="Q15" i="20" a="1"/>
  <c r="Q15" i="20" s="1"/>
  <c r="P15" i="20" a="1"/>
  <c r="P15" i="20" s="1"/>
  <c r="W14" i="20" a="1"/>
  <c r="W14" i="20" s="1"/>
  <c r="U14" i="20" a="1"/>
  <c r="U14" i="20" s="1"/>
  <c r="T14" i="20" a="1"/>
  <c r="T14" i="20" s="1"/>
  <c r="R14" i="20" a="1"/>
  <c r="R14" i="20" s="1"/>
  <c r="S14" i="20" s="1" a="1"/>
  <c r="S14" i="20" s="1"/>
  <c r="V14" i="20" s="1" a="1"/>
  <c r="V14" i="20" s="1"/>
  <c r="Q14" i="20" a="1"/>
  <c r="Q14" i="20"/>
  <c r="P14" i="20" a="1"/>
  <c r="P14" i="20" s="1"/>
  <c r="W13" i="20" a="1"/>
  <c r="W13" i="20"/>
  <c r="T13" i="20" a="1"/>
  <c r="T13" i="20" s="1"/>
  <c r="R13" i="20" a="1"/>
  <c r="R13" i="20" s="1"/>
  <c r="Q13" i="20" a="1"/>
  <c r="Q13" i="20" s="1"/>
  <c r="P13" i="20" a="1"/>
  <c r="P13" i="20" s="1"/>
  <c r="W12" i="20" a="1"/>
  <c r="W12" i="20" s="1"/>
  <c r="U12" i="20" a="1"/>
  <c r="U12" i="20"/>
  <c r="T12" i="20" a="1"/>
  <c r="T12" i="20" s="1"/>
  <c r="R12" i="20" a="1"/>
  <c r="R12" i="20" s="1"/>
  <c r="S12" i="20" s="1" a="1"/>
  <c r="S12" i="20" s="1"/>
  <c r="V12" i="20" s="1" a="1"/>
  <c r="V12" i="20" s="1"/>
  <c r="Q12" i="20" a="1"/>
  <c r="Q12" i="20"/>
  <c r="P12" i="20" a="1"/>
  <c r="P12" i="20" s="1"/>
  <c r="W11" i="20" a="1"/>
  <c r="W11" i="20"/>
  <c r="T11" i="20" a="1"/>
  <c r="T11" i="20" s="1"/>
  <c r="R11" i="20" a="1"/>
  <c r="R11" i="20" s="1"/>
  <c r="Q11" i="20" a="1"/>
  <c r="Q11" i="20" s="1"/>
  <c r="P11" i="20" a="1"/>
  <c r="P11" i="20" s="1"/>
  <c r="W10" i="20" a="1"/>
  <c r="W10" i="20" s="1"/>
  <c r="U10" i="20" a="1"/>
  <c r="U10" i="20"/>
  <c r="T10" i="20" a="1"/>
  <c r="T10" i="20" s="1"/>
  <c r="R10" i="20" a="1"/>
  <c r="R10" i="20" s="1"/>
  <c r="S10" i="20" s="1" a="1"/>
  <c r="S10" i="20" s="1"/>
  <c r="V10" i="20" s="1" a="1"/>
  <c r="V10" i="20" s="1"/>
  <c r="Q10" i="20" a="1"/>
  <c r="Q10" i="20"/>
  <c r="P10" i="20" a="1"/>
  <c r="P10" i="20" s="1"/>
  <c r="W9" i="20" a="1"/>
  <c r="W9" i="20"/>
  <c r="T9" i="20" a="1"/>
  <c r="T9" i="20" s="1"/>
  <c r="R9" i="20" a="1"/>
  <c r="R9" i="20" s="1"/>
  <c r="Q9" i="20" a="1"/>
  <c r="Q9" i="20" s="1"/>
  <c r="P9" i="20" a="1"/>
  <c r="P9" i="20" s="1"/>
  <c r="W8" i="20" a="1"/>
  <c r="W8" i="20" s="1"/>
  <c r="U8" i="20" a="1"/>
  <c r="U8" i="20"/>
  <c r="T8" i="20" a="1"/>
  <c r="T8" i="20" s="1"/>
  <c r="R8" i="20" a="1"/>
  <c r="R8" i="20" s="1"/>
  <c r="Q8" i="20" a="1"/>
  <c r="Q8" i="20"/>
  <c r="P8" i="20" a="1"/>
  <c r="P8" i="20" s="1"/>
  <c r="W6" i="20" a="1"/>
  <c r="W6" i="20"/>
  <c r="T6" i="20" a="1"/>
  <c r="T6" i="20" s="1"/>
  <c r="R6" i="20" a="1"/>
  <c r="R6" i="20" s="1"/>
  <c r="U6" i="20" s="1" a="1"/>
  <c r="U6" i="20" s="1"/>
  <c r="Q6" i="20" a="1"/>
  <c r="Q6" i="20" s="1"/>
  <c r="S6" i="20" s="1" a="1"/>
  <c r="S6" i="20" s="1"/>
  <c r="V6" i="20" s="1" a="1"/>
  <c r="V6" i="20" s="1"/>
  <c r="P6" i="20" a="1"/>
  <c r="P6" i="20" s="1"/>
  <c r="W4" i="20" a="1"/>
  <c r="W4" i="20" s="1"/>
  <c r="U4" i="20" a="1"/>
  <c r="U4" i="20"/>
  <c r="T4" i="20" a="1"/>
  <c r="T4" i="20" s="1"/>
  <c r="R4" i="20" a="1"/>
  <c r="R4" i="20" s="1"/>
  <c r="Q4" i="20" a="1"/>
  <c r="Q4" i="20"/>
  <c r="P4" i="20" a="1"/>
  <c r="P4" i="20" s="1"/>
  <c r="Z42" i="19" a="1"/>
  <c r="Z42" i="19"/>
  <c r="Y42" i="19" a="1"/>
  <c r="Y42" i="19" s="1"/>
  <c r="T42" i="19" a="1"/>
  <c r="T42" i="19" s="1"/>
  <c r="S42" i="19" a="1"/>
  <c r="S42" i="19" s="1"/>
  <c r="R42" i="19" a="1"/>
  <c r="R42" i="19" s="1"/>
  <c r="O42" i="19" a="1"/>
  <c r="O42" i="19" s="1"/>
  <c r="N42" i="19" a="1"/>
  <c r="N42" i="19"/>
  <c r="M42" i="19" a="1"/>
  <c r="M42" i="19" s="1"/>
  <c r="L42" i="19" a="1"/>
  <c r="L42" i="19"/>
  <c r="K42" i="19" a="1"/>
  <c r="K42" i="19" s="1"/>
  <c r="Q42" i="19" s="1" a="1"/>
  <c r="Q42" i="19" s="1"/>
  <c r="J42" i="19" a="1"/>
  <c r="J42" i="19"/>
  <c r="I42" i="19" a="1"/>
  <c r="I42" i="19" s="1"/>
  <c r="H42" i="19" a="1"/>
  <c r="H42" i="19"/>
  <c r="G42" i="19" a="1"/>
  <c r="G42" i="19" s="1"/>
  <c r="F42" i="19" a="1"/>
  <c r="F42" i="19" s="1"/>
  <c r="E42" i="19" a="1"/>
  <c r="E42" i="19" s="1"/>
  <c r="D42" i="19" a="1"/>
  <c r="D42" i="19" s="1"/>
  <c r="C42" i="19" a="1"/>
  <c r="C42" i="19" s="1"/>
  <c r="W41" i="19" a="1"/>
  <c r="W41" i="19" s="1"/>
  <c r="V41" i="19" a="1"/>
  <c r="V41" i="19" s="1"/>
  <c r="U41" i="19" a="1"/>
  <c r="U41" i="19" s="1"/>
  <c r="T41" i="19" a="1"/>
  <c r="T41" i="19" s="1"/>
  <c r="S41" i="19" a="1"/>
  <c r="S41" i="19" s="1"/>
  <c r="R41" i="19" a="1"/>
  <c r="R41" i="19" s="1"/>
  <c r="Q41" i="19" a="1"/>
  <c r="Q41" i="19"/>
  <c r="P41" i="19" a="1"/>
  <c r="P41" i="19" s="1"/>
  <c r="W40" i="19" a="1"/>
  <c r="W40" i="19"/>
  <c r="V40" i="19" a="1"/>
  <c r="V40" i="19" s="1"/>
  <c r="U40" i="19" a="1"/>
  <c r="U40" i="19" s="1"/>
  <c r="T40" i="19" a="1"/>
  <c r="T40" i="19" s="1"/>
  <c r="S40" i="19" a="1"/>
  <c r="S40" i="19" s="1"/>
  <c r="R40" i="19" a="1"/>
  <c r="R40" i="19" s="1"/>
  <c r="Q40" i="19" a="1"/>
  <c r="Q40" i="19" s="1"/>
  <c r="P40" i="19" a="1"/>
  <c r="P40" i="19" s="1"/>
  <c r="W39" i="19" a="1"/>
  <c r="W39" i="19" s="1"/>
  <c r="V39" i="19" a="1"/>
  <c r="V39" i="19" s="1"/>
  <c r="U39" i="19" a="1"/>
  <c r="U39" i="19" s="1"/>
  <c r="T39" i="19" a="1"/>
  <c r="T39" i="19" s="1"/>
  <c r="S39" i="19" a="1"/>
  <c r="S39" i="19"/>
  <c r="R39" i="19" a="1"/>
  <c r="R39" i="19" s="1"/>
  <c r="Q39" i="19" a="1"/>
  <c r="Q39" i="19"/>
  <c r="P39" i="19" a="1"/>
  <c r="P39" i="19" s="1"/>
  <c r="W38" i="19" a="1"/>
  <c r="W38" i="19"/>
  <c r="V38" i="19" a="1"/>
  <c r="V38" i="19" s="1"/>
  <c r="U38" i="19" a="1"/>
  <c r="U38" i="19" s="1"/>
  <c r="T38" i="19" a="1"/>
  <c r="T38" i="19" s="1"/>
  <c r="S38" i="19" a="1"/>
  <c r="S38" i="19" s="1"/>
  <c r="R38" i="19" a="1"/>
  <c r="R38" i="19" s="1"/>
  <c r="Q38" i="19" a="1"/>
  <c r="Q38" i="19" s="1"/>
  <c r="P38" i="19" a="1"/>
  <c r="P38" i="19" s="1"/>
  <c r="W37" i="19" a="1"/>
  <c r="W37" i="19" s="1"/>
  <c r="V37" i="19" a="1"/>
  <c r="V37" i="19" s="1"/>
  <c r="U37" i="19" a="1"/>
  <c r="U37" i="19" s="1"/>
  <c r="T37" i="19" a="1"/>
  <c r="T37" i="19" s="1"/>
  <c r="S37" i="19" a="1"/>
  <c r="S37" i="19"/>
  <c r="R37" i="19" a="1"/>
  <c r="R37" i="19" s="1"/>
  <c r="Q37" i="19" a="1"/>
  <c r="Q37" i="19"/>
  <c r="P37" i="19" a="1"/>
  <c r="P37" i="19" s="1"/>
  <c r="W36" i="19" a="1"/>
  <c r="W36" i="19"/>
  <c r="V36" i="19" a="1"/>
  <c r="V36" i="19" s="1"/>
  <c r="U36" i="19" a="1"/>
  <c r="U36" i="19" s="1"/>
  <c r="T36" i="19" a="1"/>
  <c r="T36" i="19" s="1"/>
  <c r="S36" i="19" a="1"/>
  <c r="S36" i="19" s="1"/>
  <c r="R36" i="19" a="1"/>
  <c r="R36" i="19" s="1"/>
  <c r="Q36" i="19" a="1"/>
  <c r="Q36" i="19" s="1"/>
  <c r="P36" i="19" a="1"/>
  <c r="P36" i="19" s="1"/>
  <c r="W35" i="19" a="1"/>
  <c r="W35" i="19" s="1"/>
  <c r="V35" i="19" a="1"/>
  <c r="V35" i="19" s="1"/>
  <c r="U35" i="19" a="1"/>
  <c r="U35" i="19" s="1"/>
  <c r="T35" i="19" a="1"/>
  <c r="T35" i="19" s="1"/>
  <c r="S35" i="19" a="1"/>
  <c r="S35" i="19"/>
  <c r="R35" i="19" a="1"/>
  <c r="R35" i="19" s="1"/>
  <c r="Q35" i="19" a="1"/>
  <c r="Q35" i="19"/>
  <c r="P35" i="19" a="1"/>
  <c r="P35" i="19" s="1"/>
  <c r="W34" i="19" a="1"/>
  <c r="W34" i="19"/>
  <c r="V34" i="19" a="1"/>
  <c r="V34" i="19" s="1"/>
  <c r="U34" i="19" a="1"/>
  <c r="U34" i="19" s="1"/>
  <c r="T34" i="19" a="1"/>
  <c r="T34" i="19" s="1"/>
  <c r="S34" i="19" a="1"/>
  <c r="S34" i="19" s="1"/>
  <c r="R34" i="19" a="1"/>
  <c r="R34" i="19" s="1"/>
  <c r="Q34" i="19" a="1"/>
  <c r="Q34" i="19"/>
  <c r="P34" i="19" a="1"/>
  <c r="P34" i="19" s="1"/>
  <c r="W33" i="19" a="1"/>
  <c r="W33" i="19" s="1"/>
  <c r="V33" i="19" a="1"/>
  <c r="V33" i="19" s="1"/>
  <c r="U33" i="19" a="1"/>
  <c r="U33" i="19" s="1"/>
  <c r="T33" i="19" a="1"/>
  <c r="T33" i="19" s="1"/>
  <c r="S33" i="19" a="1"/>
  <c r="S33" i="19"/>
  <c r="R33" i="19" a="1"/>
  <c r="R33" i="19" s="1"/>
  <c r="Q33" i="19" a="1"/>
  <c r="Q33" i="19"/>
  <c r="P33" i="19" a="1"/>
  <c r="P33" i="19" s="1"/>
  <c r="W32" i="19" a="1"/>
  <c r="W32" i="19"/>
  <c r="V32" i="19" a="1"/>
  <c r="V32" i="19" s="1"/>
  <c r="U32" i="19" a="1"/>
  <c r="U32" i="19"/>
  <c r="T32" i="19" a="1"/>
  <c r="T32" i="19" s="1"/>
  <c r="S32" i="19" a="1"/>
  <c r="S32" i="19" s="1"/>
  <c r="R32" i="19" a="1"/>
  <c r="R32" i="19" s="1"/>
  <c r="Q32" i="19" a="1"/>
  <c r="Q32" i="19"/>
  <c r="P32" i="19" a="1"/>
  <c r="P32" i="19" s="1"/>
  <c r="W31" i="19" a="1"/>
  <c r="W31" i="19" s="1"/>
  <c r="V31" i="19" a="1"/>
  <c r="V31" i="19" s="1"/>
  <c r="U31" i="19" a="1"/>
  <c r="U31" i="19" s="1"/>
  <c r="T31" i="19" a="1"/>
  <c r="T31" i="19" s="1"/>
  <c r="S31" i="19" a="1"/>
  <c r="S31" i="19" s="1"/>
  <c r="R31" i="19" a="1"/>
  <c r="R31" i="19" s="1"/>
  <c r="Q31" i="19" a="1"/>
  <c r="Q31" i="19"/>
  <c r="P31" i="19" a="1"/>
  <c r="P31" i="19" s="1"/>
  <c r="AC27" i="19" a="1"/>
  <c r="AC27" i="19"/>
  <c r="AB27" i="19" a="1"/>
  <c r="AB27" i="19" s="1"/>
  <c r="AA27" i="19" a="1"/>
  <c r="AA27" i="19"/>
  <c r="Z27" i="19" a="1"/>
  <c r="Z27" i="19" s="1"/>
  <c r="Y27" i="19" a="1"/>
  <c r="Y27" i="19" s="1"/>
  <c r="O27" i="19" a="1"/>
  <c r="O27" i="19" s="1"/>
  <c r="P27" i="19" s="1" a="1"/>
  <c r="P27" i="19" s="1"/>
  <c r="M27" i="19" a="1"/>
  <c r="M27" i="19" s="1"/>
  <c r="L27" i="19" a="1"/>
  <c r="L27" i="19" s="1"/>
  <c r="K27" i="19" a="1"/>
  <c r="K27" i="19" s="1"/>
  <c r="J27" i="19" a="1"/>
  <c r="J27" i="19" s="1"/>
  <c r="I27" i="19" a="1"/>
  <c r="I27" i="19"/>
  <c r="H27" i="19" a="1"/>
  <c r="H27" i="19" s="1"/>
  <c r="F27" i="19" a="1"/>
  <c r="F27" i="19" s="1"/>
  <c r="C27" i="19" s="1" a="1"/>
  <c r="C27" i="19" s="1"/>
  <c r="E27" i="19" a="1"/>
  <c r="E27" i="19"/>
  <c r="D27" i="19" a="1"/>
  <c r="D27" i="19" s="1"/>
  <c r="T26" i="19" a="1"/>
  <c r="T26" i="19" s="1"/>
  <c r="R26" i="19" a="1"/>
  <c r="R26" i="19" s="1"/>
  <c r="P26" i="19" a="1"/>
  <c r="P26" i="19" s="1"/>
  <c r="N26" i="19" a="1"/>
  <c r="N26" i="19" s="1"/>
  <c r="G26" i="19" a="1"/>
  <c r="G26" i="19"/>
  <c r="Q26" i="19" s="1" a="1"/>
  <c r="Q26" i="19" s="1"/>
  <c r="S26" i="19" s="1" a="1"/>
  <c r="S26" i="19" s="1"/>
  <c r="C26" i="19" a="1"/>
  <c r="C26" i="19" s="1"/>
  <c r="T25" i="19" a="1"/>
  <c r="T25" i="19" s="1"/>
  <c r="P25" i="19" a="1"/>
  <c r="P25" i="19" s="1"/>
  <c r="N25" i="19" a="1"/>
  <c r="N25" i="19" s="1"/>
  <c r="R25" i="19" s="1" a="1"/>
  <c r="R25" i="19" s="1"/>
  <c r="G25" i="19" a="1"/>
  <c r="G25" i="19" s="1"/>
  <c r="Q25" i="19" s="1" a="1"/>
  <c r="Q25" i="19" s="1"/>
  <c r="C25" i="19" a="1"/>
  <c r="C25" i="19" s="1"/>
  <c r="T24" i="19" a="1"/>
  <c r="T24" i="19" s="1"/>
  <c r="R24" i="19"/>
  <c r="P24" i="19" a="1"/>
  <c r="P24" i="19"/>
  <c r="N24" i="19" a="1"/>
  <c r="N24" i="19" s="1"/>
  <c r="R24" i="19" s="1" a="1"/>
  <c r="G24" i="19" a="1"/>
  <c r="G24" i="19" s="1"/>
  <c r="Q24" i="19" s="1" a="1"/>
  <c r="Q24" i="19" s="1"/>
  <c r="C24" i="19" a="1"/>
  <c r="C24" i="19" s="1"/>
  <c r="P23" i="19" a="1"/>
  <c r="P23" i="19" s="1"/>
  <c r="N23" i="19" a="1"/>
  <c r="N23" i="19"/>
  <c r="G23" i="19" a="1"/>
  <c r="G23" i="19" s="1"/>
  <c r="Q23" i="19" s="1" a="1"/>
  <c r="Q23" i="19" s="1"/>
  <c r="C23" i="19" a="1"/>
  <c r="C23" i="19"/>
  <c r="T22" i="19"/>
  <c r="R22" i="19" a="1"/>
  <c r="R22" i="19" s="1"/>
  <c r="P22" i="19" a="1"/>
  <c r="P22" i="19" s="1"/>
  <c r="N22" i="19" a="1"/>
  <c r="N22" i="19" s="1"/>
  <c r="T22" i="19" s="1" a="1"/>
  <c r="G22" i="19" a="1"/>
  <c r="G22" i="19" s="1"/>
  <c r="Q22" i="19" s="1" a="1"/>
  <c r="Q22" i="19" s="1"/>
  <c r="C22" i="19" a="1"/>
  <c r="C22" i="19" s="1"/>
  <c r="R21" i="19" a="1"/>
  <c r="R21" i="19" s="1"/>
  <c r="P21" i="19" a="1"/>
  <c r="P21" i="19" s="1"/>
  <c r="N21" i="19" a="1"/>
  <c r="N21" i="19" s="1"/>
  <c r="T21" i="19" s="1" a="1"/>
  <c r="T21" i="19" s="1"/>
  <c r="G21" i="19" a="1"/>
  <c r="G21" i="19" s="1"/>
  <c r="Q21" i="19" s="1" a="1"/>
  <c r="Q21" i="19" s="1"/>
  <c r="C21" i="19" a="1"/>
  <c r="C21" i="19" s="1"/>
  <c r="T20" i="19" a="1"/>
  <c r="T20" i="19" s="1"/>
  <c r="R20" i="19" a="1"/>
  <c r="R20" i="19" s="1"/>
  <c r="S20" i="19" s="1" a="1"/>
  <c r="S20" i="19" s="1"/>
  <c r="P20" i="19" a="1"/>
  <c r="P20" i="19"/>
  <c r="N20" i="19" a="1"/>
  <c r="N20" i="19" s="1"/>
  <c r="G20" i="19" a="1"/>
  <c r="G20" i="19"/>
  <c r="Q20" i="19" s="1" a="1"/>
  <c r="Q20" i="19" s="1"/>
  <c r="C20" i="19" a="1"/>
  <c r="C20" i="19" s="1"/>
  <c r="P19" i="19" a="1"/>
  <c r="P19" i="19" s="1"/>
  <c r="N19" i="19" a="1"/>
  <c r="N19" i="19" s="1"/>
  <c r="G19" i="19" a="1"/>
  <c r="G19" i="19" s="1"/>
  <c r="Q19" i="19" s="1" a="1"/>
  <c r="Q19" i="19" s="1"/>
  <c r="C19" i="19" a="1"/>
  <c r="C19" i="19"/>
  <c r="P18" i="19" a="1"/>
  <c r="P18" i="19" s="1"/>
  <c r="N18" i="19" a="1"/>
  <c r="N18" i="19" s="1"/>
  <c r="R18" i="19" s="1" a="1"/>
  <c r="R18" i="19" s="1"/>
  <c r="G18" i="19" a="1"/>
  <c r="G18" i="19" s="1"/>
  <c r="Q18" i="19" s="1" a="1"/>
  <c r="Q18" i="19" s="1"/>
  <c r="C18" i="19" a="1"/>
  <c r="C18" i="19" s="1"/>
  <c r="T17" i="19" a="1"/>
  <c r="T17" i="19" s="1"/>
  <c r="R17" i="19" a="1"/>
  <c r="R17" i="19" s="1"/>
  <c r="P17" i="19" a="1"/>
  <c r="P17" i="19" s="1"/>
  <c r="N17" i="19" a="1"/>
  <c r="N17" i="19" s="1"/>
  <c r="G17" i="19" a="1"/>
  <c r="G17" i="19" s="1"/>
  <c r="Q17" i="19" s="1" a="1"/>
  <c r="Q17" i="19" s="1"/>
  <c r="C17" i="19" a="1"/>
  <c r="C17" i="19"/>
  <c r="N16" i="19" a="1"/>
  <c r="N16" i="19" s="1"/>
  <c r="G16" i="19" a="1"/>
  <c r="G16" i="19"/>
  <c r="P15" i="19" a="1"/>
  <c r="P15" i="19" s="1"/>
  <c r="N15" i="19" a="1"/>
  <c r="N15" i="19" s="1"/>
  <c r="G15" i="19" a="1"/>
  <c r="G15" i="19"/>
  <c r="Q15" i="19" s="1" a="1"/>
  <c r="Q15" i="19" s="1"/>
  <c r="C15" i="19" a="1"/>
  <c r="C15" i="19" s="1"/>
  <c r="P14" i="19" a="1"/>
  <c r="P14" i="19" s="1"/>
  <c r="N14" i="19" a="1"/>
  <c r="N14" i="19" s="1"/>
  <c r="G14" i="19" a="1"/>
  <c r="G14" i="19" s="1"/>
  <c r="Q14" i="19" s="1" a="1"/>
  <c r="Q14" i="19" s="1"/>
  <c r="C14" i="19" a="1"/>
  <c r="C14" i="19"/>
  <c r="T13" i="19" a="1"/>
  <c r="T13" i="19" s="1"/>
  <c r="S13" i="19" a="1"/>
  <c r="S13" i="19" s="1"/>
  <c r="R13" i="19" a="1"/>
  <c r="R13" i="19" s="1"/>
  <c r="P13" i="19" a="1"/>
  <c r="P13" i="19"/>
  <c r="N13" i="19" a="1"/>
  <c r="N13" i="19" s="1"/>
  <c r="G13" i="19" a="1"/>
  <c r="G13" i="19" s="1"/>
  <c r="Q13" i="19" s="1" a="1"/>
  <c r="Q13" i="19" s="1"/>
  <c r="C13" i="19" a="1"/>
  <c r="C13" i="19"/>
  <c r="T12" i="19" a="1"/>
  <c r="T12" i="19" s="1"/>
  <c r="R12" i="19" a="1"/>
  <c r="R12" i="19" s="1"/>
  <c r="P12" i="19" a="1"/>
  <c r="P12" i="19"/>
  <c r="N12" i="19" a="1"/>
  <c r="N12" i="19"/>
  <c r="G12" i="19" a="1"/>
  <c r="G12" i="19" s="1"/>
  <c r="Q12" i="19" s="1" a="1"/>
  <c r="Q12" i="19" s="1"/>
  <c r="C12" i="19" a="1"/>
  <c r="C12" i="19"/>
  <c r="P11" i="19" a="1"/>
  <c r="P11" i="19"/>
  <c r="N11" i="19" a="1"/>
  <c r="N11" i="19" s="1"/>
  <c r="G11" i="19" a="1"/>
  <c r="G11" i="19"/>
  <c r="Q11" i="19" s="1" a="1"/>
  <c r="Q11" i="19" s="1"/>
  <c r="C11" i="19" a="1"/>
  <c r="C11" i="19" s="1"/>
  <c r="P10" i="19" a="1"/>
  <c r="P10" i="19" s="1"/>
  <c r="N10" i="19" a="1"/>
  <c r="N10" i="19" s="1"/>
  <c r="G10" i="19" a="1"/>
  <c r="G10" i="19"/>
  <c r="Q10" i="19" s="1" a="1"/>
  <c r="Q10" i="19" s="1"/>
  <c r="C10" i="19" a="1"/>
  <c r="C10" i="19"/>
  <c r="T9" i="19" a="1"/>
  <c r="T9" i="19"/>
  <c r="R9" i="19" a="1"/>
  <c r="R9" i="19" s="1"/>
  <c r="P9" i="19" a="1"/>
  <c r="P9" i="19"/>
  <c r="G9" i="19" a="1"/>
  <c r="G9" i="19"/>
  <c r="Q9" i="19" s="1" a="1"/>
  <c r="Q9" i="19" s="1"/>
  <c r="C9" i="19" a="1"/>
  <c r="C9" i="19" s="1"/>
  <c r="Q8" i="19" a="1"/>
  <c r="Q8" i="19" s="1"/>
  <c r="P8" i="19" a="1"/>
  <c r="P8" i="19" s="1"/>
  <c r="N8" i="19" a="1"/>
  <c r="N8" i="19" s="1"/>
  <c r="C8" i="19" a="1"/>
  <c r="C8" i="19" s="1"/>
  <c r="N7" i="19" a="1"/>
  <c r="N7" i="19" s="1"/>
  <c r="G7" i="19" a="1"/>
  <c r="G7" i="19" s="1"/>
  <c r="Q6" i="19" a="1"/>
  <c r="Q6" i="19" s="1"/>
  <c r="P6" i="19" a="1"/>
  <c r="P6" i="19" s="1"/>
  <c r="N6" i="19" a="1"/>
  <c r="N6" i="19"/>
  <c r="G6" i="19" a="1"/>
  <c r="G6" i="19" s="1"/>
  <c r="C6" i="19" a="1"/>
  <c r="C6" i="19"/>
  <c r="W14" i="19" s="1" a="1"/>
  <c r="W14" i="19" s="1"/>
  <c r="P4" i="19" a="1"/>
  <c r="P4" i="19" s="1"/>
  <c r="N4" i="19" a="1"/>
  <c r="N4" i="19" s="1"/>
  <c r="G4" i="19" a="1"/>
  <c r="G4" i="19"/>
  <c r="C4" i="19" a="1"/>
  <c r="C4" i="19" s="1"/>
  <c r="Z42" i="18" a="1"/>
  <c r="Z42" i="18" s="1"/>
  <c r="Y42" i="18" a="1"/>
  <c r="Y42" i="18"/>
  <c r="U42" i="18" a="1"/>
  <c r="U42" i="18" s="1"/>
  <c r="T42" i="18" a="1"/>
  <c r="T42" i="18" s="1"/>
  <c r="O42" i="18" a="1"/>
  <c r="O42" i="18" s="1"/>
  <c r="P42" i="18" s="1" a="1"/>
  <c r="P42" i="18" s="1"/>
  <c r="N42" i="18" a="1"/>
  <c r="N42" i="18"/>
  <c r="M42" i="18" a="1"/>
  <c r="M42" i="18" s="1"/>
  <c r="L42" i="18" a="1"/>
  <c r="L42" i="18" s="1"/>
  <c r="K42" i="18" a="1"/>
  <c r="K42" i="18" s="1"/>
  <c r="Q42" i="18" s="1" a="1"/>
  <c r="Q42" i="18" s="1"/>
  <c r="J42" i="18" a="1"/>
  <c r="J42" i="18"/>
  <c r="I42" i="18" a="1"/>
  <c r="I42" i="18" s="1"/>
  <c r="H42" i="18" a="1"/>
  <c r="H42" i="18"/>
  <c r="S42" i="18" s="1" a="1"/>
  <c r="S42" i="18" s="1"/>
  <c r="G42" i="18" a="1"/>
  <c r="G42" i="18"/>
  <c r="F42" i="18" a="1"/>
  <c r="F42" i="18" s="1"/>
  <c r="E42" i="18" a="1"/>
  <c r="E42" i="18" s="1"/>
  <c r="D42" i="18" a="1"/>
  <c r="D42" i="18"/>
  <c r="C42" i="18" a="1"/>
  <c r="C42" i="18" s="1"/>
  <c r="W41" i="18" a="1"/>
  <c r="W41" i="18"/>
  <c r="V41" i="18" a="1"/>
  <c r="V41" i="18" s="1"/>
  <c r="U41" i="18" a="1"/>
  <c r="U41" i="18" s="1"/>
  <c r="T41" i="18" a="1"/>
  <c r="T41" i="18"/>
  <c r="S41" i="18" a="1"/>
  <c r="S41" i="18"/>
  <c r="R41" i="18" a="1"/>
  <c r="R41" i="18" s="1"/>
  <c r="Q41" i="18" a="1"/>
  <c r="Q41" i="18"/>
  <c r="P41" i="18" a="1"/>
  <c r="P41" i="18"/>
  <c r="W40" i="18" a="1"/>
  <c r="W40" i="18" s="1"/>
  <c r="V40" i="18" a="1"/>
  <c r="V40" i="18" s="1"/>
  <c r="U40" i="18" a="1"/>
  <c r="U40" i="18" s="1"/>
  <c r="T40" i="18" a="1"/>
  <c r="T40" i="18" s="1"/>
  <c r="S40" i="18" a="1"/>
  <c r="S40" i="18"/>
  <c r="R40" i="18" a="1"/>
  <c r="R40" i="18" s="1"/>
  <c r="Q40" i="18" a="1"/>
  <c r="Q40" i="18"/>
  <c r="P40" i="18" a="1"/>
  <c r="P40" i="18"/>
  <c r="W39" i="18" a="1"/>
  <c r="W39" i="18"/>
  <c r="V39" i="18" a="1"/>
  <c r="V39" i="18" s="1"/>
  <c r="U39" i="18" a="1"/>
  <c r="U39" i="18"/>
  <c r="T39" i="18" a="1"/>
  <c r="T39" i="18" s="1"/>
  <c r="S39" i="18" a="1"/>
  <c r="S39" i="18" s="1"/>
  <c r="R39" i="18" a="1"/>
  <c r="R39" i="18" s="1"/>
  <c r="Q39" i="18" a="1"/>
  <c r="Q39" i="18" s="1"/>
  <c r="P39" i="18" a="1"/>
  <c r="P39" i="18"/>
  <c r="W38" i="18" a="1"/>
  <c r="W38" i="18"/>
  <c r="V38" i="18" a="1"/>
  <c r="V38" i="18" s="1"/>
  <c r="U38" i="18" a="1"/>
  <c r="U38" i="18"/>
  <c r="T38" i="18" a="1"/>
  <c r="T38" i="18"/>
  <c r="S38" i="18" a="1"/>
  <c r="S38" i="18" s="1"/>
  <c r="R38" i="18" a="1"/>
  <c r="R38" i="18" s="1"/>
  <c r="Q38" i="18" a="1"/>
  <c r="Q38" i="18"/>
  <c r="P38" i="18" a="1"/>
  <c r="P38" i="18" s="1"/>
  <c r="W37" i="18" a="1"/>
  <c r="W37" i="18" s="1"/>
  <c r="V37" i="18" a="1"/>
  <c r="V37" i="18" s="1"/>
  <c r="U37" i="18" a="1"/>
  <c r="U37" i="18" s="1"/>
  <c r="T37" i="18" a="1"/>
  <c r="T37" i="18"/>
  <c r="S37" i="18" a="1"/>
  <c r="S37" i="18"/>
  <c r="R37" i="18" a="1"/>
  <c r="R37" i="18" s="1"/>
  <c r="Q37" i="18" a="1"/>
  <c r="Q37" i="18"/>
  <c r="P37" i="18" a="1"/>
  <c r="P37" i="18"/>
  <c r="W36" i="18" a="1"/>
  <c r="W36" i="18" s="1"/>
  <c r="V36" i="18" a="1"/>
  <c r="V36" i="18" s="1"/>
  <c r="U36" i="18" a="1"/>
  <c r="U36" i="18" s="1"/>
  <c r="T36" i="18" a="1"/>
  <c r="T36" i="18" s="1"/>
  <c r="S36" i="18" a="1"/>
  <c r="S36" i="18"/>
  <c r="R36" i="18" a="1"/>
  <c r="R36" i="18" s="1"/>
  <c r="Q36" i="18" a="1"/>
  <c r="Q36" i="18" s="1"/>
  <c r="P36" i="18" a="1"/>
  <c r="P36" i="18"/>
  <c r="W35" i="18" a="1"/>
  <c r="W35" i="18" s="1"/>
  <c r="V35" i="18" a="1"/>
  <c r="V35" i="18" s="1"/>
  <c r="U35" i="18" a="1"/>
  <c r="U35" i="18"/>
  <c r="T35" i="18" a="1"/>
  <c r="T35" i="18" s="1"/>
  <c r="S35" i="18" a="1"/>
  <c r="S35" i="18"/>
  <c r="R35" i="18" a="1"/>
  <c r="R35" i="18" s="1"/>
  <c r="Q35" i="18" a="1"/>
  <c r="Q35" i="18" s="1"/>
  <c r="P35" i="18" a="1"/>
  <c r="P35" i="18"/>
  <c r="W34" i="18" a="1"/>
  <c r="W34" i="18"/>
  <c r="V34" i="18" a="1"/>
  <c r="V34" i="18" s="1"/>
  <c r="U34" i="18" a="1"/>
  <c r="U34" i="18"/>
  <c r="T34" i="18" a="1"/>
  <c r="T34" i="18"/>
  <c r="S34" i="18" a="1"/>
  <c r="S34" i="18" s="1"/>
  <c r="R34" i="18" a="1"/>
  <c r="R34" i="18" s="1"/>
  <c r="Q34" i="18" a="1"/>
  <c r="Q34" i="18" s="1"/>
  <c r="P34" i="18" a="1"/>
  <c r="P34" i="18" s="1"/>
  <c r="W33" i="18" a="1"/>
  <c r="W33" i="18" s="1"/>
  <c r="V33" i="18" a="1"/>
  <c r="V33" i="18" s="1"/>
  <c r="U33" i="18" a="1"/>
  <c r="U33" i="18"/>
  <c r="T33" i="18" a="1"/>
  <c r="T33" i="18"/>
  <c r="S33" i="18" a="1"/>
  <c r="S33" i="18"/>
  <c r="R33" i="18" a="1"/>
  <c r="R33" i="18" s="1"/>
  <c r="Q33" i="18" a="1"/>
  <c r="Q33" i="18"/>
  <c r="P33" i="18" a="1"/>
  <c r="P33" i="18" s="1"/>
  <c r="W32" i="18" a="1"/>
  <c r="W32" i="18" s="1"/>
  <c r="V32" i="18" a="1"/>
  <c r="V32" i="18" s="1"/>
  <c r="U32" i="18" a="1"/>
  <c r="U32" i="18" s="1"/>
  <c r="T32" i="18" a="1"/>
  <c r="T32" i="18"/>
  <c r="S32" i="18" a="1"/>
  <c r="S32" i="18"/>
  <c r="R32" i="18" a="1"/>
  <c r="R32" i="18" s="1"/>
  <c r="Q32" i="18" a="1"/>
  <c r="Q32" i="18" s="1"/>
  <c r="P32" i="18" a="1"/>
  <c r="P32" i="18"/>
  <c r="W31" i="18" a="1"/>
  <c r="W31" i="18" s="1"/>
  <c r="V31" i="18" a="1"/>
  <c r="V31" i="18" s="1"/>
  <c r="U31" i="18" a="1"/>
  <c r="U31" i="18"/>
  <c r="T31" i="18" a="1"/>
  <c r="T31" i="18" s="1"/>
  <c r="S31" i="18" a="1"/>
  <c r="S31" i="18"/>
  <c r="R31" i="18" a="1"/>
  <c r="R31" i="18" s="1"/>
  <c r="Q31" i="18" a="1"/>
  <c r="Q31" i="18" s="1"/>
  <c r="P31" i="18" a="1"/>
  <c r="P31" i="18" s="1"/>
  <c r="AC27" i="18" a="1"/>
  <c r="AC27" i="18"/>
  <c r="AB27" i="18" a="1"/>
  <c r="AB27" i="18" s="1"/>
  <c r="AA27" i="18" a="1"/>
  <c r="AA27" i="18"/>
  <c r="Z27" i="18" a="1"/>
  <c r="Z27" i="18"/>
  <c r="Y27" i="18" a="1"/>
  <c r="Y27" i="18" s="1"/>
  <c r="O27" i="18" a="1"/>
  <c r="O27" i="18" s="1"/>
  <c r="P27" i="18" s="1" a="1"/>
  <c r="P27" i="18" s="1"/>
  <c r="M27" i="18" a="1"/>
  <c r="M27" i="18" s="1"/>
  <c r="L27" i="18" a="1"/>
  <c r="L27" i="18" s="1"/>
  <c r="K27" i="18" a="1"/>
  <c r="K27" i="18"/>
  <c r="J27" i="18" a="1"/>
  <c r="J27" i="18"/>
  <c r="I27" i="18" a="1"/>
  <c r="I27" i="18"/>
  <c r="H27" i="18" a="1"/>
  <c r="H27" i="18" s="1"/>
  <c r="F27" i="18" a="1"/>
  <c r="F27" i="18" s="1"/>
  <c r="C27" i="18" s="1" a="1"/>
  <c r="C27" i="18" s="1"/>
  <c r="E27" i="18" a="1"/>
  <c r="E27" i="18" s="1"/>
  <c r="D27" i="18" a="1"/>
  <c r="D27" i="18" s="1"/>
  <c r="T26" i="18" a="1"/>
  <c r="T26" i="18" s="1"/>
  <c r="Q26" i="18" a="1"/>
  <c r="Q26" i="18" s="1"/>
  <c r="P26" i="18" a="1"/>
  <c r="P26" i="18"/>
  <c r="N26" i="18" a="1"/>
  <c r="N26" i="18" s="1"/>
  <c r="R26" i="18" s="1" a="1"/>
  <c r="R26" i="18" s="1"/>
  <c r="G26" i="18" a="1"/>
  <c r="G26" i="18"/>
  <c r="C26" i="18" a="1"/>
  <c r="C26" i="18" s="1"/>
  <c r="W26" i="18" s="1" a="1"/>
  <c r="W26" i="18" s="1"/>
  <c r="P24" i="18" a="1"/>
  <c r="P24" i="18" s="1"/>
  <c r="N24" i="18" a="1"/>
  <c r="N24" i="18" s="1"/>
  <c r="G24" i="18" a="1"/>
  <c r="G24" i="18" s="1"/>
  <c r="Q24" i="18" s="1" a="1"/>
  <c r="Q24" i="18" s="1"/>
  <c r="C24" i="18" a="1"/>
  <c r="C24" i="18"/>
  <c r="P23" i="18" a="1"/>
  <c r="P23" i="18" s="1"/>
  <c r="N23" i="18" a="1"/>
  <c r="N23" i="18" s="1"/>
  <c r="G23" i="18" a="1"/>
  <c r="G23" i="18" s="1"/>
  <c r="Q23" i="18" s="1" a="1"/>
  <c r="Q23" i="18" s="1"/>
  <c r="C23" i="18" a="1"/>
  <c r="C23" i="18"/>
  <c r="R22" i="18" a="1"/>
  <c r="R22" i="18" s="1"/>
  <c r="Q22" i="18" a="1"/>
  <c r="Q22" i="18"/>
  <c r="P22" i="18" a="1"/>
  <c r="P22" i="18" s="1"/>
  <c r="N22" i="18" a="1"/>
  <c r="N22" i="18"/>
  <c r="T22" i="18" s="1" a="1"/>
  <c r="T22" i="18" s="1"/>
  <c r="C22" i="18" a="1"/>
  <c r="C22" i="18" s="1"/>
  <c r="Q21" i="18" a="1"/>
  <c r="Q21" i="18" s="1"/>
  <c r="P21" i="18" a="1"/>
  <c r="P21" i="18" s="1"/>
  <c r="N21" i="18" a="1"/>
  <c r="N21" i="18" s="1"/>
  <c r="G21" i="18" a="1"/>
  <c r="G21" i="18" s="1"/>
  <c r="C21" i="18" a="1"/>
  <c r="C21" i="18"/>
  <c r="W21" i="18" s="1" a="1"/>
  <c r="W21" i="18" s="1"/>
  <c r="P20" i="18" a="1"/>
  <c r="P20" i="18" s="1"/>
  <c r="N20" i="18" a="1"/>
  <c r="N20" i="18" s="1"/>
  <c r="G20" i="18" a="1"/>
  <c r="G20" i="18" s="1"/>
  <c r="Q20" i="18" s="1" a="1"/>
  <c r="Q20" i="18" s="1"/>
  <c r="C20" i="18" a="1"/>
  <c r="C20" i="18"/>
  <c r="P19" i="18" a="1"/>
  <c r="P19" i="18"/>
  <c r="N19" i="18" a="1"/>
  <c r="N19" i="18"/>
  <c r="G19" i="18" a="1"/>
  <c r="G19" i="18"/>
  <c r="Q19" i="18" s="1" a="1"/>
  <c r="Q19" i="18" s="1"/>
  <c r="C19" i="18" a="1"/>
  <c r="C19" i="18" s="1"/>
  <c r="T18" i="18" a="1"/>
  <c r="T18" i="18" s="1"/>
  <c r="P18" i="18" a="1"/>
  <c r="P18" i="18" s="1"/>
  <c r="N18" i="18" a="1"/>
  <c r="N18" i="18"/>
  <c r="R18" i="18" s="1" a="1"/>
  <c r="R18" i="18" s="1"/>
  <c r="G18" i="18" a="1"/>
  <c r="G18" i="18"/>
  <c r="Q18" i="18" s="1" a="1"/>
  <c r="Q18" i="18" s="1"/>
  <c r="C18" i="18" a="1"/>
  <c r="C18" i="18"/>
  <c r="Q17" i="18" a="1"/>
  <c r="Q17" i="18"/>
  <c r="P17" i="18" a="1"/>
  <c r="P17" i="18"/>
  <c r="N17" i="18" a="1"/>
  <c r="N17" i="18" s="1"/>
  <c r="G17" i="18" a="1"/>
  <c r="G17" i="18"/>
  <c r="C17" i="18" a="1"/>
  <c r="C17" i="18"/>
  <c r="P16" i="18" a="1"/>
  <c r="P16" i="18"/>
  <c r="N16" i="18" a="1"/>
  <c r="N16" i="18"/>
  <c r="G16" i="18" a="1"/>
  <c r="G16" i="18" s="1"/>
  <c r="Q16" i="18" s="1" a="1"/>
  <c r="Q16" i="18" s="1"/>
  <c r="C16" i="18" a="1"/>
  <c r="C16" i="18" s="1"/>
  <c r="Q15" i="18" a="1"/>
  <c r="Q15" i="18" s="1"/>
  <c r="P15" i="18" a="1"/>
  <c r="P15" i="18" s="1"/>
  <c r="N15" i="18" a="1"/>
  <c r="N15" i="18"/>
  <c r="G15" i="18" a="1"/>
  <c r="G15" i="18"/>
  <c r="C15" i="18" a="1"/>
  <c r="C15" i="18" s="1"/>
  <c r="P13" i="18" a="1"/>
  <c r="P13" i="18" s="1"/>
  <c r="N13" i="18" a="1"/>
  <c r="N13" i="18" s="1"/>
  <c r="G13" i="18" a="1"/>
  <c r="G13" i="18" s="1"/>
  <c r="Q13" i="18" s="1" a="1"/>
  <c r="Q13" i="18" s="1"/>
  <c r="C13" i="18" a="1"/>
  <c r="C13" i="18"/>
  <c r="P12" i="18" a="1"/>
  <c r="P12" i="18"/>
  <c r="N12" i="18" a="1"/>
  <c r="N12" i="18" s="1"/>
  <c r="G12" i="18" a="1"/>
  <c r="G12" i="18" s="1"/>
  <c r="Q12" i="18" s="1" a="1"/>
  <c r="Q12" i="18" s="1"/>
  <c r="C12" i="18" a="1"/>
  <c r="C12" i="18"/>
  <c r="T10" i="18" a="1"/>
  <c r="T10" i="18" s="1"/>
  <c r="Q10" i="18" a="1"/>
  <c r="Q10" i="18" s="1"/>
  <c r="P10" i="18" a="1"/>
  <c r="P10" i="18"/>
  <c r="N10" i="18" a="1"/>
  <c r="N10" i="18" s="1"/>
  <c r="R10" i="18" s="1" a="1"/>
  <c r="R10" i="18" s="1"/>
  <c r="S10" i="18" s="1" a="1"/>
  <c r="S10" i="18" s="1"/>
  <c r="G10" i="18" a="1"/>
  <c r="G10" i="18" s="1"/>
  <c r="C10" i="18" a="1"/>
  <c r="C10" i="18" s="1"/>
  <c r="P9" i="18" a="1"/>
  <c r="P9" i="18" s="1"/>
  <c r="N9" i="18" a="1"/>
  <c r="N9" i="18" s="1"/>
  <c r="G9" i="18" a="1"/>
  <c r="G9" i="18"/>
  <c r="Q9" i="18" s="1" a="1"/>
  <c r="Q9" i="18" s="1"/>
  <c r="C9" i="18" a="1"/>
  <c r="C9" i="18" s="1"/>
  <c r="Q8" i="18" a="1"/>
  <c r="Q8" i="18" s="1"/>
  <c r="P8" i="18" a="1"/>
  <c r="P8" i="18" s="1"/>
  <c r="N8" i="18" a="1"/>
  <c r="N8" i="18" s="1"/>
  <c r="G8" i="18" a="1"/>
  <c r="G8" i="18" s="1"/>
  <c r="C8" i="18" a="1"/>
  <c r="C8" i="18"/>
  <c r="P7" i="18" a="1"/>
  <c r="P7" i="18" s="1"/>
  <c r="N7" i="18" a="1"/>
  <c r="N7" i="18" s="1"/>
  <c r="G7" i="18" a="1"/>
  <c r="G7" i="18" s="1"/>
  <c r="Q7" i="18" s="1" a="1"/>
  <c r="Q7" i="18" s="1"/>
  <c r="C7" i="18" a="1"/>
  <c r="C7" i="18"/>
  <c r="T5" i="18" a="1"/>
  <c r="T5" i="18" s="1"/>
  <c r="R5" i="18" a="1"/>
  <c r="R5" i="18" s="1"/>
  <c r="P5" i="18" a="1"/>
  <c r="P5" i="18" s="1"/>
  <c r="N5" i="18" a="1"/>
  <c r="N5" i="18"/>
  <c r="G5" i="18" a="1"/>
  <c r="G5" i="18" s="1"/>
  <c r="Q5" i="18" s="1" a="1"/>
  <c r="Q5" i="18" s="1"/>
  <c r="C5" i="18" a="1"/>
  <c r="C5" i="18" s="1"/>
  <c r="P4" i="18" a="1"/>
  <c r="P4" i="18" s="1"/>
  <c r="N4" i="18" a="1"/>
  <c r="N4" i="18" s="1"/>
  <c r="T4" i="18" s="1" a="1"/>
  <c r="T4" i="18" s="1"/>
  <c r="G4" i="18" a="1"/>
  <c r="G4" i="18" s="1"/>
  <c r="C4" i="18" a="1"/>
  <c r="C4" i="18" s="1"/>
  <c r="W24" i="18" s="1" a="1"/>
  <c r="W24" i="18" s="1"/>
  <c r="Z42" i="17" a="1"/>
  <c r="Z42" i="17"/>
  <c r="Y42" i="17" a="1"/>
  <c r="Y42" i="17"/>
  <c r="U42" i="17" a="1"/>
  <c r="U42" i="17" s="1"/>
  <c r="P42" i="17" a="1"/>
  <c r="P42" i="17" s="1"/>
  <c r="O42" i="17" a="1"/>
  <c r="O42" i="17"/>
  <c r="N42" i="17" a="1"/>
  <c r="N42" i="17"/>
  <c r="M42" i="17" a="1"/>
  <c r="M42" i="17" s="1"/>
  <c r="L42" i="17" a="1"/>
  <c r="L42" i="17" s="1"/>
  <c r="K42" i="17" a="1"/>
  <c r="K42" i="17" s="1"/>
  <c r="Q42" i="17" s="1" a="1"/>
  <c r="Q42" i="17" s="1"/>
  <c r="J42" i="17" a="1"/>
  <c r="J42" i="17" s="1"/>
  <c r="I42" i="17" a="1"/>
  <c r="I42" i="17" s="1"/>
  <c r="H42" i="17" a="1"/>
  <c r="H42" i="17"/>
  <c r="G42" i="17" a="1"/>
  <c r="G42" i="17" s="1"/>
  <c r="F42" i="17" a="1"/>
  <c r="F42" i="17"/>
  <c r="E42" i="17" a="1"/>
  <c r="E42" i="17" s="1"/>
  <c r="D42" i="17" a="1"/>
  <c r="D42" i="17" s="1"/>
  <c r="C42" i="17" a="1"/>
  <c r="C42" i="17"/>
  <c r="W41" i="17" a="1"/>
  <c r="W41" i="17" s="1"/>
  <c r="V41" i="17" a="1"/>
  <c r="V41" i="17" s="1"/>
  <c r="U41" i="17" a="1"/>
  <c r="U41" i="17"/>
  <c r="T41" i="17" a="1"/>
  <c r="T41" i="17"/>
  <c r="S41" i="17" a="1"/>
  <c r="S41" i="17" s="1"/>
  <c r="R41" i="17" a="1"/>
  <c r="R41" i="17" s="1"/>
  <c r="Q41" i="17" a="1"/>
  <c r="Q41" i="17" s="1"/>
  <c r="P41" i="17" a="1"/>
  <c r="P41" i="17" s="1"/>
  <c r="W40" i="17" a="1"/>
  <c r="W40" i="17" s="1"/>
  <c r="V40" i="17" a="1"/>
  <c r="V40" i="17" s="1"/>
  <c r="U40" i="17" a="1"/>
  <c r="U40" i="17"/>
  <c r="T40" i="17" a="1"/>
  <c r="T40" i="17"/>
  <c r="S40" i="17" a="1"/>
  <c r="S40" i="17"/>
  <c r="R40" i="17" a="1"/>
  <c r="R40" i="17" s="1"/>
  <c r="Q40" i="17" a="1"/>
  <c r="Q40" i="17" s="1"/>
  <c r="P40" i="17" a="1"/>
  <c r="P40" i="17" s="1"/>
  <c r="W39" i="17" a="1"/>
  <c r="W39" i="17" s="1"/>
  <c r="V39" i="17" a="1"/>
  <c r="V39" i="17" s="1"/>
  <c r="U39" i="17" a="1"/>
  <c r="U39" i="17" s="1"/>
  <c r="T39" i="17" a="1"/>
  <c r="T39" i="17"/>
  <c r="S39" i="17" a="1"/>
  <c r="S39" i="17"/>
  <c r="R39" i="17" a="1"/>
  <c r="R39" i="17" s="1"/>
  <c r="Q39" i="17" a="1"/>
  <c r="Q39" i="17"/>
  <c r="P39" i="17" a="1"/>
  <c r="P39" i="17" s="1"/>
  <c r="W38" i="17" a="1"/>
  <c r="W38" i="17" s="1"/>
  <c r="V38" i="17" a="1"/>
  <c r="V38" i="17" s="1"/>
  <c r="U38" i="17" a="1"/>
  <c r="U38" i="17"/>
  <c r="T38" i="17" a="1"/>
  <c r="T38" i="17" s="1"/>
  <c r="S38" i="17" a="1"/>
  <c r="S38" i="17"/>
  <c r="R38" i="17" a="1"/>
  <c r="R38" i="17" s="1"/>
  <c r="Q38" i="17" a="1"/>
  <c r="Q38" i="17" s="1"/>
  <c r="P38" i="17" a="1"/>
  <c r="P38" i="17" s="1"/>
  <c r="W37" i="17" a="1"/>
  <c r="W37" i="17" s="1"/>
  <c r="V37" i="17" a="1"/>
  <c r="V37" i="17" s="1"/>
  <c r="U37" i="17" a="1"/>
  <c r="U37" i="17"/>
  <c r="T37" i="17" a="1"/>
  <c r="T37" i="17"/>
  <c r="S37" i="17" a="1"/>
  <c r="S37" i="17" s="1"/>
  <c r="R37" i="17" a="1"/>
  <c r="R37" i="17" s="1"/>
  <c r="Q37" i="17" a="1"/>
  <c r="Q37" i="17" s="1"/>
  <c r="P37" i="17" a="1"/>
  <c r="P37" i="17" s="1"/>
  <c r="W36" i="17" a="1"/>
  <c r="W36" i="17"/>
  <c r="V36" i="17" a="1"/>
  <c r="V36" i="17" s="1"/>
  <c r="U36" i="17" a="1"/>
  <c r="U36" i="17"/>
  <c r="T36" i="17" a="1"/>
  <c r="T36" i="17"/>
  <c r="S36" i="17" a="1"/>
  <c r="S36" i="17"/>
  <c r="R36" i="17" a="1"/>
  <c r="R36" i="17" s="1"/>
  <c r="Q36" i="17" a="1"/>
  <c r="Q36" i="17" s="1"/>
  <c r="P36" i="17" a="1"/>
  <c r="P36" i="17" s="1"/>
  <c r="W35" i="17" a="1"/>
  <c r="W35" i="17" s="1"/>
  <c r="V35" i="17" a="1"/>
  <c r="V35" i="17" s="1"/>
  <c r="U35" i="17" a="1"/>
  <c r="U35" i="17" s="1"/>
  <c r="T35" i="17" a="1"/>
  <c r="T35" i="17"/>
  <c r="S35" i="17" a="1"/>
  <c r="S35" i="17"/>
  <c r="R35" i="17" a="1"/>
  <c r="R35" i="17" s="1"/>
  <c r="Q35" i="17" a="1"/>
  <c r="Q35" i="17" s="1"/>
  <c r="P35" i="17" a="1"/>
  <c r="P35" i="17" s="1"/>
  <c r="W34" i="17" a="1"/>
  <c r="W34" i="17" s="1"/>
  <c r="V34" i="17" a="1"/>
  <c r="V34" i="17" s="1"/>
  <c r="U34" i="17" a="1"/>
  <c r="U34" i="17"/>
  <c r="T34" i="17" a="1"/>
  <c r="T34" i="17" s="1"/>
  <c r="S34" i="17" a="1"/>
  <c r="S34" i="17"/>
  <c r="R34" i="17" a="1"/>
  <c r="R34" i="17" s="1"/>
  <c r="Q34" i="17" a="1"/>
  <c r="Q34" i="17" s="1"/>
  <c r="P34" i="17" a="1"/>
  <c r="P34" i="17"/>
  <c r="W33" i="17" a="1"/>
  <c r="W33" i="17" s="1"/>
  <c r="V33" i="17" a="1"/>
  <c r="V33" i="17" s="1"/>
  <c r="U33" i="17" a="1"/>
  <c r="U33" i="17"/>
  <c r="T33" i="17" a="1"/>
  <c r="T33" i="17"/>
  <c r="S33" i="17" a="1"/>
  <c r="S33" i="17" s="1"/>
  <c r="R33" i="17" a="1"/>
  <c r="R33" i="17" s="1"/>
  <c r="Q33" i="17" a="1"/>
  <c r="Q33" i="17" s="1"/>
  <c r="P33" i="17" a="1"/>
  <c r="P33" i="17" s="1"/>
  <c r="W32" i="17" a="1"/>
  <c r="W32" i="17" s="1"/>
  <c r="V32" i="17" a="1"/>
  <c r="V32" i="17" s="1"/>
  <c r="U32" i="17" a="1"/>
  <c r="U32" i="17"/>
  <c r="T32" i="17" a="1"/>
  <c r="T32" i="17"/>
  <c r="S32" i="17" a="1"/>
  <c r="S32" i="17"/>
  <c r="R32" i="17" a="1"/>
  <c r="R32" i="17" s="1"/>
  <c r="Q32" i="17" a="1"/>
  <c r="Q32" i="17" s="1"/>
  <c r="P32" i="17" a="1"/>
  <c r="P32" i="17" s="1"/>
  <c r="W31" i="17" a="1"/>
  <c r="W31" i="17" s="1"/>
  <c r="V31" i="17" a="1"/>
  <c r="V31" i="17" s="1"/>
  <c r="U31" i="17" a="1"/>
  <c r="U31" i="17" s="1"/>
  <c r="T31" i="17" a="1"/>
  <c r="T31" i="17"/>
  <c r="S31" i="17" a="1"/>
  <c r="S31" i="17"/>
  <c r="R31" i="17" a="1"/>
  <c r="R31" i="17" s="1"/>
  <c r="Q31" i="17" a="1"/>
  <c r="Q31" i="17"/>
  <c r="P31" i="17" a="1"/>
  <c r="P31" i="17" s="1"/>
  <c r="AC27" i="17" a="1"/>
  <c r="AC27" i="17" s="1"/>
  <c r="AB27" i="17" a="1"/>
  <c r="AB27" i="17" s="1"/>
  <c r="AA27" i="17" a="1"/>
  <c r="AA27" i="17"/>
  <c r="Z27" i="17" a="1"/>
  <c r="Z27" i="17" s="1"/>
  <c r="Y27" i="17" a="1"/>
  <c r="Y27" i="17"/>
  <c r="O27" i="17" a="1"/>
  <c r="O27" i="17" s="1"/>
  <c r="P27" i="17" s="1" a="1"/>
  <c r="P27" i="17" s="1"/>
  <c r="M27" i="17" a="1"/>
  <c r="M27" i="17" s="1"/>
  <c r="L27" i="17" a="1"/>
  <c r="L27" i="17" s="1"/>
  <c r="K27" i="17" a="1"/>
  <c r="K27" i="17"/>
  <c r="J27" i="17" a="1"/>
  <c r="J27" i="17"/>
  <c r="I27" i="17" a="1"/>
  <c r="I27" i="17" s="1"/>
  <c r="H27" i="17" a="1"/>
  <c r="H27" i="17" s="1"/>
  <c r="F27" i="17" a="1"/>
  <c r="F27" i="17" s="1"/>
  <c r="E27" i="17" a="1"/>
  <c r="E27" i="17"/>
  <c r="D27" i="17" a="1"/>
  <c r="D27" i="17" s="1"/>
  <c r="T26" i="17" a="1"/>
  <c r="T26" i="17" s="1"/>
  <c r="R26" i="17" a="1"/>
  <c r="R26" i="17" s="1"/>
  <c r="Q26" i="17" a="1"/>
  <c r="Q26" i="17" s="1"/>
  <c r="P26" i="17" a="1"/>
  <c r="P26" i="17" s="1"/>
  <c r="N26" i="17" a="1"/>
  <c r="N26" i="17"/>
  <c r="G26" i="17" a="1"/>
  <c r="G26" i="17"/>
  <c r="C26" i="17" a="1"/>
  <c r="C26" i="17" s="1"/>
  <c r="R24" i="17" a="1"/>
  <c r="R24" i="17" s="1"/>
  <c r="P24" i="17" a="1"/>
  <c r="P24" i="17" s="1"/>
  <c r="N24" i="17" a="1"/>
  <c r="N24" i="17" s="1"/>
  <c r="T24" i="17" s="1" a="1"/>
  <c r="T24" i="17" s="1"/>
  <c r="G24" i="17" a="1"/>
  <c r="G24" i="17"/>
  <c r="Q24" i="17" s="1" a="1"/>
  <c r="Q24" i="17" s="1"/>
  <c r="C24" i="17" a="1"/>
  <c r="C24" i="17" s="1"/>
  <c r="N23" i="17" a="1"/>
  <c r="N23" i="17" s="1"/>
  <c r="G23" i="17" a="1"/>
  <c r="G23" i="17"/>
  <c r="N22" i="17" a="1"/>
  <c r="N22" i="17"/>
  <c r="G22" i="17" a="1"/>
  <c r="G22" i="17" s="1"/>
  <c r="P21" i="17" a="1"/>
  <c r="P21" i="17"/>
  <c r="N21" i="17" a="1"/>
  <c r="N21" i="17" s="1"/>
  <c r="G21" i="17" a="1"/>
  <c r="G21" i="17" s="1"/>
  <c r="Q21" i="17" s="1" a="1"/>
  <c r="Q21" i="17" s="1"/>
  <c r="C21" i="17" a="1"/>
  <c r="C21" i="17" s="1"/>
  <c r="Q19" i="17" a="1"/>
  <c r="Q19" i="17" s="1"/>
  <c r="P19" i="17" a="1"/>
  <c r="P19" i="17" s="1"/>
  <c r="N19" i="17" a="1"/>
  <c r="N19" i="17" s="1"/>
  <c r="G19" i="17" a="1"/>
  <c r="G19" i="17" s="1"/>
  <c r="C19" i="17" a="1"/>
  <c r="C19" i="17"/>
  <c r="N18" i="17" a="1"/>
  <c r="N18" i="17" s="1"/>
  <c r="G18" i="17" a="1"/>
  <c r="G18" i="17"/>
  <c r="T17" i="17" a="1"/>
  <c r="T17" i="17" s="1"/>
  <c r="R17" i="17" a="1"/>
  <c r="R17" i="17"/>
  <c r="P17" i="17" a="1"/>
  <c r="P17" i="17" s="1"/>
  <c r="N17" i="17" a="1"/>
  <c r="N17" i="17" s="1"/>
  <c r="G17" i="17" a="1"/>
  <c r="G17" i="17" s="1"/>
  <c r="Q17" i="17" s="1" a="1"/>
  <c r="Q17" i="17" s="1"/>
  <c r="C17" i="17" a="1"/>
  <c r="C17" i="17" s="1"/>
  <c r="R16" i="17" a="1"/>
  <c r="R16" i="17" s="1"/>
  <c r="P16" i="17" a="1"/>
  <c r="P16" i="17" s="1"/>
  <c r="N16" i="17" a="1"/>
  <c r="N16" i="17" s="1"/>
  <c r="T16" i="17" s="1" a="1"/>
  <c r="T16" i="17" s="1"/>
  <c r="G16" i="17" a="1"/>
  <c r="G16" i="17" s="1"/>
  <c r="Q16" i="17" s="1" a="1"/>
  <c r="Q16" i="17" s="1"/>
  <c r="C16" i="17" a="1"/>
  <c r="C16" i="17" s="1"/>
  <c r="Q15" i="17" a="1"/>
  <c r="Q15" i="17" s="1"/>
  <c r="P15" i="17" a="1"/>
  <c r="P15" i="17"/>
  <c r="N15" i="17" a="1"/>
  <c r="N15" i="17" s="1"/>
  <c r="R15" i="17" s="1" a="1"/>
  <c r="R15" i="17" s="1"/>
  <c r="G15" i="17" a="1"/>
  <c r="G15" i="17"/>
  <c r="C15" i="17" a="1"/>
  <c r="C15" i="17" s="1"/>
  <c r="P14" i="17" a="1"/>
  <c r="P14" i="17" s="1"/>
  <c r="N14" i="17" a="1"/>
  <c r="N14" i="17" s="1"/>
  <c r="G14" i="17" a="1"/>
  <c r="G14" i="17" s="1"/>
  <c r="Q14" i="17" s="1" a="1"/>
  <c r="Q14" i="17" s="1"/>
  <c r="C14" i="17" a="1"/>
  <c r="C14" i="17"/>
  <c r="P13" i="17" a="1"/>
  <c r="P13" i="17" s="1"/>
  <c r="N13" i="17" a="1"/>
  <c r="N13" i="17" s="1"/>
  <c r="G13" i="17" a="1"/>
  <c r="G13" i="17" s="1"/>
  <c r="Q13" i="17" s="1" a="1"/>
  <c r="Q13" i="17" s="1"/>
  <c r="C13" i="17" a="1"/>
  <c r="C13" i="17"/>
  <c r="T12" i="17" a="1"/>
  <c r="T12" i="17" s="1"/>
  <c r="R12" i="17" a="1"/>
  <c r="R12" i="17" s="1"/>
  <c r="S12" i="17" s="1" a="1"/>
  <c r="S12" i="17" s="1"/>
  <c r="P12" i="17" a="1"/>
  <c r="P12" i="17" s="1"/>
  <c r="N12" i="17" a="1"/>
  <c r="N12" i="17"/>
  <c r="G12" i="17" a="1"/>
  <c r="G12" i="17" s="1"/>
  <c r="Q12" i="17" s="1" a="1"/>
  <c r="Q12" i="17" s="1"/>
  <c r="C12" i="17" a="1"/>
  <c r="C12" i="17" s="1"/>
  <c r="R11" i="17" a="1"/>
  <c r="R11" i="17" s="1"/>
  <c r="P11" i="17" a="1"/>
  <c r="P11" i="17" s="1"/>
  <c r="N11" i="17" a="1"/>
  <c r="N11" i="17" s="1"/>
  <c r="T11" i="17" s="1" a="1"/>
  <c r="T11" i="17" s="1"/>
  <c r="G11" i="17" a="1"/>
  <c r="G11" i="17" s="1"/>
  <c r="Q11" i="17" s="1" a="1"/>
  <c r="Q11" i="17" s="1"/>
  <c r="C11" i="17" a="1"/>
  <c r="C11" i="17" s="1"/>
  <c r="N10" i="17" a="1"/>
  <c r="N10" i="17"/>
  <c r="G10" i="17" a="1"/>
  <c r="G10" i="17"/>
  <c r="R9" i="17" a="1"/>
  <c r="R9" i="17" s="1"/>
  <c r="Q9" i="17" a="1"/>
  <c r="Q9" i="17" s="1"/>
  <c r="P9" i="17" a="1"/>
  <c r="P9" i="17"/>
  <c r="N9" i="17" a="1"/>
  <c r="N9" i="17"/>
  <c r="T9" i="17" s="1" a="1"/>
  <c r="T9" i="17" s="1"/>
  <c r="G9" i="17" a="1"/>
  <c r="G9" i="17" s="1"/>
  <c r="C9" i="17" a="1"/>
  <c r="C9" i="17" s="1"/>
  <c r="P8" i="17" a="1"/>
  <c r="P8" i="17" s="1"/>
  <c r="N8" i="17" a="1"/>
  <c r="N8" i="17"/>
  <c r="G8" i="17" a="1"/>
  <c r="G8" i="17" s="1"/>
  <c r="Q8" i="17" s="1" a="1"/>
  <c r="Q8" i="17" s="1"/>
  <c r="C8" i="17" a="1"/>
  <c r="C8" i="17" s="1"/>
  <c r="N7" i="17" a="1"/>
  <c r="N7" i="17"/>
  <c r="G7" i="17" a="1"/>
  <c r="G7" i="17"/>
  <c r="P6" i="17" a="1"/>
  <c r="P6" i="17"/>
  <c r="N6" i="17" a="1"/>
  <c r="N6" i="17"/>
  <c r="G6" i="17" a="1"/>
  <c r="G6" i="17" s="1"/>
  <c r="Q6" i="17" s="1" a="1"/>
  <c r="Q6" i="17" s="1"/>
  <c r="C6" i="17" a="1"/>
  <c r="C6" i="17" s="1"/>
  <c r="N5" i="17" a="1"/>
  <c r="N5" i="17" s="1"/>
  <c r="G5" i="17" a="1"/>
  <c r="G5" i="17" s="1"/>
  <c r="R4" i="17" a="1"/>
  <c r="R4" i="17"/>
  <c r="P4" i="17" a="1"/>
  <c r="P4" i="17" s="1"/>
  <c r="N4" i="17" a="1"/>
  <c r="N4" i="17" s="1"/>
  <c r="T4" i="17" s="1" a="1"/>
  <c r="T4" i="17" s="1"/>
  <c r="G4" i="17" a="1"/>
  <c r="G4" i="17"/>
  <c r="C4" i="17" a="1"/>
  <c r="C4" i="17" s="1"/>
  <c r="T38" i="16" a="1"/>
  <c r="T38" i="16" s="1"/>
  <c r="S38" i="16" a="1"/>
  <c r="S38" i="16"/>
  <c r="O38" i="16" a="1"/>
  <c r="O38" i="16"/>
  <c r="N38" i="16" a="1"/>
  <c r="N38" i="16" s="1"/>
  <c r="M38" i="16" a="1"/>
  <c r="M38" i="16" s="1"/>
  <c r="L38" i="16" a="1"/>
  <c r="L38" i="16" s="1"/>
  <c r="K38" i="16" a="1"/>
  <c r="K38" i="16" s="1"/>
  <c r="J38" i="16" a="1"/>
  <c r="J38" i="16"/>
  <c r="I38" i="16" a="1"/>
  <c r="I38" i="16" s="1"/>
  <c r="R38" i="16" s="1" a="1"/>
  <c r="R38" i="16" s="1"/>
  <c r="H38" i="16" a="1"/>
  <c r="H38" i="16"/>
  <c r="G38" i="16" a="1"/>
  <c r="G38" i="16"/>
  <c r="F38" i="16" a="1"/>
  <c r="F38" i="16"/>
  <c r="E38" i="16" a="1"/>
  <c r="E38" i="16" s="1"/>
  <c r="D38" i="16" a="1"/>
  <c r="D38" i="16"/>
  <c r="C38" i="16" a="1"/>
  <c r="C38" i="16"/>
  <c r="V37" i="16" a="1"/>
  <c r="V37" i="16"/>
  <c r="U37" i="16" a="1"/>
  <c r="U37" i="16" s="1"/>
  <c r="T37" i="16" a="1"/>
  <c r="T37" i="16"/>
  <c r="S37" i="16" a="1"/>
  <c r="S37" i="16"/>
  <c r="R37" i="16" a="1"/>
  <c r="R37" i="16"/>
  <c r="Q37" i="16" a="1"/>
  <c r="Q37" i="16" s="1"/>
  <c r="P37" i="16" a="1"/>
  <c r="P37" i="16"/>
  <c r="V36" i="16" a="1"/>
  <c r="V36" i="16"/>
  <c r="T36" i="16" a="1"/>
  <c r="T36" i="16"/>
  <c r="S36" i="16" a="1"/>
  <c r="S36" i="16" s="1"/>
  <c r="R36" i="16" a="1"/>
  <c r="R36" i="16"/>
  <c r="Q36" i="16" a="1"/>
  <c r="Q36" i="16"/>
  <c r="P36" i="16" a="1"/>
  <c r="P36" i="16"/>
  <c r="V35" i="16" a="1"/>
  <c r="V35" i="16" s="1"/>
  <c r="U35" i="16" a="1"/>
  <c r="U35" i="16"/>
  <c r="T35" i="16" a="1"/>
  <c r="T35" i="16"/>
  <c r="S35" i="16" a="1"/>
  <c r="S35" i="16"/>
  <c r="R35" i="16" a="1"/>
  <c r="R35" i="16" s="1"/>
  <c r="Q35" i="16" a="1"/>
  <c r="Q35" i="16"/>
  <c r="P35" i="16" a="1"/>
  <c r="P35" i="16"/>
  <c r="P34" i="16" a="1"/>
  <c r="P34" i="16"/>
  <c r="V33" i="16" a="1"/>
  <c r="V33" i="16" s="1"/>
  <c r="T33" i="16" a="1"/>
  <c r="T33" i="16"/>
  <c r="S33" i="16" a="1"/>
  <c r="S33" i="16"/>
  <c r="R33" i="16" a="1"/>
  <c r="R33" i="16"/>
  <c r="Q33" i="16" a="1"/>
  <c r="Q33" i="16" s="1"/>
  <c r="P33" i="16" a="1"/>
  <c r="P33" i="16"/>
  <c r="V32" i="16" a="1"/>
  <c r="V32" i="16"/>
  <c r="T32" i="16" a="1"/>
  <c r="T32" i="16"/>
  <c r="S32" i="16" a="1"/>
  <c r="S32" i="16" s="1"/>
  <c r="R32" i="16" a="1"/>
  <c r="R32" i="16"/>
  <c r="Q32" i="16" a="1"/>
  <c r="Q32" i="16"/>
  <c r="P32" i="16" a="1"/>
  <c r="P32" i="16"/>
  <c r="V30" i="16" a="1"/>
  <c r="V30" i="16" s="1"/>
  <c r="U30" i="16" a="1"/>
  <c r="U30" i="16"/>
  <c r="T30" i="16" a="1"/>
  <c r="T30" i="16"/>
  <c r="S30" i="16" a="1"/>
  <c r="S30" i="16"/>
  <c r="R30" i="16" a="1"/>
  <c r="R30" i="16" s="1"/>
  <c r="Q30" i="16" a="1"/>
  <c r="Q30" i="16" s="1"/>
  <c r="P30" i="16" a="1"/>
  <c r="P30" i="16"/>
  <c r="V28" i="16" a="1"/>
  <c r="V28" i="16"/>
  <c r="U28" i="16" a="1"/>
  <c r="U28" i="16" s="1"/>
  <c r="T28" i="16" a="1"/>
  <c r="T28" i="16" s="1"/>
  <c r="S28" i="16" a="1"/>
  <c r="S28" i="16"/>
  <c r="R28" i="16" a="1"/>
  <c r="R28" i="16"/>
  <c r="Q28" i="16" a="1"/>
  <c r="Q28" i="16" s="1"/>
  <c r="P28" i="16" a="1"/>
  <c r="P28" i="16" s="1"/>
  <c r="W24" i="16" a="1"/>
  <c r="W24" i="16"/>
  <c r="O24" i="16" a="1"/>
  <c r="O24" i="16" s="1"/>
  <c r="N24" i="16" a="1"/>
  <c r="N24" i="16" s="1"/>
  <c r="M24" i="16" a="1"/>
  <c r="M24" i="16"/>
  <c r="L24" i="16" a="1"/>
  <c r="L24" i="16"/>
  <c r="K24" i="16" a="1"/>
  <c r="K24" i="16" s="1"/>
  <c r="J24" i="16" a="1"/>
  <c r="J24" i="16" s="1"/>
  <c r="I24" i="16" a="1"/>
  <c r="I24" i="16"/>
  <c r="H24" i="16" a="1"/>
  <c r="H24" i="16"/>
  <c r="G24" i="16" a="1"/>
  <c r="G24" i="16" s="1"/>
  <c r="F24" i="16" a="1"/>
  <c r="F24" i="16" s="1"/>
  <c r="E24" i="16" a="1"/>
  <c r="E24" i="16" s="1"/>
  <c r="D24" i="16" a="1"/>
  <c r="D24" i="16"/>
  <c r="C24" i="16" a="1"/>
  <c r="C24" i="16" s="1"/>
  <c r="T23" i="16" a="1"/>
  <c r="T23" i="16"/>
  <c r="S23" i="16" a="1"/>
  <c r="S23" i="16" s="1"/>
  <c r="R23" i="16" a="1"/>
  <c r="R23" i="16" s="1"/>
  <c r="P23" i="16" a="1"/>
  <c r="P23" i="16"/>
  <c r="G23" i="16" a="1"/>
  <c r="G23" i="16" s="1"/>
  <c r="Q23" i="16" s="1" a="1"/>
  <c r="Q23" i="16" s="1"/>
  <c r="C23" i="16" a="1"/>
  <c r="C23" i="16" s="1"/>
  <c r="T22" i="16" a="1"/>
  <c r="T22" i="16" s="1"/>
  <c r="R22" i="16" a="1"/>
  <c r="R22" i="16" s="1"/>
  <c r="P22" i="16" a="1"/>
  <c r="P22" i="16" s="1"/>
  <c r="G22" i="16" a="1"/>
  <c r="G22" i="16" s="1"/>
  <c r="Q22" i="16" s="1" a="1"/>
  <c r="Q22" i="16" s="1"/>
  <c r="C22" i="16" a="1"/>
  <c r="C22" i="16" s="1"/>
  <c r="R21" i="16" a="1"/>
  <c r="R21" i="16" s="1"/>
  <c r="Q21" i="16"/>
  <c r="P21" i="16" a="1"/>
  <c r="P21" i="16" s="1"/>
  <c r="G21" i="16" a="1"/>
  <c r="G21" i="16" s="1"/>
  <c r="Q21" i="16" s="1" a="1"/>
  <c r="C21" i="16" a="1"/>
  <c r="C21" i="16" s="1"/>
  <c r="R20" i="16" a="1"/>
  <c r="R20" i="16" s="1"/>
  <c r="S20" i="16" s="1" a="1"/>
  <c r="S20" i="16" s="1"/>
  <c r="P20" i="16" a="1"/>
  <c r="P20" i="16"/>
  <c r="G20" i="16" a="1"/>
  <c r="G20" i="16" s="1"/>
  <c r="C20" i="16" a="1"/>
  <c r="C20" i="16"/>
  <c r="T19" i="16" a="1"/>
  <c r="T19" i="16" s="1"/>
  <c r="R19" i="16" a="1"/>
  <c r="R19" i="16" s="1"/>
  <c r="Q19" i="16"/>
  <c r="P19" i="16" a="1"/>
  <c r="P19" i="16" s="1"/>
  <c r="G19" i="16" a="1"/>
  <c r="G19" i="16"/>
  <c r="Q19" i="16" s="1" a="1"/>
  <c r="C19" i="16" a="1"/>
  <c r="C19" i="16" s="1"/>
  <c r="T18" i="16" a="1"/>
  <c r="T18" i="16"/>
  <c r="R18" i="16" a="1"/>
  <c r="R18" i="16"/>
  <c r="S18" i="16" s="1" a="1"/>
  <c r="S18" i="16" s="1"/>
  <c r="Q18" i="16" a="1"/>
  <c r="Q18" i="16" s="1"/>
  <c r="P18" i="16" a="1"/>
  <c r="P18" i="16"/>
  <c r="G18" i="16" a="1"/>
  <c r="G18" i="16" s="1"/>
  <c r="C18" i="16" a="1"/>
  <c r="C18" i="16"/>
  <c r="T17" i="16" a="1"/>
  <c r="T17" i="16" s="1"/>
  <c r="R17" i="16" a="1"/>
  <c r="R17" i="16" s="1"/>
  <c r="Q17" i="16"/>
  <c r="P17" i="16" a="1"/>
  <c r="P17" i="16" s="1"/>
  <c r="G17" i="16" a="1"/>
  <c r="G17" i="16"/>
  <c r="Q17" i="16" s="1" a="1"/>
  <c r="C17" i="16" a="1"/>
  <c r="C17" i="16" s="1"/>
  <c r="R16" i="16" a="1"/>
  <c r="R16" i="16" s="1"/>
  <c r="Q16" i="16"/>
  <c r="P16" i="16" a="1"/>
  <c r="P16" i="16" s="1"/>
  <c r="G16" i="16" a="1"/>
  <c r="G16" i="16"/>
  <c r="Q16" i="16" s="1" a="1"/>
  <c r="C16" i="16" a="1"/>
  <c r="C16" i="16" s="1"/>
  <c r="T15" i="16" a="1"/>
  <c r="T15" i="16"/>
  <c r="R15" i="16" a="1"/>
  <c r="R15" i="16"/>
  <c r="P15" i="16" a="1"/>
  <c r="P15" i="16"/>
  <c r="G15" i="16" a="1"/>
  <c r="G15" i="16" s="1"/>
  <c r="Q15" i="16" s="1" a="1"/>
  <c r="Q15" i="16" s="1"/>
  <c r="C15" i="16" a="1"/>
  <c r="C15" i="16"/>
  <c r="T14" i="16" a="1"/>
  <c r="T14" i="16" s="1"/>
  <c r="R14" i="16" a="1"/>
  <c r="R14" i="16" s="1"/>
  <c r="P14" i="16" a="1"/>
  <c r="P14" i="16" s="1"/>
  <c r="G14" i="16" a="1"/>
  <c r="G14" i="16"/>
  <c r="Q14" i="16" s="1" a="1"/>
  <c r="Q14" i="16" s="1"/>
  <c r="C14" i="16" a="1"/>
  <c r="C14" i="16" s="1"/>
  <c r="R13" i="16" a="1"/>
  <c r="R13" i="16" s="1"/>
  <c r="S13" i="16" s="1" a="1"/>
  <c r="S13" i="16" s="1"/>
  <c r="Q13" i="16"/>
  <c r="P13" i="16" a="1"/>
  <c r="P13" i="16" s="1"/>
  <c r="G13" i="16" a="1"/>
  <c r="G13" i="16"/>
  <c r="Q13" i="16" s="1" a="1"/>
  <c r="C13" i="16" a="1"/>
  <c r="C13" i="16" s="1"/>
  <c r="T12" i="16" a="1"/>
  <c r="T12" i="16"/>
  <c r="R12" i="16" a="1"/>
  <c r="R12" i="16"/>
  <c r="Q12" i="16" a="1"/>
  <c r="Q12" i="16" s="1"/>
  <c r="P12" i="16" a="1"/>
  <c r="P12" i="16"/>
  <c r="G12" i="16" a="1"/>
  <c r="G12" i="16" s="1"/>
  <c r="C12" i="16" a="1"/>
  <c r="C12" i="16"/>
  <c r="T11" i="16" a="1"/>
  <c r="T11" i="16" s="1"/>
  <c r="R11" i="16" a="1"/>
  <c r="R11" i="16" s="1"/>
  <c r="P11" i="16" a="1"/>
  <c r="P11" i="16" s="1"/>
  <c r="G11" i="16" a="1"/>
  <c r="G11" i="16"/>
  <c r="Q11" i="16" s="1" a="1"/>
  <c r="Q11" i="16" s="1"/>
  <c r="C11" i="16" a="1"/>
  <c r="C11" i="16" s="1"/>
  <c r="R10" i="16" a="1"/>
  <c r="R10" i="16" s="1"/>
  <c r="P10" i="16" a="1"/>
  <c r="P10" i="16" s="1"/>
  <c r="G10" i="16" a="1"/>
  <c r="G10" i="16"/>
  <c r="Q10" i="16" s="1" a="1"/>
  <c r="Q10" i="16" s="1"/>
  <c r="C10" i="16" a="1"/>
  <c r="C10" i="16" s="1"/>
  <c r="R9" i="16" a="1"/>
  <c r="R9" i="16" s="1"/>
  <c r="P9" i="16" a="1"/>
  <c r="P9" i="16" s="1"/>
  <c r="G9" i="16" a="1"/>
  <c r="G9" i="16"/>
  <c r="Q9" i="16" s="1" a="1"/>
  <c r="Q9" i="16" s="1"/>
  <c r="C9" i="16" a="1"/>
  <c r="C9" i="16" s="1"/>
  <c r="T8" i="16" a="1"/>
  <c r="T8" i="16"/>
  <c r="R8" i="16" a="1"/>
  <c r="R8" i="16"/>
  <c r="P8" i="16" a="1"/>
  <c r="P8" i="16"/>
  <c r="G8" i="16" a="1"/>
  <c r="G8" i="16" s="1"/>
  <c r="Q8" i="16" s="1" a="1"/>
  <c r="Q8" i="16" s="1"/>
  <c r="C8" i="16" a="1"/>
  <c r="C8" i="16"/>
  <c r="G7" i="16" a="1"/>
  <c r="G7" i="16" s="1"/>
  <c r="C7" i="16" a="1"/>
  <c r="C7" i="16"/>
  <c r="R6" i="16" a="1"/>
  <c r="R6" i="16"/>
  <c r="P6" i="16" a="1"/>
  <c r="P6" i="16"/>
  <c r="G6" i="16" a="1"/>
  <c r="G6" i="16" s="1"/>
  <c r="Q6" i="16" s="1" a="1"/>
  <c r="Q6" i="16" s="1"/>
  <c r="C6" i="16" a="1"/>
  <c r="C6" i="16"/>
  <c r="T5" i="16" a="1"/>
  <c r="T5" i="16" s="1"/>
  <c r="R5" i="16" a="1"/>
  <c r="R5" i="16" s="1"/>
  <c r="P5" i="16" a="1"/>
  <c r="P5" i="16" s="1"/>
  <c r="G5" i="16" a="1"/>
  <c r="G5" i="16"/>
  <c r="Q5" i="16" s="1" a="1"/>
  <c r="Q5" i="16" s="1"/>
  <c r="C5" i="16" a="1"/>
  <c r="C5" i="16" s="1"/>
  <c r="T4" i="16" a="1"/>
  <c r="T4" i="16"/>
  <c r="R4" i="16" a="1"/>
  <c r="R4" i="16"/>
  <c r="Q4" i="16" a="1"/>
  <c r="Q4" i="16" s="1"/>
  <c r="P4" i="16" a="1"/>
  <c r="P4" i="16"/>
  <c r="G4" i="16" a="1"/>
  <c r="G4" i="16" s="1"/>
  <c r="C4" i="16" a="1"/>
  <c r="C4" i="16"/>
  <c r="O38" i="15" a="1"/>
  <c r="O38" i="15" s="1"/>
  <c r="N38" i="15" a="1"/>
  <c r="N38" i="15" s="1"/>
  <c r="M38" i="15" a="1"/>
  <c r="M38" i="15"/>
  <c r="L38" i="15" a="1"/>
  <c r="L38" i="15" s="1"/>
  <c r="K38" i="15" a="1"/>
  <c r="K38" i="15"/>
  <c r="J38" i="15" a="1"/>
  <c r="J38" i="15" s="1"/>
  <c r="I38" i="15" a="1"/>
  <c r="I38" i="15"/>
  <c r="H38" i="15" a="1"/>
  <c r="H38" i="15" s="1"/>
  <c r="G38" i="15" a="1"/>
  <c r="G38" i="15"/>
  <c r="F38" i="15" a="1"/>
  <c r="F38" i="15" s="1"/>
  <c r="E38" i="15" a="1"/>
  <c r="E38" i="15"/>
  <c r="D38" i="15" a="1"/>
  <c r="D38" i="15" s="1"/>
  <c r="C38" i="15" a="1"/>
  <c r="C38" i="15" s="1"/>
  <c r="V37" i="15" a="1"/>
  <c r="V37" i="15" s="1"/>
  <c r="U37" i="15" a="1"/>
  <c r="U37" i="15"/>
  <c r="T37" i="15" a="1"/>
  <c r="T37" i="15" s="1"/>
  <c r="S37" i="15" a="1"/>
  <c r="S37" i="15" s="1"/>
  <c r="R37" i="15" a="1"/>
  <c r="R37" i="15" s="1"/>
  <c r="Q37" i="15" a="1"/>
  <c r="Q37" i="15" s="1"/>
  <c r="P37" i="15" a="1"/>
  <c r="P37" i="15" s="1"/>
  <c r="V34" i="15" a="1"/>
  <c r="V34" i="15"/>
  <c r="U34" i="15" a="1"/>
  <c r="U34" i="15" s="1"/>
  <c r="T34" i="15" a="1"/>
  <c r="T34" i="15"/>
  <c r="S34" i="15" a="1"/>
  <c r="S34" i="15" s="1"/>
  <c r="R34" i="15" a="1"/>
  <c r="R34" i="15"/>
  <c r="Q34" i="15" a="1"/>
  <c r="Q34" i="15" s="1"/>
  <c r="P34" i="15" a="1"/>
  <c r="P34" i="15"/>
  <c r="V31" i="15" a="1"/>
  <c r="V31" i="15" s="1"/>
  <c r="U31" i="15" a="1"/>
  <c r="U31" i="15" s="1"/>
  <c r="T31" i="15" a="1"/>
  <c r="T31" i="15" s="1"/>
  <c r="S31" i="15" a="1"/>
  <c r="S31" i="15"/>
  <c r="R31" i="15" a="1"/>
  <c r="R31" i="15" s="1"/>
  <c r="Q31" i="15" a="1"/>
  <c r="Q31" i="15" s="1"/>
  <c r="P31" i="15" a="1"/>
  <c r="P31" i="15" s="1"/>
  <c r="W24" i="15" a="1"/>
  <c r="W24" i="15" s="1"/>
  <c r="O24" i="15" a="1"/>
  <c r="O24" i="15"/>
  <c r="P24" i="15" s="1" a="1"/>
  <c r="P24" i="15" s="1"/>
  <c r="N24" i="15" a="1"/>
  <c r="N24" i="15" s="1"/>
  <c r="M24" i="15" a="1"/>
  <c r="M24" i="15"/>
  <c r="L24" i="15" a="1"/>
  <c r="L24" i="15" s="1"/>
  <c r="K24" i="15" a="1"/>
  <c r="K24" i="15"/>
  <c r="J24" i="15" a="1"/>
  <c r="J24" i="15" s="1"/>
  <c r="I24" i="15" a="1"/>
  <c r="I24" i="15"/>
  <c r="H24" i="15" a="1"/>
  <c r="H24" i="15" s="1"/>
  <c r="F24" i="15" a="1"/>
  <c r="F24" i="15" s="1"/>
  <c r="E24" i="15" a="1"/>
  <c r="E24" i="15"/>
  <c r="D24" i="15" a="1"/>
  <c r="D24" i="15" s="1"/>
  <c r="C24" i="15" a="1"/>
  <c r="C24" i="15" s="1"/>
  <c r="T23" i="15" a="1"/>
  <c r="T23" i="15" s="1"/>
  <c r="R23" i="15" a="1"/>
  <c r="R23" i="15" s="1"/>
  <c r="P23" i="15" a="1"/>
  <c r="P23" i="15" s="1"/>
  <c r="G23" i="15" a="1"/>
  <c r="G23" i="15"/>
  <c r="Q23" i="15" s="1" a="1"/>
  <c r="Q23" i="15" s="1"/>
  <c r="C23" i="15" a="1"/>
  <c r="C23" i="15" s="1"/>
  <c r="T22" i="15" a="1"/>
  <c r="T22" i="15"/>
  <c r="R22" i="15" a="1"/>
  <c r="R22" i="15"/>
  <c r="P22" i="15" a="1"/>
  <c r="P22" i="15" s="1"/>
  <c r="G22" i="15" a="1"/>
  <c r="G22" i="15" s="1"/>
  <c r="Q22" i="15" s="1" a="1"/>
  <c r="Q22" i="15" s="1"/>
  <c r="C22" i="15" a="1"/>
  <c r="C22" i="15" s="1"/>
  <c r="T21" i="15" a="1"/>
  <c r="T21" i="15" s="1"/>
  <c r="R21" i="15" a="1"/>
  <c r="R21" i="15" s="1"/>
  <c r="P21" i="15" a="1"/>
  <c r="P21" i="15" s="1"/>
  <c r="G21" i="15" a="1"/>
  <c r="G21" i="15"/>
  <c r="Q21" i="15" s="1" a="1"/>
  <c r="Q21" i="15" s="1"/>
  <c r="C21" i="15" a="1"/>
  <c r="C21" i="15" s="1"/>
  <c r="T20" i="15" a="1"/>
  <c r="T20" i="15"/>
  <c r="R20" i="15" a="1"/>
  <c r="R20" i="15" s="1"/>
  <c r="Q20" i="15" a="1"/>
  <c r="Q20" i="15" s="1"/>
  <c r="P20" i="15" a="1"/>
  <c r="P20" i="15" s="1"/>
  <c r="G20" i="15" a="1"/>
  <c r="G20" i="15" s="1"/>
  <c r="C20" i="15" a="1"/>
  <c r="C20" i="15"/>
  <c r="T19" i="15" a="1"/>
  <c r="T19" i="15" s="1"/>
  <c r="R19" i="15" a="1"/>
  <c r="R19" i="15" s="1"/>
  <c r="Q19" i="15"/>
  <c r="P19" i="15" a="1"/>
  <c r="P19" i="15" s="1"/>
  <c r="G19" i="15" a="1"/>
  <c r="G19" i="15"/>
  <c r="Q19" i="15" s="1" a="1"/>
  <c r="C19" i="15" a="1"/>
  <c r="C19" i="15" s="1"/>
  <c r="T18" i="15" a="1"/>
  <c r="T18" i="15" s="1"/>
  <c r="S18" i="15" a="1"/>
  <c r="S18" i="15" s="1"/>
  <c r="R18" i="15" a="1"/>
  <c r="R18" i="15" s="1"/>
  <c r="P18" i="15" a="1"/>
  <c r="P18" i="15"/>
  <c r="G18" i="15" a="1"/>
  <c r="G18" i="15" s="1"/>
  <c r="Q18" i="15" s="1" a="1"/>
  <c r="Q18" i="15" s="1"/>
  <c r="C18" i="15" a="1"/>
  <c r="C18" i="15"/>
  <c r="T17" i="15" a="1"/>
  <c r="T17" i="15" s="1"/>
  <c r="R17" i="15" a="1"/>
  <c r="R17" i="15" s="1"/>
  <c r="Q17" i="15" a="1"/>
  <c r="Q17" i="15" s="1"/>
  <c r="S17" i="15" s="1" a="1"/>
  <c r="S17" i="15" s="1"/>
  <c r="P17" i="15" a="1"/>
  <c r="P17" i="15" s="1"/>
  <c r="G17" i="15" a="1"/>
  <c r="G17" i="15"/>
  <c r="C17" i="15" a="1"/>
  <c r="C17" i="15" s="1"/>
  <c r="T16" i="15" a="1"/>
  <c r="T16" i="15" s="1"/>
  <c r="R16" i="15" a="1"/>
  <c r="R16" i="15"/>
  <c r="P16" i="15" a="1"/>
  <c r="P16" i="15"/>
  <c r="G16" i="15" a="1"/>
  <c r="G16" i="15" s="1"/>
  <c r="Q16" i="15" s="1" a="1"/>
  <c r="Q16" i="15" s="1"/>
  <c r="C16" i="15" a="1"/>
  <c r="C16" i="15"/>
  <c r="T15" i="15" a="1"/>
  <c r="T15" i="15" s="1"/>
  <c r="R15" i="15" a="1"/>
  <c r="R15" i="15" s="1"/>
  <c r="P15" i="15" a="1"/>
  <c r="P15" i="15" s="1"/>
  <c r="G15" i="15" a="1"/>
  <c r="G15" i="15" s="1"/>
  <c r="Q15" i="15" s="1" a="1"/>
  <c r="Q15" i="15" s="1"/>
  <c r="S15" i="15" s="1" a="1"/>
  <c r="S15" i="15" s="1"/>
  <c r="C15" i="15" a="1"/>
  <c r="C15" i="15" s="1"/>
  <c r="T14" i="15" a="1"/>
  <c r="T14" i="15"/>
  <c r="R14" i="15" a="1"/>
  <c r="R14" i="15"/>
  <c r="Q14" i="15" a="1"/>
  <c r="Q14" i="15" s="1"/>
  <c r="P14" i="15" a="1"/>
  <c r="P14" i="15"/>
  <c r="G14" i="15" a="1"/>
  <c r="G14" i="15" s="1"/>
  <c r="C14" i="15" a="1"/>
  <c r="C14" i="15"/>
  <c r="T13" i="15" a="1"/>
  <c r="T13" i="15" s="1"/>
  <c r="R13" i="15" a="1"/>
  <c r="R13" i="15" s="1"/>
  <c r="P13" i="15" a="1"/>
  <c r="P13" i="15" s="1"/>
  <c r="G13" i="15" a="1"/>
  <c r="G13" i="15" s="1"/>
  <c r="Q13" i="15" s="1" a="1"/>
  <c r="Q13" i="15" s="1"/>
  <c r="C13" i="15" a="1"/>
  <c r="C13" i="15" s="1"/>
  <c r="T12" i="15" a="1"/>
  <c r="T12" i="15"/>
  <c r="S12" i="15" a="1"/>
  <c r="S12" i="15" s="1"/>
  <c r="R12" i="15" a="1"/>
  <c r="R12" i="15"/>
  <c r="Q12" i="15" a="1"/>
  <c r="Q12" i="15" s="1"/>
  <c r="P12" i="15" a="1"/>
  <c r="P12" i="15"/>
  <c r="G12" i="15" a="1"/>
  <c r="G12" i="15" s="1"/>
  <c r="C12" i="15" a="1"/>
  <c r="C12" i="15" s="1"/>
  <c r="T11" i="15" a="1"/>
  <c r="T11" i="15" s="1"/>
  <c r="R11" i="15" a="1"/>
  <c r="R11" i="15" s="1"/>
  <c r="Q11" i="15" a="1"/>
  <c r="Q11" i="15" s="1"/>
  <c r="P11" i="15" a="1"/>
  <c r="P11" i="15" s="1"/>
  <c r="G11" i="15" a="1"/>
  <c r="G11" i="15"/>
  <c r="C11" i="15" a="1"/>
  <c r="C11" i="15" s="1"/>
  <c r="T10" i="15" a="1"/>
  <c r="T10" i="15"/>
  <c r="R10" i="15" a="1"/>
  <c r="R10" i="15"/>
  <c r="S10" i="15" s="1" a="1"/>
  <c r="S10" i="15" s="1"/>
  <c r="Q10" i="15" a="1"/>
  <c r="Q10" i="15" s="1"/>
  <c r="P10" i="15" a="1"/>
  <c r="P10" i="15" s="1"/>
  <c r="G10" i="15" a="1"/>
  <c r="G10" i="15" s="1"/>
  <c r="C10" i="15" a="1"/>
  <c r="C10" i="15"/>
  <c r="T9" i="15" a="1"/>
  <c r="T9" i="15" s="1"/>
  <c r="S9" i="15" a="1"/>
  <c r="S9" i="15" s="1"/>
  <c r="R9" i="15" a="1"/>
  <c r="R9" i="15" s="1"/>
  <c r="P9" i="15" a="1"/>
  <c r="P9" i="15" s="1"/>
  <c r="G9" i="15" a="1"/>
  <c r="G9" i="15"/>
  <c r="Q9" i="15" s="1" a="1"/>
  <c r="Q9" i="15" s="1"/>
  <c r="C9" i="15" a="1"/>
  <c r="C9" i="15" s="1"/>
  <c r="T8" i="15" a="1"/>
  <c r="T8" i="15"/>
  <c r="R8" i="15" a="1"/>
  <c r="R8" i="15" s="1"/>
  <c r="P8" i="15" a="1"/>
  <c r="P8" i="15"/>
  <c r="G8" i="15" a="1"/>
  <c r="G8" i="15" s="1"/>
  <c r="Q8" i="15" s="1" a="1"/>
  <c r="Q8" i="15" s="1"/>
  <c r="C8" i="15" a="1"/>
  <c r="C8" i="15" s="1"/>
  <c r="S7" i="15" a="1"/>
  <c r="S7" i="15" s="1"/>
  <c r="G7" i="15" a="1"/>
  <c r="G7" i="15"/>
  <c r="T6" i="15" a="1"/>
  <c r="T6" i="15" s="1"/>
  <c r="R6" i="15" a="1"/>
  <c r="R6" i="15" s="1"/>
  <c r="S6" i="15" s="1" a="1"/>
  <c r="S6" i="15" s="1"/>
  <c r="P6" i="15" a="1"/>
  <c r="P6" i="15" s="1"/>
  <c r="G6" i="15" a="1"/>
  <c r="G6" i="15" s="1"/>
  <c r="Q6" i="15" s="1" a="1"/>
  <c r="Q6" i="15" s="1"/>
  <c r="C6" i="15" a="1"/>
  <c r="C6" i="15" s="1"/>
  <c r="S5" i="15" a="1"/>
  <c r="S5" i="15" s="1"/>
  <c r="G5" i="15" a="1"/>
  <c r="G5" i="15" s="1"/>
  <c r="S4" i="15" a="1"/>
  <c r="S4" i="15"/>
  <c r="G4" i="15" a="1"/>
  <c r="G4" i="15" s="1"/>
  <c r="U36" i="14" a="1"/>
  <c r="U36" i="14" s="1"/>
  <c r="P36" i="14" a="1"/>
  <c r="P36" i="14"/>
  <c r="O36" i="14" a="1"/>
  <c r="O36" i="14"/>
  <c r="N36" i="14" a="1"/>
  <c r="N36" i="14"/>
  <c r="M36" i="14" a="1"/>
  <c r="M36" i="14" s="1"/>
  <c r="T36" i="14" s="1" a="1"/>
  <c r="T36" i="14" s="1"/>
  <c r="L36" i="14" a="1"/>
  <c r="L36" i="14"/>
  <c r="K36" i="14" a="1"/>
  <c r="K36" i="14" s="1"/>
  <c r="Q36" i="14" s="1" a="1"/>
  <c r="Q36" i="14" s="1"/>
  <c r="J36" i="14" a="1"/>
  <c r="J36" i="14"/>
  <c r="I36" i="14" a="1"/>
  <c r="I36" i="14" s="1"/>
  <c r="R36" i="14" s="1" a="1"/>
  <c r="R36" i="14" s="1"/>
  <c r="H36" i="14" a="1"/>
  <c r="H36" i="14" s="1"/>
  <c r="S36" i="14" s="1" a="1"/>
  <c r="S36" i="14" s="1"/>
  <c r="G36" i="14" a="1"/>
  <c r="G36" i="14"/>
  <c r="F36" i="14" a="1"/>
  <c r="F36" i="14"/>
  <c r="E36" i="14" a="1"/>
  <c r="E36" i="14" s="1"/>
  <c r="D36" i="14" a="1"/>
  <c r="D36" i="14"/>
  <c r="C36" i="14" a="1"/>
  <c r="C36" i="14"/>
  <c r="V35" i="14" a="1"/>
  <c r="V35" i="14" s="1"/>
  <c r="U35" i="14" a="1"/>
  <c r="U35" i="14" s="1"/>
  <c r="T35" i="14" a="1"/>
  <c r="T35" i="14"/>
  <c r="S35" i="14" a="1"/>
  <c r="S35" i="14" s="1"/>
  <c r="R35" i="14" a="1"/>
  <c r="R35" i="14" s="1"/>
  <c r="Q35" i="14" a="1"/>
  <c r="Q35" i="14" s="1"/>
  <c r="P35" i="14" a="1"/>
  <c r="P35" i="14"/>
  <c r="V33" i="14" a="1"/>
  <c r="V33" i="14"/>
  <c r="U33" i="14" a="1"/>
  <c r="U33" i="14"/>
  <c r="T33" i="14" a="1"/>
  <c r="T33" i="14" s="1"/>
  <c r="S33" i="14" a="1"/>
  <c r="S33" i="14"/>
  <c r="R33" i="14" a="1"/>
  <c r="R33" i="14"/>
  <c r="Q33" i="14" a="1"/>
  <c r="Q33" i="14" s="1"/>
  <c r="P33" i="14" a="1"/>
  <c r="P33" i="14" s="1"/>
  <c r="V31" i="14" a="1"/>
  <c r="V31" i="14" s="1"/>
  <c r="U31" i="14" a="1"/>
  <c r="U31" i="14"/>
  <c r="T31" i="14" a="1"/>
  <c r="T31" i="14"/>
  <c r="S31" i="14" a="1"/>
  <c r="S31" i="14" s="1"/>
  <c r="R31" i="14" a="1"/>
  <c r="R31" i="14"/>
  <c r="Q31" i="14" a="1"/>
  <c r="Q31" i="14"/>
  <c r="P31" i="14" a="1"/>
  <c r="P31" i="14"/>
  <c r="W24" i="14" a="1"/>
  <c r="W24" i="14" s="1"/>
  <c r="P24" i="14"/>
  <c r="O24" i="14" a="1"/>
  <c r="O24" i="14" s="1"/>
  <c r="P24" i="14" s="1" a="1"/>
  <c r="N24" i="14" a="1"/>
  <c r="N24" i="14"/>
  <c r="M24" i="14" a="1"/>
  <c r="M24" i="14" s="1"/>
  <c r="L24" i="14" a="1"/>
  <c r="L24" i="14" s="1"/>
  <c r="K24" i="14" a="1"/>
  <c r="K24" i="14"/>
  <c r="J24" i="14" a="1"/>
  <c r="J24" i="14"/>
  <c r="I24" i="14" a="1"/>
  <c r="I24" i="14" s="1"/>
  <c r="H24" i="14" a="1"/>
  <c r="H24" i="14"/>
  <c r="F24" i="14" a="1"/>
  <c r="F24" i="14" s="1"/>
  <c r="E24" i="14" a="1"/>
  <c r="E24" i="14" s="1"/>
  <c r="D24" i="14" a="1"/>
  <c r="D24" i="14"/>
  <c r="C24" i="14" a="1"/>
  <c r="C24" i="14" s="1"/>
  <c r="T23" i="14" a="1"/>
  <c r="T23" i="14"/>
  <c r="R23" i="14" a="1"/>
  <c r="R23" i="14"/>
  <c r="Q23" i="14" a="1"/>
  <c r="Q23" i="14" s="1"/>
  <c r="P23" i="14" a="1"/>
  <c r="P23" i="14"/>
  <c r="G23" i="14" a="1"/>
  <c r="G23" i="14"/>
  <c r="C23" i="14" a="1"/>
  <c r="C23" i="14" s="1"/>
  <c r="T22" i="14" a="1"/>
  <c r="T22" i="14"/>
  <c r="R22" i="14" a="1"/>
  <c r="R22" i="14" s="1"/>
  <c r="Q22" i="14" a="1"/>
  <c r="Q22" i="14"/>
  <c r="S22" i="14" s="1" a="1"/>
  <c r="S22" i="14" s="1"/>
  <c r="P22" i="14" a="1"/>
  <c r="P22" i="14"/>
  <c r="G22" i="14" a="1"/>
  <c r="G22" i="14"/>
  <c r="C22" i="14" a="1"/>
  <c r="C22" i="14" s="1"/>
  <c r="T21" i="14" a="1"/>
  <c r="T21" i="14"/>
  <c r="R21" i="14" a="1"/>
  <c r="R21" i="14" s="1"/>
  <c r="P21" i="14" a="1"/>
  <c r="P21" i="14"/>
  <c r="G21" i="14" a="1"/>
  <c r="G21" i="14" s="1"/>
  <c r="Q21" i="14" s="1" a="1"/>
  <c r="Q21" i="14" s="1"/>
  <c r="C21" i="14" a="1"/>
  <c r="C21" i="14"/>
  <c r="T20" i="14" a="1"/>
  <c r="T20" i="14" s="1"/>
  <c r="S20" i="14" a="1"/>
  <c r="S20" i="14" s="1"/>
  <c r="R20" i="14" a="1"/>
  <c r="R20" i="14"/>
  <c r="P20" i="14" a="1"/>
  <c r="P20" i="14" s="1"/>
  <c r="G20" i="14" a="1"/>
  <c r="G20" i="14"/>
  <c r="Q20" i="14" s="1" a="1"/>
  <c r="Q20" i="14" s="1"/>
  <c r="C20" i="14" a="1"/>
  <c r="C20" i="14"/>
  <c r="T19" i="14" a="1"/>
  <c r="T19" i="14"/>
  <c r="R19" i="14" a="1"/>
  <c r="R19" i="14" s="1"/>
  <c r="Q19" i="14" a="1"/>
  <c r="Q19" i="14" s="1"/>
  <c r="P19" i="14" a="1"/>
  <c r="P19" i="14" s="1"/>
  <c r="G19" i="14" a="1"/>
  <c r="G19" i="14"/>
  <c r="C19" i="14" a="1"/>
  <c r="C19" i="14" s="1"/>
  <c r="T18" i="14" a="1"/>
  <c r="T18" i="14"/>
  <c r="R18" i="14" a="1"/>
  <c r="R18" i="14" s="1"/>
  <c r="Q18" i="14" a="1"/>
  <c r="Q18" i="14" s="1"/>
  <c r="P18" i="14" a="1"/>
  <c r="P18" i="14"/>
  <c r="G18" i="14" a="1"/>
  <c r="G18" i="14" s="1"/>
  <c r="C18" i="14" a="1"/>
  <c r="C18" i="14" s="1"/>
  <c r="T17" i="14" a="1"/>
  <c r="T17" i="14" s="1"/>
  <c r="R17" i="14" a="1"/>
  <c r="R17" i="14"/>
  <c r="P17" i="14" a="1"/>
  <c r="P17" i="14" s="1"/>
  <c r="G17" i="14" a="1"/>
  <c r="G17" i="14" s="1"/>
  <c r="Q17" i="14" s="1" a="1"/>
  <c r="Q17" i="14" s="1"/>
  <c r="C17" i="14" a="1"/>
  <c r="C17" i="14"/>
  <c r="T16" i="14" a="1"/>
  <c r="T16" i="14" s="1"/>
  <c r="R16" i="14" a="1"/>
  <c r="R16" i="14"/>
  <c r="P16" i="14" a="1"/>
  <c r="P16" i="14" s="1"/>
  <c r="G16" i="14" a="1"/>
  <c r="G16" i="14"/>
  <c r="Q16" i="14" s="1" a="1"/>
  <c r="Q16" i="14" s="1"/>
  <c r="S16" i="14" s="1" a="1"/>
  <c r="S16" i="14" s="1"/>
  <c r="C16" i="14" a="1"/>
  <c r="C16" i="14"/>
  <c r="T15" i="14" a="1"/>
  <c r="T15" i="14"/>
  <c r="R15" i="14" a="1"/>
  <c r="R15" i="14" s="1"/>
  <c r="Q15" i="14" a="1"/>
  <c r="Q15" i="14" s="1"/>
  <c r="P15" i="14" a="1"/>
  <c r="P15" i="14" s="1"/>
  <c r="G15" i="14" a="1"/>
  <c r="G15" i="14" s="1"/>
  <c r="C15" i="14" a="1"/>
  <c r="C15" i="14" s="1"/>
  <c r="T14" i="14" a="1"/>
  <c r="T14" i="14" s="1"/>
  <c r="R14" i="14" a="1"/>
  <c r="R14" i="14" s="1"/>
  <c r="Q14" i="14" a="1"/>
  <c r="Q14" i="14" s="1"/>
  <c r="P14" i="14" a="1"/>
  <c r="P14" i="14" s="1"/>
  <c r="G14" i="14" a="1"/>
  <c r="G14" i="14" s="1"/>
  <c r="C14" i="14" a="1"/>
  <c r="C14" i="14" s="1"/>
  <c r="T13" i="14" a="1"/>
  <c r="T13" i="14" s="1"/>
  <c r="S13" i="14" a="1"/>
  <c r="S13" i="14" s="1"/>
  <c r="R13" i="14" a="1"/>
  <c r="R13" i="14"/>
  <c r="P13" i="14" a="1"/>
  <c r="P13" i="14" s="1"/>
  <c r="G13" i="14" a="1"/>
  <c r="G13" i="14" s="1"/>
  <c r="Q13" i="14" s="1" a="1"/>
  <c r="Q13" i="14" s="1"/>
  <c r="C13" i="14" a="1"/>
  <c r="C13" i="14" s="1"/>
  <c r="T12" i="14" a="1"/>
  <c r="T12" i="14" s="1"/>
  <c r="R12" i="14" a="1"/>
  <c r="R12" i="14" s="1"/>
  <c r="S12" i="14" s="1" a="1"/>
  <c r="S12" i="14" s="1"/>
  <c r="P12" i="14" a="1"/>
  <c r="P12" i="14" s="1"/>
  <c r="G12" i="14" a="1"/>
  <c r="G12" i="14"/>
  <c r="Q12" i="14" s="1" a="1"/>
  <c r="Q12" i="14" s="1"/>
  <c r="C12" i="14" a="1"/>
  <c r="C12" i="14" s="1"/>
  <c r="T11" i="14" a="1"/>
  <c r="T11" i="14"/>
  <c r="R11" i="14" a="1"/>
  <c r="R11" i="14" s="1"/>
  <c r="Q11" i="14" a="1"/>
  <c r="Q11" i="14" s="1"/>
  <c r="P11" i="14" a="1"/>
  <c r="P11" i="14"/>
  <c r="G11" i="14" a="1"/>
  <c r="G11" i="14" s="1"/>
  <c r="C11" i="14" a="1"/>
  <c r="C11" i="14" s="1"/>
  <c r="T10" i="14" a="1"/>
  <c r="T10" i="14" s="1"/>
  <c r="R10" i="14" a="1"/>
  <c r="R10" i="14" s="1"/>
  <c r="P10" i="14" a="1"/>
  <c r="P10" i="14" s="1"/>
  <c r="G10" i="14" a="1"/>
  <c r="G10" i="14" s="1"/>
  <c r="Q10" i="14" s="1" a="1"/>
  <c r="Q10" i="14" s="1"/>
  <c r="C10" i="14" a="1"/>
  <c r="C10" i="14" s="1"/>
  <c r="G9" i="14" a="1"/>
  <c r="G9" i="14" s="1"/>
  <c r="T8" i="14" a="1"/>
  <c r="T8" i="14" s="1"/>
  <c r="R8" i="14" a="1"/>
  <c r="R8" i="14" s="1"/>
  <c r="Q8" i="14" a="1"/>
  <c r="Q8" i="14" s="1"/>
  <c r="P8" i="14" a="1"/>
  <c r="P8" i="14" s="1"/>
  <c r="G8" i="14" a="1"/>
  <c r="G8" i="14" s="1"/>
  <c r="C8" i="14" a="1"/>
  <c r="C8" i="14" s="1"/>
  <c r="S7" i="14" a="1"/>
  <c r="S7" i="14" s="1"/>
  <c r="R7" i="14" a="1"/>
  <c r="R7" i="14" s="1"/>
  <c r="P7" i="14" a="1"/>
  <c r="P7" i="14"/>
  <c r="G7" i="14" a="1"/>
  <c r="G7" i="14" s="1"/>
  <c r="T6" i="14" a="1"/>
  <c r="T6" i="14" s="1"/>
  <c r="R6" i="14" a="1"/>
  <c r="R6" i="14" s="1"/>
  <c r="S6" i="14" s="1" a="1"/>
  <c r="S6" i="14" s="1"/>
  <c r="P6" i="14" a="1"/>
  <c r="P6" i="14"/>
  <c r="G6" i="14" a="1"/>
  <c r="G6" i="14" s="1"/>
  <c r="Q6" i="14" s="1" a="1"/>
  <c r="Q6" i="14" s="1"/>
  <c r="C6" i="14" a="1"/>
  <c r="C6" i="14" s="1"/>
  <c r="G5" i="14" a="1"/>
  <c r="G5" i="14" s="1"/>
  <c r="T4" i="14" a="1"/>
  <c r="T4" i="14"/>
  <c r="R4" i="14" a="1"/>
  <c r="R4" i="14" s="1"/>
  <c r="P4" i="14" a="1"/>
  <c r="P4" i="14"/>
  <c r="G4" i="14" a="1"/>
  <c r="G4" i="14" s="1"/>
  <c r="C4" i="14" a="1"/>
  <c r="C4" i="14" s="1"/>
  <c r="U36" i="13" a="1"/>
  <c r="U36" i="13" s="1"/>
  <c r="O36" i="13" a="1"/>
  <c r="O36" i="13" s="1"/>
  <c r="P36" i="13" s="1" a="1"/>
  <c r="P36" i="13" s="1"/>
  <c r="N36" i="13" a="1"/>
  <c r="N36" i="13" s="1"/>
  <c r="M36" i="13" a="1"/>
  <c r="M36" i="13" s="1"/>
  <c r="L36" i="13" a="1"/>
  <c r="L36" i="13"/>
  <c r="K36" i="13" a="1"/>
  <c r="K36" i="13" s="1"/>
  <c r="J36" i="13" a="1"/>
  <c r="J36" i="13" s="1"/>
  <c r="I36" i="13" a="1"/>
  <c r="I36" i="13" s="1"/>
  <c r="H36" i="13" a="1"/>
  <c r="H36" i="13" s="1"/>
  <c r="G36" i="13" a="1"/>
  <c r="G36" i="13" s="1"/>
  <c r="F36" i="13" a="1"/>
  <c r="F36" i="13" s="1"/>
  <c r="E36" i="13" a="1"/>
  <c r="E36" i="13" s="1"/>
  <c r="D36" i="13" a="1"/>
  <c r="D36" i="13"/>
  <c r="C36" i="13" a="1"/>
  <c r="C36" i="13" s="1"/>
  <c r="V35" i="13" a="1"/>
  <c r="V35" i="13" s="1"/>
  <c r="U35" i="13" a="1"/>
  <c r="U35" i="13" s="1"/>
  <c r="T35" i="13" a="1"/>
  <c r="T35" i="13"/>
  <c r="S35" i="13" a="1"/>
  <c r="S35" i="13" s="1"/>
  <c r="R35" i="13" a="1"/>
  <c r="R35" i="13" s="1"/>
  <c r="Q35" i="13" a="1"/>
  <c r="Q35" i="13" s="1"/>
  <c r="P35" i="13" a="1"/>
  <c r="P35" i="13"/>
  <c r="V34" i="13" a="1"/>
  <c r="V34" i="13" s="1"/>
  <c r="U34" i="13" a="1"/>
  <c r="U34" i="13" s="1"/>
  <c r="T34" i="13" a="1"/>
  <c r="T34" i="13" s="1"/>
  <c r="S34" i="13" a="1"/>
  <c r="S34" i="13"/>
  <c r="R34" i="13" a="1"/>
  <c r="R34" i="13" s="1"/>
  <c r="Q34" i="13" a="1"/>
  <c r="Q34" i="13" s="1"/>
  <c r="P34" i="13" a="1"/>
  <c r="P34" i="13" s="1"/>
  <c r="V33" i="13" a="1"/>
  <c r="V33" i="13" s="1"/>
  <c r="U33" i="13" a="1"/>
  <c r="U33" i="13" s="1"/>
  <c r="T33" i="13" a="1"/>
  <c r="T33" i="13" s="1"/>
  <c r="S33" i="13" a="1"/>
  <c r="S33" i="13" s="1"/>
  <c r="R33" i="13" a="1"/>
  <c r="R33" i="13" s="1"/>
  <c r="Q33" i="13" a="1"/>
  <c r="Q33" i="13" s="1"/>
  <c r="P33" i="13" a="1"/>
  <c r="P33" i="13" s="1"/>
  <c r="F33" i="13" a="1"/>
  <c r="F33" i="13" s="1"/>
  <c r="V32" i="13" a="1"/>
  <c r="V32" i="13"/>
  <c r="U32" i="13" a="1"/>
  <c r="U32" i="13" s="1"/>
  <c r="T32" i="13" a="1"/>
  <c r="T32" i="13" s="1"/>
  <c r="S32" i="13" a="1"/>
  <c r="S32" i="13" s="1"/>
  <c r="R32" i="13" a="1"/>
  <c r="R32" i="13"/>
  <c r="Q32" i="13" a="1"/>
  <c r="Q32" i="13" s="1"/>
  <c r="P32" i="13" a="1"/>
  <c r="P32" i="13" s="1"/>
  <c r="V31" i="13" a="1"/>
  <c r="V31" i="13" s="1"/>
  <c r="U31" i="13" a="1"/>
  <c r="U31" i="13"/>
  <c r="T31" i="13" a="1"/>
  <c r="T31" i="13" s="1"/>
  <c r="S31" i="13" a="1"/>
  <c r="S31" i="13" s="1"/>
  <c r="R31" i="13" a="1"/>
  <c r="R31" i="13" s="1"/>
  <c r="Q31" i="13" a="1"/>
  <c r="Q31" i="13"/>
  <c r="P31" i="13" a="1"/>
  <c r="P31" i="13" s="1"/>
  <c r="V30" i="13" a="1"/>
  <c r="V30" i="13" s="1"/>
  <c r="T30" i="13" a="1"/>
  <c r="T30" i="13" s="1"/>
  <c r="S30" i="13" a="1"/>
  <c r="S30" i="13"/>
  <c r="R30" i="13" a="1"/>
  <c r="R30" i="13" s="1"/>
  <c r="Q30" i="13" a="1"/>
  <c r="Q30" i="13" s="1"/>
  <c r="P30" i="13" a="1"/>
  <c r="P30" i="13" s="1"/>
  <c r="V29" i="13" a="1"/>
  <c r="V29" i="13"/>
  <c r="T29" i="13" a="1"/>
  <c r="T29" i="13" s="1"/>
  <c r="S29" i="13" a="1"/>
  <c r="S29" i="13" s="1"/>
  <c r="R29" i="13" a="1"/>
  <c r="R29" i="13" s="1"/>
  <c r="Q29" i="13" a="1"/>
  <c r="Q29" i="13" s="1"/>
  <c r="V28" i="13" a="1"/>
  <c r="V28" i="13" s="1"/>
  <c r="U28" i="13" a="1"/>
  <c r="U28" i="13" s="1"/>
  <c r="T28" i="13" a="1"/>
  <c r="T28" i="13" s="1"/>
  <c r="S28" i="13" a="1"/>
  <c r="S28" i="13"/>
  <c r="R28" i="13" a="1"/>
  <c r="R28" i="13" s="1"/>
  <c r="Q28" i="13" a="1"/>
  <c r="Q28" i="13" s="1"/>
  <c r="P28" i="13" a="1"/>
  <c r="P28" i="13" s="1"/>
  <c r="W24" i="13" a="1"/>
  <c r="W24" i="13"/>
  <c r="O24" i="13" a="1"/>
  <c r="O24" i="13" s="1"/>
  <c r="P24" i="13" s="1" a="1"/>
  <c r="P24" i="13" s="1"/>
  <c r="M24" i="13" a="1"/>
  <c r="M24" i="13" s="1"/>
  <c r="L24" i="13" a="1"/>
  <c r="L24" i="13" s="1"/>
  <c r="K24" i="13" a="1"/>
  <c r="K24" i="13" s="1"/>
  <c r="J24" i="13" a="1"/>
  <c r="J24" i="13" s="1"/>
  <c r="I24" i="13" a="1"/>
  <c r="I24" i="13"/>
  <c r="H24" i="13" a="1"/>
  <c r="H24" i="13" s="1"/>
  <c r="F24" i="13" a="1"/>
  <c r="F24" i="13" s="1"/>
  <c r="C24" i="13" s="1" a="1"/>
  <c r="C24" i="13" s="1"/>
  <c r="E24" i="13" a="1"/>
  <c r="E24" i="13"/>
  <c r="D24" i="13" a="1"/>
  <c r="D24" i="13" s="1"/>
  <c r="T23" i="13" a="1"/>
  <c r="T23" i="13" s="1"/>
  <c r="P23" i="13" a="1"/>
  <c r="P23" i="13" s="1"/>
  <c r="N23" i="13" a="1"/>
  <c r="N23" i="13" s="1"/>
  <c r="R23" i="13" s="1" a="1"/>
  <c r="R23" i="13" s="1"/>
  <c r="G23" i="13" a="1"/>
  <c r="G23" i="13" s="1"/>
  <c r="Q23" i="13" s="1" a="1"/>
  <c r="Q23" i="13" s="1"/>
  <c r="C23" i="13" a="1"/>
  <c r="C23" i="13" s="1"/>
  <c r="T22" i="13" a="1"/>
  <c r="T22" i="13" s="1"/>
  <c r="R22" i="13" a="1"/>
  <c r="R22" i="13" s="1"/>
  <c r="Q22" i="13" a="1"/>
  <c r="Q22" i="13" s="1"/>
  <c r="P22" i="13" a="1"/>
  <c r="P22" i="13" s="1"/>
  <c r="N22" i="13" a="1"/>
  <c r="N22" i="13"/>
  <c r="G22" i="13" a="1"/>
  <c r="G22" i="13" s="1"/>
  <c r="C22" i="13" a="1"/>
  <c r="C22" i="13"/>
  <c r="R21" i="13" a="1"/>
  <c r="R21" i="13" s="1"/>
  <c r="Q21" i="13" a="1"/>
  <c r="Q21" i="13" s="1"/>
  <c r="P21" i="13" a="1"/>
  <c r="P21" i="13" s="1"/>
  <c r="N21" i="13" a="1"/>
  <c r="N21" i="13"/>
  <c r="T21" i="13" s="1" a="1"/>
  <c r="T21" i="13" s="1"/>
  <c r="G21" i="13" a="1"/>
  <c r="G21" i="13" s="1"/>
  <c r="C21" i="13" a="1"/>
  <c r="C21" i="13"/>
  <c r="Q20" i="13" a="1"/>
  <c r="Q20" i="13"/>
  <c r="P20" i="13" a="1"/>
  <c r="P20" i="13" s="1"/>
  <c r="N20" i="13" a="1"/>
  <c r="N20" i="13" s="1"/>
  <c r="G20" i="13" a="1"/>
  <c r="G20" i="13" s="1"/>
  <c r="C20" i="13" a="1"/>
  <c r="C20" i="13"/>
  <c r="T19" i="13" a="1"/>
  <c r="T19" i="13" s="1"/>
  <c r="Q19" i="13" a="1"/>
  <c r="Q19" i="13"/>
  <c r="P19" i="13" a="1"/>
  <c r="P19" i="13" s="1"/>
  <c r="N19" i="13" a="1"/>
  <c r="N19" i="13"/>
  <c r="R19" i="13" s="1" a="1"/>
  <c r="R19" i="13" s="1"/>
  <c r="S19" i="13" s="1" a="1"/>
  <c r="S19" i="13" s="1"/>
  <c r="G19" i="13" a="1"/>
  <c r="G19" i="13" s="1"/>
  <c r="C19" i="13" a="1"/>
  <c r="C19" i="13"/>
  <c r="P18" i="13" a="1"/>
  <c r="P18" i="13" s="1"/>
  <c r="N18" i="13" a="1"/>
  <c r="N18" i="13"/>
  <c r="R18" i="13" s="1" a="1"/>
  <c r="R18" i="13" s="1"/>
  <c r="G18" i="13" a="1"/>
  <c r="G18" i="13" s="1"/>
  <c r="Q18" i="13" s="1" a="1"/>
  <c r="Q18" i="13" s="1"/>
  <c r="C18" i="13" a="1"/>
  <c r="C18" i="13"/>
  <c r="P17" i="13" a="1"/>
  <c r="P17" i="13" s="1"/>
  <c r="N17" i="13" a="1"/>
  <c r="N17" i="13" s="1"/>
  <c r="G17" i="13" a="1"/>
  <c r="G17" i="13" s="1"/>
  <c r="Q17" i="13" s="1" a="1"/>
  <c r="Q17" i="13" s="1"/>
  <c r="C17" i="13" a="1"/>
  <c r="C17" i="13" s="1"/>
  <c r="R16" i="13" a="1"/>
  <c r="R16" i="13" s="1"/>
  <c r="P16" i="13" a="1"/>
  <c r="P16" i="13" s="1"/>
  <c r="N16" i="13" a="1"/>
  <c r="N16" i="13"/>
  <c r="T16" i="13" s="1" a="1"/>
  <c r="T16" i="13" s="1"/>
  <c r="G16" i="13" a="1"/>
  <c r="G16" i="13" s="1"/>
  <c r="Q16" i="13" s="1" a="1"/>
  <c r="Q16" i="13" s="1"/>
  <c r="C16" i="13" a="1"/>
  <c r="C16" i="13"/>
  <c r="R15" i="13" a="1"/>
  <c r="R15" i="13" s="1"/>
  <c r="P15" i="13" a="1"/>
  <c r="P15" i="13" s="1"/>
  <c r="N15" i="13" a="1"/>
  <c r="N15" i="13"/>
  <c r="T15" i="13" s="1" a="1"/>
  <c r="T15" i="13" s="1"/>
  <c r="G15" i="13" a="1"/>
  <c r="G15" i="13" s="1"/>
  <c r="Q15" i="13" s="1" a="1"/>
  <c r="Q15" i="13" s="1"/>
  <c r="C15" i="13" a="1"/>
  <c r="C15" i="13"/>
  <c r="R14" i="13" a="1"/>
  <c r="R14" i="13" s="1"/>
  <c r="Q14" i="13" a="1"/>
  <c r="Q14" i="13" s="1"/>
  <c r="P14" i="13" a="1"/>
  <c r="P14" i="13" s="1"/>
  <c r="N14" i="13" a="1"/>
  <c r="N14" i="13"/>
  <c r="T14" i="13" s="1" a="1"/>
  <c r="T14" i="13" s="1"/>
  <c r="G14" i="13" a="1"/>
  <c r="G14" i="13" s="1"/>
  <c r="C14" i="13" a="1"/>
  <c r="C14" i="13"/>
  <c r="R13" i="13" a="1"/>
  <c r="R13" i="13" s="1"/>
  <c r="Q13" i="13" a="1"/>
  <c r="Q13" i="13"/>
  <c r="P13" i="13" a="1"/>
  <c r="P13" i="13" s="1"/>
  <c r="N13" i="13" a="1"/>
  <c r="N13" i="13"/>
  <c r="T13" i="13" s="1" a="1"/>
  <c r="T13" i="13" s="1"/>
  <c r="G13" i="13" a="1"/>
  <c r="G13" i="13" s="1"/>
  <c r="C13" i="13" a="1"/>
  <c r="C13" i="13"/>
  <c r="Q12" i="13" a="1"/>
  <c r="Q12" i="13"/>
  <c r="P12" i="13" a="1"/>
  <c r="P12" i="13" s="1"/>
  <c r="N12" i="13" a="1"/>
  <c r="N12" i="13" s="1"/>
  <c r="G12" i="13" a="1"/>
  <c r="G12" i="13" s="1"/>
  <c r="C12" i="13" a="1"/>
  <c r="C12" i="13"/>
  <c r="Q11" i="13" a="1"/>
  <c r="Q11" i="13"/>
  <c r="P11" i="13" a="1"/>
  <c r="P11" i="13" s="1"/>
  <c r="N11" i="13" a="1"/>
  <c r="N11" i="13"/>
  <c r="G11" i="13" a="1"/>
  <c r="G11" i="13" s="1"/>
  <c r="C11" i="13" a="1"/>
  <c r="C11" i="13"/>
  <c r="T10" i="13" a="1"/>
  <c r="T10" i="13" s="1"/>
  <c r="S10" i="13" a="1"/>
  <c r="S10" i="13" s="1"/>
  <c r="P10" i="13" a="1"/>
  <c r="P10" i="13" s="1"/>
  <c r="N10" i="13" a="1"/>
  <c r="N10" i="13"/>
  <c r="R10" i="13" s="1" a="1"/>
  <c r="R10" i="13" s="1"/>
  <c r="G10" i="13" a="1"/>
  <c r="G10" i="13" s="1"/>
  <c r="Q10" i="13" s="1" a="1"/>
  <c r="Q10" i="13" s="1"/>
  <c r="C10" i="13" a="1"/>
  <c r="C10" i="13"/>
  <c r="P9" i="13" a="1"/>
  <c r="P9" i="13" s="1"/>
  <c r="N9" i="13" a="1"/>
  <c r="N9" i="13" s="1"/>
  <c r="G9" i="13" a="1"/>
  <c r="G9" i="13" s="1"/>
  <c r="Q9" i="13" s="1" a="1"/>
  <c r="Q9" i="13" s="1"/>
  <c r="C9" i="13" a="1"/>
  <c r="C9" i="13" s="1"/>
  <c r="T8" i="13" a="1"/>
  <c r="T8" i="13" s="1"/>
  <c r="P8" i="13" a="1"/>
  <c r="P8" i="13" s="1"/>
  <c r="N8" i="13" a="1"/>
  <c r="N8" i="13"/>
  <c r="R8" i="13" s="1" a="1"/>
  <c r="R8" i="13" s="1"/>
  <c r="S8" i="13" s="1" a="1"/>
  <c r="S8" i="13" s="1"/>
  <c r="G8" i="13" a="1"/>
  <c r="G8" i="13"/>
  <c r="Q8" i="13" s="1" a="1"/>
  <c r="Q8" i="13" s="1"/>
  <c r="C8" i="13" a="1"/>
  <c r="C8" i="13" s="1"/>
  <c r="P7" i="13" a="1"/>
  <c r="P7" i="13"/>
  <c r="N7" i="13" a="1"/>
  <c r="N7" i="13"/>
  <c r="G7" i="13" a="1"/>
  <c r="G7" i="13" s="1"/>
  <c r="Q7" i="13" s="1" a="1"/>
  <c r="Q7" i="13" s="1"/>
  <c r="C7" i="13" a="1"/>
  <c r="C7" i="13"/>
  <c r="Q6" i="13" a="1"/>
  <c r="Q6" i="13"/>
  <c r="P6" i="13" a="1"/>
  <c r="P6" i="13" s="1"/>
  <c r="N6" i="13" a="1"/>
  <c r="N6" i="13" s="1"/>
  <c r="G6" i="13" a="1"/>
  <c r="G6" i="13"/>
  <c r="C6" i="13" a="1"/>
  <c r="C6" i="13"/>
  <c r="R5" i="13" a="1"/>
  <c r="R5" i="13" s="1"/>
  <c r="Q5" i="13"/>
  <c r="P5" i="13" a="1"/>
  <c r="P5" i="13"/>
  <c r="N5" i="13" a="1"/>
  <c r="N5" i="13"/>
  <c r="T5" i="13" s="1" a="1"/>
  <c r="T5" i="13" s="1"/>
  <c r="G5" i="13" a="1"/>
  <c r="G5" i="13" s="1"/>
  <c r="Q5" i="13" s="1" a="1"/>
  <c r="C5" i="13" a="1"/>
  <c r="C5" i="13"/>
  <c r="S4" i="13" a="1"/>
  <c r="S4" i="13" s="1"/>
  <c r="Q4" i="13" a="1"/>
  <c r="Q4" i="13"/>
  <c r="P4" i="13" a="1"/>
  <c r="P4" i="13"/>
  <c r="N4" i="13" a="1"/>
  <c r="N4" i="13"/>
  <c r="R4" i="13" s="1" a="1"/>
  <c r="R4" i="13" s="1"/>
  <c r="G4" i="13" a="1"/>
  <c r="G4" i="13"/>
  <c r="C4" i="13" a="1"/>
  <c r="C4" i="13"/>
  <c r="E25" i="12" a="1"/>
  <c r="E25" i="12"/>
  <c r="E24" i="12" a="1"/>
  <c r="E24" i="12"/>
  <c r="E23" i="12" a="1"/>
  <c r="E23" i="12" s="1"/>
  <c r="E22" i="12" a="1"/>
  <c r="E22" i="12"/>
  <c r="E21" i="12" a="1"/>
  <c r="E21" i="12"/>
  <c r="E20" i="12" a="1"/>
  <c r="E20" i="12" s="1"/>
  <c r="E19" i="12" a="1"/>
  <c r="E19" i="12" s="1"/>
  <c r="E18" i="12" a="1"/>
  <c r="E18" i="12"/>
  <c r="E17" i="12" a="1"/>
  <c r="E17" i="12" s="1"/>
  <c r="E16" i="12" a="1"/>
  <c r="E16" i="12"/>
  <c r="E15" i="12" a="1"/>
  <c r="E15" i="12" s="1"/>
  <c r="E14" i="12" a="1"/>
  <c r="E14" i="12"/>
  <c r="E13" i="12" a="1"/>
  <c r="E13" i="12"/>
  <c r="E12" i="12" a="1"/>
  <c r="E12" i="12"/>
  <c r="E11" i="12" a="1"/>
  <c r="E11" i="12" s="1"/>
  <c r="E9" i="12" a="1"/>
  <c r="E9" i="12" s="1"/>
  <c r="E8" i="12" a="1"/>
  <c r="E8" i="12" s="1"/>
  <c r="E7" i="12" a="1"/>
  <c r="E7" i="12" s="1"/>
  <c r="E6" i="12" a="1"/>
  <c r="E6" i="12"/>
  <c r="E5" i="12" a="1"/>
  <c r="E5" i="12"/>
  <c r="E4" i="12" a="1"/>
  <c r="E4" i="12"/>
  <c r="E3" i="12" a="1"/>
  <c r="E3" i="12" s="1"/>
  <c r="Z42" i="9" a="1"/>
  <c r="Z42" i="9" s="1"/>
  <c r="Y42" i="9" a="1"/>
  <c r="Y42" i="9" s="1"/>
  <c r="O42" i="9" a="1"/>
  <c r="O42" i="9" s="1"/>
  <c r="N42" i="9" a="1"/>
  <c r="N42" i="9" s="1"/>
  <c r="M42" i="9" a="1"/>
  <c r="M42" i="9" s="1"/>
  <c r="L42" i="9" a="1"/>
  <c r="L42" i="9" s="1"/>
  <c r="K42" i="9" a="1"/>
  <c r="K42" i="9" s="1"/>
  <c r="J42" i="9" a="1"/>
  <c r="J42" i="9" s="1"/>
  <c r="I42" i="9" a="1"/>
  <c r="I42" i="9" s="1"/>
  <c r="H42" i="9" a="1"/>
  <c r="H42" i="9" s="1"/>
  <c r="G42" i="9" a="1"/>
  <c r="G42" i="9" s="1"/>
  <c r="F42" i="9" a="1"/>
  <c r="F42" i="9" s="1"/>
  <c r="E42" i="9" a="1"/>
  <c r="E42" i="9" s="1"/>
  <c r="D42" i="9" a="1"/>
  <c r="D42" i="9"/>
  <c r="C42" i="9" a="1"/>
  <c r="C42" i="9" s="1"/>
  <c r="W41" i="9" a="1"/>
  <c r="W41" i="9" s="1"/>
  <c r="V41" i="9" a="1"/>
  <c r="V41" i="9" s="1"/>
  <c r="U41" i="9" a="1"/>
  <c r="U41" i="9" s="1"/>
  <c r="T41" i="9" a="1"/>
  <c r="T41" i="9" s="1"/>
  <c r="S41" i="9" a="1"/>
  <c r="S41" i="9" s="1"/>
  <c r="R41" i="9" a="1"/>
  <c r="R41" i="9" s="1"/>
  <c r="Q41" i="9" a="1"/>
  <c r="Q41" i="9" s="1"/>
  <c r="P41" i="9" a="1"/>
  <c r="P41" i="9" s="1"/>
  <c r="W40" i="9" a="1"/>
  <c r="W40" i="9" s="1"/>
  <c r="V40" i="9" a="1"/>
  <c r="V40" i="9" s="1"/>
  <c r="U40" i="9" a="1"/>
  <c r="U40" i="9" s="1"/>
  <c r="T40" i="9" a="1"/>
  <c r="T40" i="9" s="1"/>
  <c r="S40" i="9" a="1"/>
  <c r="S40" i="9" s="1"/>
  <c r="R40" i="9" a="1"/>
  <c r="R40" i="9" s="1"/>
  <c r="Q40" i="9" a="1"/>
  <c r="Q40" i="9" s="1"/>
  <c r="W39" i="9" a="1"/>
  <c r="W39" i="9" s="1"/>
  <c r="V39" i="9" a="1"/>
  <c r="V39" i="9" s="1"/>
  <c r="U39" i="9" a="1"/>
  <c r="U39" i="9"/>
  <c r="T39" i="9" a="1"/>
  <c r="T39" i="9" s="1"/>
  <c r="S39" i="9" a="1"/>
  <c r="S39" i="9" s="1"/>
  <c r="R39" i="9" a="1"/>
  <c r="R39" i="9" s="1"/>
  <c r="Q39" i="9" a="1"/>
  <c r="Q39" i="9" s="1"/>
  <c r="P39" i="9" a="1"/>
  <c r="P39" i="9" s="1"/>
  <c r="W38" i="9" a="1"/>
  <c r="W38" i="9" s="1"/>
  <c r="V38" i="9" a="1"/>
  <c r="V38" i="9"/>
  <c r="U38" i="9" a="1"/>
  <c r="U38" i="9" s="1"/>
  <c r="T38" i="9" a="1"/>
  <c r="T38" i="9" s="1"/>
  <c r="S38" i="9" a="1"/>
  <c r="S38" i="9" s="1"/>
  <c r="R38" i="9" a="1"/>
  <c r="R38" i="9" s="1"/>
  <c r="Q38" i="9" a="1"/>
  <c r="Q38" i="9" s="1"/>
  <c r="P38" i="9" a="1"/>
  <c r="P38" i="9" s="1"/>
  <c r="W37" i="9" a="1"/>
  <c r="W37" i="9" s="1"/>
  <c r="V37" i="9" a="1"/>
  <c r="V37" i="9" s="1"/>
  <c r="U37" i="9" a="1"/>
  <c r="U37" i="9" s="1"/>
  <c r="T37" i="9" a="1"/>
  <c r="T37" i="9" s="1"/>
  <c r="S37" i="9" a="1"/>
  <c r="S37" i="9" s="1"/>
  <c r="R37" i="9" a="1"/>
  <c r="R37" i="9" s="1"/>
  <c r="Q37" i="9" a="1"/>
  <c r="Q37" i="9" s="1"/>
  <c r="P37" i="9" a="1"/>
  <c r="P37" i="9" s="1"/>
  <c r="W36" i="9" a="1"/>
  <c r="W36" i="9" s="1"/>
  <c r="V36" i="9" a="1"/>
  <c r="V36" i="9" s="1"/>
  <c r="U36" i="9" a="1"/>
  <c r="U36" i="9" s="1"/>
  <c r="T36" i="9" a="1"/>
  <c r="T36" i="9" s="1"/>
  <c r="S36" i="9" a="1"/>
  <c r="S36" i="9" s="1"/>
  <c r="R36" i="9" a="1"/>
  <c r="R36" i="9" s="1"/>
  <c r="Q36" i="9" a="1"/>
  <c r="Q36" i="9"/>
  <c r="P36" i="9" a="1"/>
  <c r="P36" i="9" s="1"/>
  <c r="W35" i="9" a="1"/>
  <c r="W35" i="9" s="1"/>
  <c r="V35" i="9" a="1"/>
  <c r="V35" i="9" s="1"/>
  <c r="U35" i="9" a="1"/>
  <c r="U35" i="9" s="1"/>
  <c r="T35" i="9" a="1"/>
  <c r="T35" i="9" s="1"/>
  <c r="S35" i="9" a="1"/>
  <c r="S35" i="9" s="1"/>
  <c r="R35" i="9" a="1"/>
  <c r="R35" i="9" s="1"/>
  <c r="Q35" i="9" a="1"/>
  <c r="Q35" i="9" s="1"/>
  <c r="P35" i="9" a="1"/>
  <c r="P35" i="9" s="1"/>
  <c r="W34" i="9" a="1"/>
  <c r="W34" i="9" s="1"/>
  <c r="V34" i="9" a="1"/>
  <c r="V34" i="9" s="1"/>
  <c r="U34" i="9" a="1"/>
  <c r="U34" i="9" s="1"/>
  <c r="T34" i="9" a="1"/>
  <c r="T34" i="9" s="1"/>
  <c r="S34" i="9" a="1"/>
  <c r="S34" i="9" s="1"/>
  <c r="R34" i="9" a="1"/>
  <c r="R34" i="9" s="1"/>
  <c r="Q34" i="9" a="1"/>
  <c r="Q34" i="9" s="1"/>
  <c r="P34" i="9" a="1"/>
  <c r="P34" i="9"/>
  <c r="W33" i="9" a="1"/>
  <c r="W33" i="9" s="1"/>
  <c r="V33" i="9" a="1"/>
  <c r="V33" i="9" s="1"/>
  <c r="U33" i="9" a="1"/>
  <c r="U33" i="9" s="1"/>
  <c r="T33" i="9" a="1"/>
  <c r="T33" i="9" s="1"/>
  <c r="S33" i="9" a="1"/>
  <c r="S33" i="9" s="1"/>
  <c r="R33" i="9" a="1"/>
  <c r="R33" i="9" s="1"/>
  <c r="Q33" i="9" a="1"/>
  <c r="Q33" i="9" s="1"/>
  <c r="P33" i="9" a="1"/>
  <c r="P33" i="9" s="1"/>
  <c r="W32" i="9" a="1"/>
  <c r="W32" i="9" s="1"/>
  <c r="V32" i="9" a="1"/>
  <c r="V32" i="9" s="1"/>
  <c r="U32" i="9" a="1"/>
  <c r="U32" i="9" s="1"/>
  <c r="T32" i="9" a="1"/>
  <c r="T32" i="9" s="1"/>
  <c r="S32" i="9" a="1"/>
  <c r="S32" i="9" s="1"/>
  <c r="R32" i="9" a="1"/>
  <c r="R32" i="9" s="1"/>
  <c r="Q32" i="9" a="1"/>
  <c r="Q32" i="9" s="1"/>
  <c r="P32" i="9" a="1"/>
  <c r="P32" i="9" s="1"/>
  <c r="W31" i="9" a="1"/>
  <c r="W31" i="9" s="1"/>
  <c r="V31" i="9" a="1"/>
  <c r="V31" i="9" s="1"/>
  <c r="U31" i="9" a="1"/>
  <c r="U31" i="9"/>
  <c r="T31" i="9" a="1"/>
  <c r="T31" i="9" s="1"/>
  <c r="S31" i="9" a="1"/>
  <c r="S31" i="9" s="1"/>
  <c r="R31" i="9" a="1"/>
  <c r="R31" i="9" s="1"/>
  <c r="Q31" i="9" a="1"/>
  <c r="Q31" i="9" s="1"/>
  <c r="P31" i="9" a="1"/>
  <c r="P31" i="9" s="1"/>
  <c r="AC27" i="9" a="1"/>
  <c r="AC27" i="9" s="1"/>
  <c r="AB27" i="9" a="1"/>
  <c r="AB27" i="9" s="1"/>
  <c r="AA27" i="9" a="1"/>
  <c r="AA27" i="9" s="1"/>
  <c r="Z27" i="9" a="1"/>
  <c r="Z27" i="9" s="1"/>
  <c r="Y27" i="9" a="1"/>
  <c r="Y27" i="9" s="1"/>
  <c r="O27" i="9" a="1"/>
  <c r="O27" i="9" s="1"/>
  <c r="N27" i="9" a="1"/>
  <c r="N27" i="9" s="1"/>
  <c r="M27" i="9" a="1"/>
  <c r="M27" i="9" s="1"/>
  <c r="L27" i="9" a="1"/>
  <c r="L27" i="9" s="1"/>
  <c r="K27" i="9" a="1"/>
  <c r="K27" i="9" s="1"/>
  <c r="J27" i="9" a="1"/>
  <c r="J27" i="9" s="1"/>
  <c r="I27" i="9" a="1"/>
  <c r="I27" i="9" s="1"/>
  <c r="H27" i="9" a="1"/>
  <c r="H27" i="9" s="1"/>
  <c r="G27" i="9" a="1"/>
  <c r="G27" i="9" s="1"/>
  <c r="F27" i="9" a="1"/>
  <c r="F27" i="9" s="1"/>
  <c r="C27" i="9" s="1" a="1"/>
  <c r="C27" i="9" s="1"/>
  <c r="E27" i="9" a="1"/>
  <c r="E27" i="9" s="1"/>
  <c r="D27" i="9" a="1"/>
  <c r="D27" i="9" s="1"/>
  <c r="C26" i="9" a="1"/>
  <c r="C26" i="9" s="1"/>
  <c r="T25" i="9" a="1"/>
  <c r="T25" i="9" s="1"/>
  <c r="R25" i="9" a="1"/>
  <c r="R25" i="9" s="1"/>
  <c r="Q25" i="9" a="1"/>
  <c r="Q25" i="9" s="1"/>
  <c r="P25" i="9" a="1"/>
  <c r="P25" i="9" s="1"/>
  <c r="C25" i="9" a="1"/>
  <c r="C25" i="9" s="1"/>
  <c r="T24" i="9" a="1"/>
  <c r="T24" i="9" s="1"/>
  <c r="R24" i="9" a="1"/>
  <c r="R24" i="9" s="1"/>
  <c r="Q24" i="9" a="1"/>
  <c r="Q24" i="9" s="1"/>
  <c r="P24" i="9" a="1"/>
  <c r="P24" i="9" s="1"/>
  <c r="C24" i="9" a="1"/>
  <c r="C24" i="9" s="1"/>
  <c r="T23" i="9" a="1"/>
  <c r="T23" i="9" s="1"/>
  <c r="R23" i="9" a="1"/>
  <c r="R23" i="9" s="1"/>
  <c r="Q23" i="9" a="1"/>
  <c r="Q23" i="9" s="1"/>
  <c r="P23" i="9" a="1"/>
  <c r="P23" i="9" s="1"/>
  <c r="C23" i="9" a="1"/>
  <c r="C23" i="9" s="1"/>
  <c r="T22" i="9" a="1"/>
  <c r="T22" i="9" s="1"/>
  <c r="R22" i="9" a="1"/>
  <c r="R22" i="9" s="1"/>
  <c r="Q22" i="9" a="1"/>
  <c r="Q22" i="9" s="1"/>
  <c r="P22" i="9" a="1"/>
  <c r="P22" i="9" s="1"/>
  <c r="C22" i="9" a="1"/>
  <c r="C22" i="9" s="1"/>
  <c r="T21" i="9" a="1"/>
  <c r="T21" i="9" s="1"/>
  <c r="R21" i="9" a="1"/>
  <c r="R21" i="9" s="1"/>
  <c r="Q21" i="9" a="1"/>
  <c r="Q21" i="9" s="1"/>
  <c r="P21" i="9" a="1"/>
  <c r="P21" i="9" s="1"/>
  <c r="C21" i="9" a="1"/>
  <c r="C21" i="9" s="1"/>
  <c r="T20" i="9" a="1"/>
  <c r="T20" i="9" s="1"/>
  <c r="R20" i="9" a="1"/>
  <c r="R20" i="9" s="1"/>
  <c r="Q20" i="9" a="1"/>
  <c r="Q20" i="9" s="1"/>
  <c r="P20" i="9" a="1"/>
  <c r="P20" i="9" s="1"/>
  <c r="C20" i="9" a="1"/>
  <c r="C20" i="9" s="1"/>
  <c r="T19" i="9" a="1"/>
  <c r="T19" i="9" s="1"/>
  <c r="R19" i="9" a="1"/>
  <c r="R19" i="9" s="1"/>
  <c r="Q19" i="9" a="1"/>
  <c r="Q19" i="9" s="1"/>
  <c r="P19" i="9" a="1"/>
  <c r="P19" i="9" s="1"/>
  <c r="C19" i="9" a="1"/>
  <c r="C19" i="9" s="1"/>
  <c r="T18" i="9" a="1"/>
  <c r="T18" i="9" s="1"/>
  <c r="R18" i="9" a="1"/>
  <c r="R18" i="9" s="1"/>
  <c r="Q18" i="9" a="1"/>
  <c r="Q18" i="9" s="1"/>
  <c r="P18" i="9" a="1"/>
  <c r="P18" i="9" s="1"/>
  <c r="C18" i="9" a="1"/>
  <c r="C18" i="9" s="1"/>
  <c r="T17" i="9" a="1"/>
  <c r="T17" i="9" s="1"/>
  <c r="R17" i="9" a="1"/>
  <c r="R17" i="9" s="1"/>
  <c r="Q17" i="9" a="1"/>
  <c r="Q17" i="9" s="1"/>
  <c r="P17" i="9" a="1"/>
  <c r="P17" i="9" s="1"/>
  <c r="C17" i="9" a="1"/>
  <c r="C17" i="9" s="1"/>
  <c r="T16" i="9" a="1"/>
  <c r="T16" i="9" s="1"/>
  <c r="R16" i="9" a="1"/>
  <c r="R16" i="9" s="1"/>
  <c r="Q16" i="9" a="1"/>
  <c r="Q16" i="9" s="1"/>
  <c r="P16" i="9" a="1"/>
  <c r="P16" i="9" s="1"/>
  <c r="C16" i="9" a="1"/>
  <c r="C16" i="9" s="1"/>
  <c r="T15" i="9" a="1"/>
  <c r="T15" i="9" s="1"/>
  <c r="R15" i="9" a="1"/>
  <c r="R15" i="9" s="1"/>
  <c r="Q15" i="9" a="1"/>
  <c r="Q15" i="9" s="1"/>
  <c r="P15" i="9" a="1"/>
  <c r="P15" i="9" s="1"/>
  <c r="C15" i="9" a="1"/>
  <c r="C15" i="9" s="1"/>
  <c r="T14" i="9" a="1"/>
  <c r="T14" i="9" s="1"/>
  <c r="R14" i="9" a="1"/>
  <c r="R14" i="9" s="1"/>
  <c r="Q14" i="9" a="1"/>
  <c r="Q14" i="9"/>
  <c r="P14" i="9" a="1"/>
  <c r="P14" i="9" s="1"/>
  <c r="C14" i="9" a="1"/>
  <c r="C14" i="9" s="1"/>
  <c r="T13" i="9" a="1"/>
  <c r="T13" i="9" s="1"/>
  <c r="R13" i="9" a="1"/>
  <c r="R13" i="9" s="1"/>
  <c r="Q13" i="9" a="1"/>
  <c r="Q13" i="9" s="1"/>
  <c r="P13" i="9" a="1"/>
  <c r="P13" i="9" s="1"/>
  <c r="C13" i="9" a="1"/>
  <c r="C13" i="9" s="1"/>
  <c r="T12" i="9" a="1"/>
  <c r="T12" i="9" s="1"/>
  <c r="R12" i="9" a="1"/>
  <c r="R12" i="9" s="1"/>
  <c r="S12" i="9" s="1" a="1"/>
  <c r="S12" i="9" s="1"/>
  <c r="Q12" i="9" a="1"/>
  <c r="Q12" i="9" s="1"/>
  <c r="P12" i="9" a="1"/>
  <c r="P12" i="9" s="1"/>
  <c r="C12" i="9" a="1"/>
  <c r="C12" i="9" s="1"/>
  <c r="T11" i="9" a="1"/>
  <c r="T11" i="9" s="1"/>
  <c r="R11" i="9" a="1"/>
  <c r="R11" i="9" s="1"/>
  <c r="Q11" i="9" a="1"/>
  <c r="Q11" i="9" s="1"/>
  <c r="P11" i="9" a="1"/>
  <c r="P11" i="9" s="1"/>
  <c r="C11" i="9" a="1"/>
  <c r="C11" i="9" s="1"/>
  <c r="T10" i="9" a="1"/>
  <c r="T10" i="9" s="1"/>
  <c r="R10" i="9" a="1"/>
  <c r="R10" i="9"/>
  <c r="Q10" i="9" a="1"/>
  <c r="Q10" i="9" s="1"/>
  <c r="P10" i="9" a="1"/>
  <c r="P10" i="9" s="1"/>
  <c r="C10" i="9" a="1"/>
  <c r="C10" i="9" s="1"/>
  <c r="T9" i="9" a="1"/>
  <c r="T9" i="9" s="1"/>
  <c r="R9" i="9" a="1"/>
  <c r="R9" i="9" s="1"/>
  <c r="Q9" i="9" a="1"/>
  <c r="Q9" i="9" s="1"/>
  <c r="P9" i="9" a="1"/>
  <c r="P9" i="9" s="1"/>
  <c r="C9" i="9" a="1"/>
  <c r="C9" i="9" s="1"/>
  <c r="T8" i="9" a="1"/>
  <c r="T8" i="9" s="1"/>
  <c r="R8" i="9" a="1"/>
  <c r="R8" i="9" s="1"/>
  <c r="Q8" i="9" a="1"/>
  <c r="Q8" i="9" s="1"/>
  <c r="P8" i="9" a="1"/>
  <c r="P8" i="9" s="1"/>
  <c r="C8" i="9" a="1"/>
  <c r="C8" i="9" s="1"/>
  <c r="T7" i="9" a="1"/>
  <c r="T7" i="9" s="1"/>
  <c r="R7" i="9" a="1"/>
  <c r="R7" i="9" s="1"/>
  <c r="Q7" i="9" a="1"/>
  <c r="Q7" i="9" s="1"/>
  <c r="P7" i="9" a="1"/>
  <c r="P7" i="9" s="1"/>
  <c r="C7" i="9" a="1"/>
  <c r="C7" i="9" s="1"/>
  <c r="T6" i="9" a="1"/>
  <c r="T6" i="9" s="1"/>
  <c r="R6" i="9" a="1"/>
  <c r="R6" i="9" s="1"/>
  <c r="Q6" i="9" a="1"/>
  <c r="Q6" i="9" s="1"/>
  <c r="P6" i="9" a="1"/>
  <c r="P6" i="9" s="1"/>
  <c r="C6" i="9" a="1"/>
  <c r="C6" i="9" s="1"/>
  <c r="T5" i="9" a="1"/>
  <c r="T5" i="9" s="1"/>
  <c r="R5" i="9" a="1"/>
  <c r="R5" i="9" s="1"/>
  <c r="Q5" i="9" a="1"/>
  <c r="Q5" i="9" s="1"/>
  <c r="P5" i="9" a="1"/>
  <c r="P5" i="9" s="1"/>
  <c r="C5" i="9" a="1"/>
  <c r="C5" i="9" s="1"/>
  <c r="T4" i="9" a="1"/>
  <c r="T4" i="9" s="1"/>
  <c r="R4" i="9" a="1"/>
  <c r="R4" i="9" s="1"/>
  <c r="Q4" i="9" a="1"/>
  <c r="Q4" i="9" s="1"/>
  <c r="P4" i="9" a="1"/>
  <c r="P4" i="9" s="1"/>
  <c r="C4" i="9" a="1"/>
  <c r="C4" i="9" s="1"/>
  <c r="O36" i="8" a="1"/>
  <c r="O36" i="8" s="1"/>
  <c r="N36" i="8" a="1"/>
  <c r="N36" i="8" s="1"/>
  <c r="M36" i="8" a="1"/>
  <c r="M36" i="8"/>
  <c r="L36" i="8" a="1"/>
  <c r="L36" i="8"/>
  <c r="K36" i="8" a="1"/>
  <c r="K36" i="8" s="1"/>
  <c r="J36" i="8" a="1"/>
  <c r="J36" i="8"/>
  <c r="I36" i="8" a="1"/>
  <c r="I36" i="8" s="1"/>
  <c r="H36" i="8" a="1"/>
  <c r="H36" i="8" s="1"/>
  <c r="P36" i="8" s="1" a="1"/>
  <c r="P36" i="8" s="1"/>
  <c r="F36" i="8" a="1"/>
  <c r="F36" i="8"/>
  <c r="E36" i="8" a="1"/>
  <c r="E36" i="8"/>
  <c r="D36" i="8" a="1"/>
  <c r="D36" i="8"/>
  <c r="C36" i="8" a="1"/>
  <c r="C36" i="8" s="1"/>
  <c r="P35" i="8" a="1"/>
  <c r="P35" i="8" s="1"/>
  <c r="G35" i="8" a="1"/>
  <c r="G35" i="8"/>
  <c r="P34" i="8" a="1"/>
  <c r="P34" i="8" s="1"/>
  <c r="G34" i="8" a="1"/>
  <c r="G34" i="8" s="1"/>
  <c r="P33" i="8" a="1"/>
  <c r="P33" i="8"/>
  <c r="G33" i="8" a="1"/>
  <c r="G33" i="8"/>
  <c r="P32" i="8" a="1"/>
  <c r="P32" i="8"/>
  <c r="G32" i="8" a="1"/>
  <c r="G32" i="8" s="1"/>
  <c r="P31" i="8" a="1"/>
  <c r="P31" i="8" s="1"/>
  <c r="G31" i="8" a="1"/>
  <c r="G31" i="8" s="1"/>
  <c r="G30" i="8" a="1"/>
  <c r="G30" i="8" s="1"/>
  <c r="P29" i="8" a="1"/>
  <c r="P29" i="8" s="1"/>
  <c r="G29" i="8" a="1"/>
  <c r="G29" i="8"/>
  <c r="O25" i="8" a="1"/>
  <c r="O25" i="8" s="1"/>
  <c r="N25" i="8" a="1"/>
  <c r="N25" i="8"/>
  <c r="M25" i="8" a="1"/>
  <c r="M25" i="8" s="1"/>
  <c r="L25" i="8" a="1"/>
  <c r="L25" i="8" s="1"/>
  <c r="K25" i="8" a="1"/>
  <c r="K25" i="8" s="1"/>
  <c r="J25" i="8" a="1"/>
  <c r="J25" i="8" s="1"/>
  <c r="I25" i="8" a="1"/>
  <c r="I25" i="8" s="1"/>
  <c r="H25" i="8" a="1"/>
  <c r="H25" i="8" s="1"/>
  <c r="F25" i="8" a="1"/>
  <c r="F25" i="8" s="1"/>
  <c r="C25" i="8" s="1" a="1"/>
  <c r="C25" i="8" s="1"/>
  <c r="E25" i="8" a="1"/>
  <c r="E25" i="8" s="1"/>
  <c r="D25" i="8" a="1"/>
  <c r="D25" i="8" s="1"/>
  <c r="R24" i="8" a="1"/>
  <c r="R24" i="8" s="1"/>
  <c r="G24" i="8" a="1"/>
  <c r="G24" i="8" s="1"/>
  <c r="C24" i="8" a="1"/>
  <c r="C24" i="8"/>
  <c r="P23" i="8"/>
  <c r="R23" i="8" s="1" a="1"/>
  <c r="R23" i="8" s="1"/>
  <c r="G23" i="8" a="1"/>
  <c r="G23" i="8" s="1"/>
  <c r="P23" i="8" s="1" a="1"/>
  <c r="C23" i="8" a="1"/>
  <c r="C23" i="8" s="1"/>
  <c r="R22" i="8" a="1"/>
  <c r="R22" i="8"/>
  <c r="G22" i="8" a="1"/>
  <c r="G22" i="8" s="1"/>
  <c r="P22" i="8" s="1" a="1"/>
  <c r="P22" i="8" s="1"/>
  <c r="C22" i="8" a="1"/>
  <c r="C22" i="8"/>
  <c r="P21" i="8" a="1"/>
  <c r="P21" i="8"/>
  <c r="R21" i="8" s="1" a="1"/>
  <c r="R21" i="8" s="1"/>
  <c r="G21" i="8" a="1"/>
  <c r="G21" i="8" s="1"/>
  <c r="C21" i="8" a="1"/>
  <c r="C21" i="8"/>
  <c r="P20" i="8" a="1"/>
  <c r="P20" i="8" s="1"/>
  <c r="R20" i="8" s="1" a="1"/>
  <c r="R20" i="8" s="1"/>
  <c r="G20" i="8" a="1"/>
  <c r="G20" i="8" s="1"/>
  <c r="C20" i="8" a="1"/>
  <c r="C20" i="8"/>
  <c r="G19" i="8" a="1"/>
  <c r="G19" i="8" s="1"/>
  <c r="P19" i="8" s="1" a="1"/>
  <c r="P19" i="8" s="1"/>
  <c r="R19" i="8" s="1" a="1"/>
  <c r="R19" i="8" s="1"/>
  <c r="C19" i="8" a="1"/>
  <c r="C19" i="8" s="1"/>
  <c r="P18" i="8" a="1"/>
  <c r="P18" i="8" s="1"/>
  <c r="R18" i="8" s="1" a="1"/>
  <c r="R18" i="8" s="1"/>
  <c r="G18" i="8" a="1"/>
  <c r="G18" i="8" s="1"/>
  <c r="C18" i="8" a="1"/>
  <c r="C18" i="8" s="1"/>
  <c r="R17" i="8"/>
  <c r="P17" i="8" a="1"/>
  <c r="P17" i="8" s="1"/>
  <c r="R17" i="8" s="1" a="1"/>
  <c r="G17" i="8" a="1"/>
  <c r="G17" i="8" s="1"/>
  <c r="C17" i="8" a="1"/>
  <c r="C17" i="8" s="1"/>
  <c r="G16" i="8" a="1"/>
  <c r="G16" i="8" s="1"/>
  <c r="P16" i="8" s="1" a="1"/>
  <c r="P16" i="8" s="1"/>
  <c r="R16" i="8" s="1" a="1"/>
  <c r="R16" i="8" s="1"/>
  <c r="C16" i="8" a="1"/>
  <c r="C16" i="8"/>
  <c r="R15" i="8" a="1"/>
  <c r="R15" i="8" s="1"/>
  <c r="P15" i="8"/>
  <c r="G15" i="8" a="1"/>
  <c r="G15" i="8" s="1"/>
  <c r="P15" i="8" s="1" a="1"/>
  <c r="C15" i="8" a="1"/>
  <c r="C15" i="8" s="1"/>
  <c r="R14" i="8" a="1"/>
  <c r="R14" i="8" s="1"/>
  <c r="G14" i="8" a="1"/>
  <c r="G14" i="8" s="1"/>
  <c r="G13" i="8" a="1"/>
  <c r="G13" i="8"/>
  <c r="P13" i="8" s="1" a="1"/>
  <c r="P13" i="8" s="1"/>
  <c r="R13" i="8" s="1" a="1"/>
  <c r="R13" i="8" s="1"/>
  <c r="C13" i="8" a="1"/>
  <c r="C13" i="8" s="1"/>
  <c r="P12" i="8" a="1"/>
  <c r="P12" i="8"/>
  <c r="R12" i="8" s="1" a="1"/>
  <c r="R12" i="8" s="1"/>
  <c r="G12" i="8" a="1"/>
  <c r="G12" i="8" s="1"/>
  <c r="C12" i="8" a="1"/>
  <c r="C12" i="8" s="1"/>
  <c r="P11" i="8"/>
  <c r="R11" i="8" s="1" a="1"/>
  <c r="R11" i="8" s="1"/>
  <c r="G11" i="8" a="1"/>
  <c r="G11" i="8"/>
  <c r="P11" i="8" s="1" a="1"/>
  <c r="C11" i="8" a="1"/>
  <c r="C11" i="8"/>
  <c r="G10" i="8" a="1"/>
  <c r="G10" i="8"/>
  <c r="P10" i="8" s="1" a="1"/>
  <c r="P10" i="8" s="1"/>
  <c r="R10" i="8" s="1" a="1"/>
  <c r="R10" i="8" s="1"/>
  <c r="C10" i="8" a="1"/>
  <c r="C10" i="8" s="1"/>
  <c r="P9" i="8" a="1"/>
  <c r="P9" i="8" s="1"/>
  <c r="R9" i="8" s="1" a="1"/>
  <c r="R9" i="8" s="1"/>
  <c r="G9" i="8" a="1"/>
  <c r="G9" i="8"/>
  <c r="C9" i="8" a="1"/>
  <c r="C9" i="8"/>
  <c r="P8" i="8"/>
  <c r="R8" i="8" s="1" a="1"/>
  <c r="R8" i="8" s="1"/>
  <c r="G8" i="8" a="1"/>
  <c r="G8" i="8" s="1"/>
  <c r="P8" i="8" s="1" a="1"/>
  <c r="C8" i="8" a="1"/>
  <c r="C8" i="8"/>
  <c r="R7" i="8" a="1"/>
  <c r="R7" i="8" s="1"/>
  <c r="G7" i="8" a="1"/>
  <c r="G7" i="8"/>
  <c r="P6" i="8"/>
  <c r="R6" i="8" s="1" a="1"/>
  <c r="R6" i="8" s="1"/>
  <c r="G6" i="8" a="1"/>
  <c r="G6" i="8" s="1"/>
  <c r="P6" i="8" s="1" a="1"/>
  <c r="C6" i="8" a="1"/>
  <c r="C6" i="8" s="1"/>
  <c r="R5" i="8"/>
  <c r="P5" i="8" a="1"/>
  <c r="P5" i="8" s="1"/>
  <c r="R5" i="8" s="1" a="1"/>
  <c r="G5" i="8" a="1"/>
  <c r="G5" i="8" s="1"/>
  <c r="C5" i="8" a="1"/>
  <c r="C5" i="8"/>
  <c r="R4" i="8" a="1"/>
  <c r="R4" i="8"/>
  <c r="G4" i="8" a="1"/>
  <c r="G4" i="8"/>
  <c r="O35" i="7" a="1"/>
  <c r="O35" i="7" s="1"/>
  <c r="P35" i="7" s="1" a="1"/>
  <c r="P35" i="7" s="1"/>
  <c r="N35" i="7" a="1"/>
  <c r="N35" i="7" s="1"/>
  <c r="M35" i="7" a="1"/>
  <c r="M35" i="7" s="1"/>
  <c r="L35" i="7" a="1"/>
  <c r="L35" i="7" s="1"/>
  <c r="K35" i="7" a="1"/>
  <c r="K35" i="7"/>
  <c r="J35" i="7" a="1"/>
  <c r="J35" i="7" s="1"/>
  <c r="I35" i="7" a="1"/>
  <c r="I35" i="7"/>
  <c r="H35" i="7" a="1"/>
  <c r="H35" i="7" s="1"/>
  <c r="F35" i="7" a="1"/>
  <c r="F35" i="7"/>
  <c r="E35" i="7" a="1"/>
  <c r="E35" i="7" s="1"/>
  <c r="D35" i="7" a="1"/>
  <c r="D35" i="7" s="1"/>
  <c r="C35" i="7" a="1"/>
  <c r="C35" i="7"/>
  <c r="P34" i="7" a="1"/>
  <c r="P34" i="7"/>
  <c r="G34" i="7" a="1"/>
  <c r="G34" i="7"/>
  <c r="G33" i="7" a="1"/>
  <c r="G33" i="7" s="1"/>
  <c r="P32" i="7" a="1"/>
  <c r="P32" i="7"/>
  <c r="G32" i="7" a="1"/>
  <c r="G32" i="7" s="1"/>
  <c r="P31" i="7" a="1"/>
  <c r="P31" i="7"/>
  <c r="G31" i="7" a="1"/>
  <c r="G31" i="7" s="1"/>
  <c r="P30" i="7" a="1"/>
  <c r="P30" i="7"/>
  <c r="G30" i="7" a="1"/>
  <c r="G30" i="7"/>
  <c r="P29" i="7" a="1"/>
  <c r="P29" i="7"/>
  <c r="G29" i="7" a="1"/>
  <c r="G29" i="7" s="1"/>
  <c r="O25" i="7" a="1"/>
  <c r="O25" i="7" s="1"/>
  <c r="N25" i="7" a="1"/>
  <c r="N25" i="7"/>
  <c r="M25" i="7" a="1"/>
  <c r="M25" i="7" s="1"/>
  <c r="L25" i="7" a="1"/>
  <c r="L25" i="7" s="1"/>
  <c r="K25" i="7" a="1"/>
  <c r="K25" i="7" s="1"/>
  <c r="J25" i="7" a="1"/>
  <c r="J25" i="7"/>
  <c r="I25" i="7" a="1"/>
  <c r="I25" i="7"/>
  <c r="H25" i="7" a="1"/>
  <c r="H25" i="7" s="1"/>
  <c r="F25" i="7" a="1"/>
  <c r="F25" i="7" s="1"/>
  <c r="E25" i="7" a="1"/>
  <c r="E25" i="7" s="1"/>
  <c r="D25" i="7" a="1"/>
  <c r="D25" i="7" s="1"/>
  <c r="R24" i="7" a="1"/>
  <c r="R24" i="7"/>
  <c r="G24" i="7" a="1"/>
  <c r="G24" i="7"/>
  <c r="G23" i="7" a="1"/>
  <c r="G23" i="7" s="1"/>
  <c r="P23" i="7" s="1" a="1"/>
  <c r="P23" i="7" s="1"/>
  <c r="R23" i="7" s="1" a="1"/>
  <c r="R23" i="7" s="1"/>
  <c r="G22" i="7" a="1"/>
  <c r="G22" i="7" s="1"/>
  <c r="P22" i="7" s="1" a="1"/>
  <c r="P22" i="7" s="1"/>
  <c r="R22" i="7" s="1" a="1"/>
  <c r="R22" i="7" s="1"/>
  <c r="P21" i="7" a="1"/>
  <c r="P21" i="7"/>
  <c r="R21" i="7" s="1" a="1"/>
  <c r="R21" i="7" s="1"/>
  <c r="G21" i="7" a="1"/>
  <c r="G21" i="7" s="1"/>
  <c r="P20" i="7" a="1"/>
  <c r="P20" i="7" s="1"/>
  <c r="R20" i="7" s="1" a="1"/>
  <c r="R20" i="7" s="1"/>
  <c r="G20" i="7" a="1"/>
  <c r="G20" i="7"/>
  <c r="G19" i="7" a="1"/>
  <c r="G19" i="7" s="1"/>
  <c r="P19" i="7" s="1" a="1"/>
  <c r="P19" i="7" s="1"/>
  <c r="R19" i="7" s="1" a="1"/>
  <c r="R19" i="7" s="1"/>
  <c r="R18" i="7"/>
  <c r="P18" i="7" a="1"/>
  <c r="P18" i="7" s="1"/>
  <c r="R18" i="7" s="1" a="1"/>
  <c r="G18" i="7" a="1"/>
  <c r="G18" i="7" s="1"/>
  <c r="P17" i="7" a="1"/>
  <c r="P17" i="7" s="1"/>
  <c r="R17" i="7" s="1" a="1"/>
  <c r="R17" i="7" s="1"/>
  <c r="G17" i="7" a="1"/>
  <c r="G17" i="7" s="1"/>
  <c r="P16" i="7"/>
  <c r="R16" i="7" s="1" a="1"/>
  <c r="R16" i="7" s="1"/>
  <c r="G16" i="7" a="1"/>
  <c r="G16" i="7"/>
  <c r="P16" i="7" s="1" a="1"/>
  <c r="G15" i="7" a="1"/>
  <c r="G15" i="7" s="1"/>
  <c r="P15" i="7" s="1" a="1"/>
  <c r="P15" i="7" s="1"/>
  <c r="R15" i="7" s="1" a="1"/>
  <c r="R15" i="7" s="1"/>
  <c r="R14" i="7"/>
  <c r="P14" i="7" a="1"/>
  <c r="P14" i="7" s="1"/>
  <c r="R14" i="7" s="1" a="1"/>
  <c r="G14" i="7" a="1"/>
  <c r="G14" i="7"/>
  <c r="P13" i="7"/>
  <c r="R13" i="7" s="1" a="1"/>
  <c r="R13" i="7" s="1"/>
  <c r="G13" i="7" a="1"/>
  <c r="G13" i="7" s="1"/>
  <c r="P13" i="7" s="1" a="1"/>
  <c r="P12" i="7" a="1"/>
  <c r="P12" i="7" s="1"/>
  <c r="R12" i="7" s="1" a="1"/>
  <c r="R12" i="7" s="1"/>
  <c r="G12" i="7" a="1"/>
  <c r="G12" i="7" s="1"/>
  <c r="G11" i="7" a="1"/>
  <c r="G11" i="7"/>
  <c r="P11" i="7" s="1" a="1"/>
  <c r="P11" i="7" s="1"/>
  <c r="R11" i="7" s="1" a="1"/>
  <c r="R11" i="7" s="1"/>
  <c r="G10" i="7" a="1"/>
  <c r="G10" i="7" s="1"/>
  <c r="P10" i="7" s="1" a="1"/>
  <c r="P10" i="7" s="1"/>
  <c r="R10" i="7" s="1" a="1"/>
  <c r="R10" i="7" s="1"/>
  <c r="G9" i="7" a="1"/>
  <c r="G9" i="7" s="1"/>
  <c r="P9" i="7" s="1" a="1"/>
  <c r="P9" i="7" s="1"/>
  <c r="R9" i="7" s="1" a="1"/>
  <c r="R9" i="7" s="1"/>
  <c r="G8" i="7" a="1"/>
  <c r="G8" i="7"/>
  <c r="P8" i="7" s="1" a="1"/>
  <c r="P8" i="7" s="1"/>
  <c r="R8" i="7" s="1" a="1"/>
  <c r="R8" i="7" s="1"/>
  <c r="R7" i="7" a="1"/>
  <c r="R7" i="7" s="1"/>
  <c r="G7" i="7" a="1"/>
  <c r="G7" i="7" s="1"/>
  <c r="G6" i="7" a="1"/>
  <c r="G6" i="7" s="1"/>
  <c r="P6" i="7" s="1" a="1"/>
  <c r="P6" i="7" s="1"/>
  <c r="R6" i="7" s="1" a="1"/>
  <c r="R6" i="7" s="1"/>
  <c r="P5" i="7"/>
  <c r="R5" i="7" s="1" a="1"/>
  <c r="R5" i="7" s="1"/>
  <c r="G5" i="7" a="1"/>
  <c r="G5" i="7"/>
  <c r="P5" i="7" s="1" a="1"/>
  <c r="R4" i="7" a="1"/>
  <c r="R4" i="7" s="1"/>
  <c r="G4" i="7" a="1"/>
  <c r="G4" i="7"/>
  <c r="O35" i="6" a="1"/>
  <c r="O35" i="6"/>
  <c r="N35" i="6" a="1"/>
  <c r="N35" i="6" s="1"/>
  <c r="M35" i="6" a="1"/>
  <c r="M35" i="6"/>
  <c r="L35" i="6" a="1"/>
  <c r="L35" i="6"/>
  <c r="K35" i="6" a="1"/>
  <c r="K35" i="6"/>
  <c r="J35" i="6" a="1"/>
  <c r="J35" i="6" s="1"/>
  <c r="I35" i="6" a="1"/>
  <c r="I35" i="6" s="1"/>
  <c r="H35" i="6" a="1"/>
  <c r="H35" i="6" s="1"/>
  <c r="F35" i="6" a="1"/>
  <c r="F35" i="6" s="1"/>
  <c r="E35" i="6" a="1"/>
  <c r="E35" i="6"/>
  <c r="D35" i="6" a="1"/>
  <c r="D35" i="6"/>
  <c r="C35" i="6" a="1"/>
  <c r="C35" i="6"/>
  <c r="P34" i="6" a="1"/>
  <c r="P34" i="6" s="1"/>
  <c r="G34" i="6" a="1"/>
  <c r="G34" i="6" s="1"/>
  <c r="P33" i="6" a="1"/>
  <c r="P33" i="6" s="1"/>
  <c r="G33" i="6" a="1"/>
  <c r="G33" i="6" s="1"/>
  <c r="P32" i="6" a="1"/>
  <c r="P32" i="6" s="1"/>
  <c r="G32" i="6" a="1"/>
  <c r="G32" i="6"/>
  <c r="P31" i="6" a="1"/>
  <c r="P31" i="6" s="1"/>
  <c r="G31" i="6" a="1"/>
  <c r="G31" i="6"/>
  <c r="P30" i="6" a="1"/>
  <c r="P30" i="6" s="1"/>
  <c r="G30" i="6" a="1"/>
  <c r="G30" i="6" s="1"/>
  <c r="P29" i="6" a="1"/>
  <c r="P29" i="6" s="1"/>
  <c r="G29" i="6" a="1"/>
  <c r="G29" i="6" s="1"/>
  <c r="G35" i="6" s="1" a="1"/>
  <c r="G35" i="6" s="1"/>
  <c r="O25" i="6" a="1"/>
  <c r="O25" i="6" s="1"/>
  <c r="N25" i="6" a="1"/>
  <c r="N25" i="6" s="1"/>
  <c r="M25" i="6" a="1"/>
  <c r="M25" i="6"/>
  <c r="L25" i="6" a="1"/>
  <c r="L25" i="6" s="1"/>
  <c r="K25" i="6" a="1"/>
  <c r="K25" i="6" s="1"/>
  <c r="J25" i="6" a="1"/>
  <c r="J25" i="6"/>
  <c r="I25" i="6" a="1"/>
  <c r="I25" i="6" s="1"/>
  <c r="H25" i="6" a="1"/>
  <c r="H25" i="6"/>
  <c r="G25" i="6" a="1"/>
  <c r="G25" i="6" s="1"/>
  <c r="F25" i="6" a="1"/>
  <c r="F25" i="6"/>
  <c r="E25" i="6" a="1"/>
  <c r="E25" i="6"/>
  <c r="C25" i="6" s="1" a="1"/>
  <c r="C25" i="6" s="1"/>
  <c r="D25" i="6" a="1"/>
  <c r="D25" i="6"/>
  <c r="R24" i="6" a="1"/>
  <c r="R24" i="6" s="1"/>
  <c r="P23" i="6" a="1"/>
  <c r="P23" i="6" s="1"/>
  <c r="R23" i="6" s="1" a="1"/>
  <c r="R23" i="6" s="1"/>
  <c r="P22" i="6" a="1"/>
  <c r="P22" i="6" s="1"/>
  <c r="R22" i="6" s="1" a="1"/>
  <c r="R22" i="6" s="1"/>
  <c r="P21" i="6" a="1"/>
  <c r="P21" i="6" s="1"/>
  <c r="R21" i="6" s="1" a="1"/>
  <c r="R21" i="6" s="1"/>
  <c r="P20" i="6" a="1"/>
  <c r="P20" i="6" s="1"/>
  <c r="R20" i="6" s="1" a="1"/>
  <c r="R20" i="6" s="1"/>
  <c r="P19" i="6" a="1"/>
  <c r="P19" i="6" s="1"/>
  <c r="R19" i="6" s="1" a="1"/>
  <c r="R19" i="6" s="1"/>
  <c r="R18" i="6" a="1"/>
  <c r="R18" i="6" s="1"/>
  <c r="P18" i="6" a="1"/>
  <c r="P18" i="6"/>
  <c r="R17" i="6" a="1"/>
  <c r="R17" i="6" s="1"/>
  <c r="R16" i="6"/>
  <c r="P16" i="6" a="1"/>
  <c r="P16" i="6" s="1"/>
  <c r="R16" i="6" s="1" a="1"/>
  <c r="P15" i="6" a="1"/>
  <c r="P15" i="6"/>
  <c r="R15" i="6" s="1" a="1"/>
  <c r="R15" i="6" s="1"/>
  <c r="P14" i="6" a="1"/>
  <c r="P14" i="6" s="1"/>
  <c r="R14" i="6" s="1" a="1"/>
  <c r="R14" i="6" s="1"/>
  <c r="R13" i="6" a="1"/>
  <c r="R13" i="6"/>
  <c r="P13" i="6" a="1"/>
  <c r="P13" i="6"/>
  <c r="R12" i="6" a="1"/>
  <c r="R12" i="6"/>
  <c r="P11" i="6" a="1"/>
  <c r="P11" i="6"/>
  <c r="R11" i="6" s="1" a="1"/>
  <c r="R11" i="6" s="1"/>
  <c r="P10" i="6" a="1"/>
  <c r="P10" i="6"/>
  <c r="R10" i="6" s="1" a="1"/>
  <c r="R10" i="6" s="1"/>
  <c r="P9" i="6" a="1"/>
  <c r="P9" i="6"/>
  <c r="R9" i="6" s="1" a="1"/>
  <c r="R9" i="6" s="1"/>
  <c r="P8" i="6" a="1"/>
  <c r="P8" i="6"/>
  <c r="R8" i="6" s="1" a="1"/>
  <c r="R8" i="6" s="1"/>
  <c r="R7" i="6" a="1"/>
  <c r="R7" i="6" s="1"/>
  <c r="P7" i="6" a="1"/>
  <c r="P7" i="6" s="1"/>
  <c r="R6" i="6" a="1"/>
  <c r="R6" i="6"/>
  <c r="P6" i="6" a="1"/>
  <c r="P6" i="6" s="1"/>
  <c r="P5" i="6" a="1"/>
  <c r="P5" i="6"/>
  <c r="R5" i="6" s="1" a="1"/>
  <c r="R5" i="6" s="1"/>
  <c r="R4" i="6" a="1"/>
  <c r="R4" i="6"/>
  <c r="O35" i="5" a="1"/>
  <c r="O35" i="5" s="1"/>
  <c r="N35" i="5" a="1"/>
  <c r="N35" i="5" s="1"/>
  <c r="M35" i="5" a="1"/>
  <c r="M35" i="5" s="1"/>
  <c r="L35" i="5" a="1"/>
  <c r="L35" i="5" s="1"/>
  <c r="K35" i="5" a="1"/>
  <c r="K35" i="5" s="1"/>
  <c r="J35" i="5" a="1"/>
  <c r="J35" i="5"/>
  <c r="I35" i="5" a="1"/>
  <c r="I35" i="5" s="1"/>
  <c r="H35" i="5" a="1"/>
  <c r="H35" i="5"/>
  <c r="P35" i="5" s="1" a="1"/>
  <c r="P35" i="5" s="1"/>
  <c r="G35" i="5" a="1"/>
  <c r="G35" i="5" s="1"/>
  <c r="F35" i="5" a="1"/>
  <c r="F35" i="5" s="1"/>
  <c r="E35" i="5" a="1"/>
  <c r="E35" i="5" s="1"/>
  <c r="D35" i="5" a="1"/>
  <c r="D35" i="5" s="1"/>
  <c r="C35" i="5" a="1"/>
  <c r="C35" i="5" s="1"/>
  <c r="P34" i="5" a="1"/>
  <c r="P34" i="5"/>
  <c r="P33" i="5" a="1"/>
  <c r="P33" i="5"/>
  <c r="P32" i="5" a="1"/>
  <c r="P32" i="5" s="1"/>
  <c r="P31" i="5" a="1"/>
  <c r="P31" i="5" s="1"/>
  <c r="O25" i="5" a="1"/>
  <c r="O25" i="5"/>
  <c r="N25" i="5" a="1"/>
  <c r="N25" i="5" s="1"/>
  <c r="M25" i="5" a="1"/>
  <c r="M25" i="5"/>
  <c r="L25" i="5" a="1"/>
  <c r="L25" i="5" s="1"/>
  <c r="K25" i="5" a="1"/>
  <c r="K25" i="5"/>
  <c r="J25" i="5" a="1"/>
  <c r="J25" i="5"/>
  <c r="I25" i="5" a="1"/>
  <c r="I25" i="5"/>
  <c r="H25" i="5" a="1"/>
  <c r="H25" i="5" s="1"/>
  <c r="G25" i="5" a="1"/>
  <c r="G25" i="5" s="1"/>
  <c r="F25" i="5" a="1"/>
  <c r="F25" i="5"/>
  <c r="E25" i="5" a="1"/>
  <c r="E25" i="5" s="1"/>
  <c r="D25" i="5" a="1"/>
  <c r="D25" i="5" s="1"/>
  <c r="C25" i="5" a="1"/>
  <c r="C25" i="5" s="1"/>
  <c r="R24" i="5" a="1"/>
  <c r="R24" i="5"/>
  <c r="R23" i="5" a="1"/>
  <c r="R23" i="5"/>
  <c r="P23" i="5" a="1"/>
  <c r="P23" i="5" s="1"/>
  <c r="R22" i="5" a="1"/>
  <c r="R22" i="5" s="1"/>
  <c r="P22" i="5" a="1"/>
  <c r="P22" i="5" s="1"/>
  <c r="R21" i="5" a="1"/>
  <c r="R21" i="5"/>
  <c r="P21" i="5" a="1"/>
  <c r="P21" i="5" s="1"/>
  <c r="P20" i="5" a="1"/>
  <c r="P20" i="5"/>
  <c r="R20" i="5" s="1" a="1"/>
  <c r="R20" i="5" s="1"/>
  <c r="R19" i="5"/>
  <c r="P19" i="5" a="1"/>
  <c r="P19" i="5" s="1"/>
  <c r="R19" i="5" s="1" a="1"/>
  <c r="P18" i="5" a="1"/>
  <c r="P18" i="5" s="1"/>
  <c r="R18" i="5" s="1" a="1"/>
  <c r="R18" i="5" s="1"/>
  <c r="R17" i="5" a="1"/>
  <c r="R17" i="5" s="1"/>
  <c r="P16" i="5" a="1"/>
  <c r="P16" i="5" s="1"/>
  <c r="R16" i="5" s="1" a="1"/>
  <c r="R16" i="5" s="1"/>
  <c r="R15" i="5" a="1"/>
  <c r="R15" i="5"/>
  <c r="R14" i="5" a="1"/>
  <c r="R14" i="5" s="1"/>
  <c r="P14" i="5" a="1"/>
  <c r="P14" i="5" s="1"/>
  <c r="P13" i="5" a="1"/>
  <c r="P13" i="5" s="1"/>
  <c r="R13" i="5" s="1" a="1"/>
  <c r="R13" i="5" s="1"/>
  <c r="R12" i="5" a="1"/>
  <c r="R12" i="5"/>
  <c r="R11" i="5" a="1"/>
  <c r="R11" i="5" s="1"/>
  <c r="P11" i="5" a="1"/>
  <c r="P11" i="5"/>
  <c r="R10" i="5" a="1"/>
  <c r="R10" i="5"/>
  <c r="P10" i="5" a="1"/>
  <c r="P10" i="5"/>
  <c r="P9" i="5" a="1"/>
  <c r="P9" i="5" s="1"/>
  <c r="R9" i="5" s="1" a="1"/>
  <c r="R9" i="5" s="1"/>
  <c r="P8" i="5" a="1"/>
  <c r="P8" i="5" s="1"/>
  <c r="R8" i="5" s="1" a="1"/>
  <c r="R8" i="5" s="1"/>
  <c r="R7" i="5" a="1"/>
  <c r="R7" i="5" s="1"/>
  <c r="P6" i="5" a="1"/>
  <c r="P6" i="5"/>
  <c r="R6" i="5" s="1" a="1"/>
  <c r="R6" i="5" s="1"/>
  <c r="R5" i="5" a="1"/>
  <c r="R5" i="5"/>
  <c r="P5" i="5" a="1"/>
  <c r="P5" i="5" s="1"/>
  <c r="R4" i="5" a="1"/>
  <c r="R4" i="5" s="1"/>
  <c r="P4" i="5" a="1"/>
  <c r="P4" i="5" s="1"/>
  <c r="S37" i="4"/>
  <c r="O37" i="4" a="1"/>
  <c r="O37" i="4" s="1"/>
  <c r="N37" i="4" a="1"/>
  <c r="N37" i="4" s="1"/>
  <c r="M37" i="4" a="1"/>
  <c r="M37" i="4" s="1"/>
  <c r="L37" i="4" a="1"/>
  <c r="L37" i="4"/>
  <c r="V37" i="4" s="1" a="1"/>
  <c r="V37" i="4" s="1"/>
  <c r="K37" i="4" a="1"/>
  <c r="K37" i="4"/>
  <c r="J37" i="4" a="1"/>
  <c r="J37" i="4" s="1"/>
  <c r="I37" i="4" a="1"/>
  <c r="I37" i="4" s="1"/>
  <c r="H37" i="4" a="1"/>
  <c r="H37" i="4"/>
  <c r="S37" i="4" s="1" a="1"/>
  <c r="G37" i="4" a="1"/>
  <c r="G37" i="4" s="1"/>
  <c r="F37" i="4" a="1"/>
  <c r="F37" i="4"/>
  <c r="E37" i="4" a="1"/>
  <c r="E37" i="4" s="1"/>
  <c r="D37" i="4" a="1"/>
  <c r="D37" i="4"/>
  <c r="C37" i="4" a="1"/>
  <c r="C37" i="4"/>
  <c r="B37" i="4" a="1"/>
  <c r="B37" i="4"/>
  <c r="V36" i="4" a="1"/>
  <c r="V36" i="4" s="1"/>
  <c r="U36" i="4" a="1"/>
  <c r="U36" i="4" s="1"/>
  <c r="T36" i="4" a="1"/>
  <c r="T36" i="4" s="1"/>
  <c r="S36" i="4" a="1"/>
  <c r="S36" i="4" s="1"/>
  <c r="R36" i="4" a="1"/>
  <c r="R36" i="4" s="1"/>
  <c r="Q36" i="4" a="1"/>
  <c r="Q36" i="4" s="1"/>
  <c r="P36" i="4" a="1"/>
  <c r="P36" i="4"/>
  <c r="V35" i="4" a="1"/>
  <c r="V35" i="4" s="1"/>
  <c r="U35" i="4" a="1"/>
  <c r="U35" i="4" s="1"/>
  <c r="T35" i="4" a="1"/>
  <c r="T35" i="4"/>
  <c r="S35" i="4" a="1"/>
  <c r="S35" i="4" s="1"/>
  <c r="R35" i="4" a="1"/>
  <c r="R35" i="4"/>
  <c r="Q35" i="4" a="1"/>
  <c r="Q35" i="4" s="1"/>
  <c r="P35" i="4" a="1"/>
  <c r="P35" i="4"/>
  <c r="V34" i="4" a="1"/>
  <c r="V34" i="4"/>
  <c r="T34" i="4" a="1"/>
  <c r="T34" i="4"/>
  <c r="S34" i="4" a="1"/>
  <c r="S34" i="4" s="1"/>
  <c r="R34" i="4" a="1"/>
  <c r="R34" i="4" s="1"/>
  <c r="Q34" i="4" a="1"/>
  <c r="Q34" i="4" s="1"/>
  <c r="V33" i="4" a="1"/>
  <c r="V33" i="4" s="1"/>
  <c r="U33" i="4" a="1"/>
  <c r="U33" i="4" s="1"/>
  <c r="T33" i="4" a="1"/>
  <c r="T33" i="4"/>
  <c r="S33" i="4" a="1"/>
  <c r="S33" i="4"/>
  <c r="R33" i="4" a="1"/>
  <c r="R33" i="4" s="1"/>
  <c r="Q33" i="4" a="1"/>
  <c r="Q33" i="4" s="1"/>
  <c r="P33" i="4" a="1"/>
  <c r="P33" i="4" s="1"/>
  <c r="V32" i="4" a="1"/>
  <c r="V32" i="4" s="1"/>
  <c r="U32" i="4" a="1"/>
  <c r="U32" i="4"/>
  <c r="T32" i="4" a="1"/>
  <c r="T32" i="4" s="1"/>
  <c r="S32" i="4" a="1"/>
  <c r="S32" i="4"/>
  <c r="R32" i="4" a="1"/>
  <c r="R32" i="4" s="1"/>
  <c r="Q32" i="4" a="1"/>
  <c r="Q32" i="4"/>
  <c r="P32" i="4" a="1"/>
  <c r="P32" i="4" s="1"/>
  <c r="V31" i="4" a="1"/>
  <c r="V31" i="4" s="1"/>
  <c r="U31" i="4" a="1"/>
  <c r="U31" i="4"/>
  <c r="T31" i="4" a="1"/>
  <c r="T31" i="4" s="1"/>
  <c r="S31" i="4" a="1"/>
  <c r="S31" i="4" s="1"/>
  <c r="R31" i="4" a="1"/>
  <c r="R31" i="4" s="1"/>
  <c r="Q31" i="4" a="1"/>
  <c r="Q31" i="4"/>
  <c r="P31" i="4" a="1"/>
  <c r="P31" i="4"/>
  <c r="S30" i="4" a="1"/>
  <c r="S30" i="4" s="1"/>
  <c r="V29" i="4" a="1"/>
  <c r="V29" i="4"/>
  <c r="U29" i="4" a="1"/>
  <c r="U29" i="4" s="1"/>
  <c r="T29" i="4" a="1"/>
  <c r="T29" i="4" s="1"/>
  <c r="S29" i="4" a="1"/>
  <c r="S29" i="4" s="1"/>
  <c r="R29" i="4" a="1"/>
  <c r="R29" i="4"/>
  <c r="Q29" i="4" a="1"/>
  <c r="Q29" i="4"/>
  <c r="P29" i="4" a="1"/>
  <c r="P29" i="4"/>
  <c r="O25" i="4" a="1"/>
  <c r="O25" i="4"/>
  <c r="P25" i="4" s="1" a="1"/>
  <c r="P25" i="4" s="1"/>
  <c r="N25" i="4" a="1"/>
  <c r="N25" i="4" s="1"/>
  <c r="M25" i="4" a="1"/>
  <c r="M25" i="4" s="1"/>
  <c r="L25" i="4" a="1"/>
  <c r="L25" i="4" s="1"/>
  <c r="K25" i="4" a="1"/>
  <c r="K25" i="4" s="1"/>
  <c r="J25" i="4" a="1"/>
  <c r="J25" i="4" s="1"/>
  <c r="I25" i="4" a="1"/>
  <c r="I25" i="4"/>
  <c r="Q25" i="4" s="1" a="1"/>
  <c r="Q25" i="4" s="1"/>
  <c r="H25" i="4" a="1"/>
  <c r="H25" i="4" s="1"/>
  <c r="G25" i="4" a="1"/>
  <c r="G25" i="4"/>
  <c r="F25" i="4" a="1"/>
  <c r="F25" i="4" s="1"/>
  <c r="E25" i="4" a="1"/>
  <c r="E25" i="4"/>
  <c r="D25" i="4" a="1"/>
  <c r="D25" i="4" s="1"/>
  <c r="C25" i="4" a="1"/>
  <c r="C25" i="4" s="1"/>
  <c r="T24" i="4" a="1"/>
  <c r="T24" i="4" s="1"/>
  <c r="R24" i="4" a="1"/>
  <c r="R24" i="4" s="1"/>
  <c r="S24" i="4" s="1" a="1"/>
  <c r="S24" i="4" s="1"/>
  <c r="Q24" i="4" a="1"/>
  <c r="Q24" i="4" s="1"/>
  <c r="P24" i="4" a="1"/>
  <c r="P24" i="4" s="1"/>
  <c r="C24" i="4" a="1"/>
  <c r="C24" i="4" s="1"/>
  <c r="T23" i="4" a="1"/>
  <c r="T23" i="4" s="1"/>
  <c r="R23" i="4" a="1"/>
  <c r="R23" i="4" s="1"/>
  <c r="Q23" i="4" a="1"/>
  <c r="Q23" i="4"/>
  <c r="P23" i="4" a="1"/>
  <c r="P23" i="4" s="1"/>
  <c r="C23" i="4" a="1"/>
  <c r="C23" i="4" s="1"/>
  <c r="T22" i="4" a="1"/>
  <c r="T22" i="4" s="1"/>
  <c r="R22" i="4" a="1"/>
  <c r="R22" i="4" s="1"/>
  <c r="S22" i="4" s="1" a="1"/>
  <c r="S22" i="4" s="1"/>
  <c r="Q22" i="4" a="1"/>
  <c r="Q22" i="4" s="1"/>
  <c r="P22" i="4" a="1"/>
  <c r="P22" i="4" s="1"/>
  <c r="C22" i="4" a="1"/>
  <c r="C22" i="4" s="1"/>
  <c r="T21" i="4" a="1"/>
  <c r="T21" i="4" s="1"/>
  <c r="R21" i="4" a="1"/>
  <c r="R21" i="4" s="1"/>
  <c r="Q21" i="4" a="1"/>
  <c r="Q21" i="4"/>
  <c r="P21" i="4" a="1"/>
  <c r="P21" i="4" s="1"/>
  <c r="C21" i="4" a="1"/>
  <c r="C21" i="4" s="1"/>
  <c r="T20" i="4" a="1"/>
  <c r="T20" i="4" s="1"/>
  <c r="R20" i="4" a="1"/>
  <c r="R20" i="4" s="1"/>
  <c r="S20" i="4" s="1" a="1"/>
  <c r="S20" i="4" s="1"/>
  <c r="Q20" i="4" a="1"/>
  <c r="Q20" i="4" s="1"/>
  <c r="P20" i="4" a="1"/>
  <c r="P20" i="4" s="1"/>
  <c r="C20" i="4" a="1"/>
  <c r="C20" i="4" s="1"/>
  <c r="T19" i="4" a="1"/>
  <c r="T19" i="4" s="1"/>
  <c r="R19" i="4" a="1"/>
  <c r="R19" i="4" s="1"/>
  <c r="Q19" i="4" a="1"/>
  <c r="Q19" i="4"/>
  <c r="P19" i="4" a="1"/>
  <c r="P19" i="4" s="1"/>
  <c r="C19" i="4" a="1"/>
  <c r="C19" i="4" s="1"/>
  <c r="T18" i="4" a="1"/>
  <c r="T18" i="4" s="1"/>
  <c r="R18" i="4" a="1"/>
  <c r="R18" i="4" s="1"/>
  <c r="U18" i="4" s="1" a="1"/>
  <c r="U18" i="4" s="1"/>
  <c r="Q18" i="4" a="1"/>
  <c r="Q18" i="4" s="1"/>
  <c r="P18" i="4" a="1"/>
  <c r="P18" i="4" s="1"/>
  <c r="C18" i="4" a="1"/>
  <c r="C18" i="4" s="1"/>
  <c r="T17" i="4" a="1"/>
  <c r="T17" i="4" s="1"/>
  <c r="R17" i="4" a="1"/>
  <c r="R17" i="4" s="1"/>
  <c r="S17" i="4" s="1" a="1"/>
  <c r="S17" i="4" s="1"/>
  <c r="Q17" i="4" a="1"/>
  <c r="Q17" i="4"/>
  <c r="P17" i="4" a="1"/>
  <c r="P17" i="4" s="1"/>
  <c r="C17" i="4" a="1"/>
  <c r="C17" i="4" s="1"/>
  <c r="T16" i="4" a="1"/>
  <c r="T16" i="4" s="1"/>
  <c r="S16" i="4" a="1"/>
  <c r="S16" i="4"/>
  <c r="R16" i="4" a="1"/>
  <c r="R16" i="4" s="1"/>
  <c r="Q16" i="4" a="1"/>
  <c r="Q16" i="4" s="1"/>
  <c r="P16" i="4" a="1"/>
  <c r="P16" i="4" s="1"/>
  <c r="C16" i="4" a="1"/>
  <c r="C16" i="4" s="1"/>
  <c r="T15" i="4" a="1"/>
  <c r="T15" i="4" s="1"/>
  <c r="R15" i="4" a="1"/>
  <c r="R15" i="4" s="1"/>
  <c r="S15" i="4" s="1" a="1"/>
  <c r="S15" i="4" s="1"/>
  <c r="Q15" i="4" a="1"/>
  <c r="Q15" i="4"/>
  <c r="P15" i="4" a="1"/>
  <c r="P15" i="4" s="1"/>
  <c r="C15" i="4" a="1"/>
  <c r="C15" i="4" s="1"/>
  <c r="T14" i="4" a="1"/>
  <c r="T14" i="4" s="1"/>
  <c r="R14" i="4" a="1"/>
  <c r="R14" i="4" s="1"/>
  <c r="Q14" i="4" a="1"/>
  <c r="Q14" i="4" s="1"/>
  <c r="S14" i="4" s="1" a="1"/>
  <c r="S14" i="4" s="1"/>
  <c r="P14" i="4" a="1"/>
  <c r="P14" i="4" s="1"/>
  <c r="C14" i="4" a="1"/>
  <c r="C14" i="4" s="1"/>
  <c r="T13" i="4" a="1"/>
  <c r="T13" i="4" s="1"/>
  <c r="R13" i="4" a="1"/>
  <c r="R13" i="4" s="1"/>
  <c r="Q13" i="4" a="1"/>
  <c r="Q13" i="4"/>
  <c r="P13" i="4" a="1"/>
  <c r="P13" i="4" s="1"/>
  <c r="C13" i="4" a="1"/>
  <c r="C13" i="4" s="1"/>
  <c r="T12" i="4" a="1"/>
  <c r="T12" i="4" s="1"/>
  <c r="R12" i="4" a="1"/>
  <c r="R12" i="4" s="1"/>
  <c r="U12" i="4" s="1" a="1"/>
  <c r="U12" i="4" s="1"/>
  <c r="Q12" i="4" a="1"/>
  <c r="Q12" i="4" s="1"/>
  <c r="P12" i="4" a="1"/>
  <c r="P12" i="4" s="1"/>
  <c r="C12" i="4" a="1"/>
  <c r="C12" i="4" s="1"/>
  <c r="T11" i="4" a="1"/>
  <c r="T11" i="4" s="1"/>
  <c r="R11" i="4" a="1"/>
  <c r="R11" i="4" s="1"/>
  <c r="S11" i="4" s="1" a="1"/>
  <c r="S11" i="4" s="1"/>
  <c r="Q11" i="4" a="1"/>
  <c r="Q11" i="4"/>
  <c r="P11" i="4" a="1"/>
  <c r="P11" i="4" s="1"/>
  <c r="C11" i="4" a="1"/>
  <c r="C11" i="4" s="1"/>
  <c r="T10" i="4" a="1"/>
  <c r="T10" i="4" s="1"/>
  <c r="S10" i="4" a="1"/>
  <c r="S10" i="4" s="1"/>
  <c r="R10" i="4" a="1"/>
  <c r="R10" i="4" s="1"/>
  <c r="Q10" i="4" a="1"/>
  <c r="Q10" i="4" s="1"/>
  <c r="P10" i="4" a="1"/>
  <c r="P10" i="4" s="1"/>
  <c r="C10" i="4" a="1"/>
  <c r="C10" i="4" s="1"/>
  <c r="T9" i="4" a="1"/>
  <c r="T9" i="4" s="1"/>
  <c r="R9" i="4" a="1"/>
  <c r="R9" i="4" s="1"/>
  <c r="Q9" i="4" a="1"/>
  <c r="Q9" i="4"/>
  <c r="P9" i="4" a="1"/>
  <c r="P9" i="4" s="1"/>
  <c r="C9" i="4" a="1"/>
  <c r="C9" i="4" s="1"/>
  <c r="T8" i="4" a="1"/>
  <c r="T8" i="4" s="1"/>
  <c r="R8" i="4" a="1"/>
  <c r="R8" i="4" s="1"/>
  <c r="S8" i="4" s="1" a="1"/>
  <c r="S8" i="4" s="1"/>
  <c r="Q8" i="4" a="1"/>
  <c r="Q8" i="4" s="1"/>
  <c r="P8" i="4" a="1"/>
  <c r="P8" i="4" s="1"/>
  <c r="C8" i="4" a="1"/>
  <c r="C8" i="4" s="1"/>
  <c r="T7" i="4" a="1"/>
  <c r="T7" i="4" s="1"/>
  <c r="R7" i="4" a="1"/>
  <c r="R7" i="4" s="1"/>
  <c r="Q7" i="4" a="1"/>
  <c r="Q7" i="4"/>
  <c r="P7" i="4" a="1"/>
  <c r="P7" i="4" s="1"/>
  <c r="C7" i="4" a="1"/>
  <c r="C7" i="4" s="1"/>
  <c r="T6" i="4" a="1"/>
  <c r="T6" i="4" s="1"/>
  <c r="R6" i="4" a="1"/>
  <c r="R6" i="4" s="1"/>
  <c r="U21" i="4" s="1" a="1"/>
  <c r="U21" i="4" s="1"/>
  <c r="Q6" i="4" a="1"/>
  <c r="Q6" i="4" s="1"/>
  <c r="P6" i="4" a="1"/>
  <c r="P6" i="4" s="1"/>
  <c r="C6" i="4" a="1"/>
  <c r="C6" i="4" s="1"/>
  <c r="T5" i="4" a="1"/>
  <c r="T5" i="4" s="1"/>
  <c r="R5" i="4" a="1"/>
  <c r="R5" i="4" s="1"/>
  <c r="Q5" i="4" a="1"/>
  <c r="Q5" i="4"/>
  <c r="P5" i="4" a="1"/>
  <c r="P5" i="4" s="1"/>
  <c r="C5" i="4" a="1"/>
  <c r="C5" i="4" s="1"/>
  <c r="T4" i="4" a="1"/>
  <c r="T4" i="4" s="1"/>
  <c r="R4" i="4" a="1"/>
  <c r="R4" i="4" s="1"/>
  <c r="S4" i="4" s="1" a="1"/>
  <c r="S4" i="4" s="1"/>
  <c r="Q4" i="4" a="1"/>
  <c r="Q4" i="4" s="1"/>
  <c r="P4" i="4" a="1"/>
  <c r="P4" i="4" s="1"/>
  <c r="C4" i="4" a="1"/>
  <c r="C4" i="4" s="1"/>
  <c r="J55" i="2" a="1"/>
  <c r="J55" i="2" s="1"/>
  <c r="J54" i="2" a="1"/>
  <c r="J54" i="2" s="1"/>
  <c r="J53" i="2" a="1"/>
  <c r="J53" i="2" s="1"/>
  <c r="J52" i="2" a="1"/>
  <c r="J52" i="2"/>
  <c r="J51" i="2" a="1"/>
  <c r="J51" i="2" s="1"/>
  <c r="J50" i="2" a="1"/>
  <c r="J50" i="2"/>
  <c r="J49" i="2" a="1"/>
  <c r="J49" i="2" s="1"/>
  <c r="J48" i="2" a="1"/>
  <c r="J48" i="2" s="1"/>
  <c r="J46" i="2" a="1"/>
  <c r="J46" i="2" s="1"/>
  <c r="T42" i="2" a="1"/>
  <c r="T42" i="2"/>
  <c r="S42" i="2" a="1"/>
  <c r="S42" i="2" s="1"/>
  <c r="O42" i="2" a="1"/>
  <c r="O42" i="2" s="1"/>
  <c r="N42" i="2" a="1"/>
  <c r="N42" i="2" s="1"/>
  <c r="M42" i="2" a="1"/>
  <c r="M42" i="2" s="1"/>
  <c r="L42" i="2" a="1"/>
  <c r="L42" i="2"/>
  <c r="K42" i="2" a="1"/>
  <c r="K42" i="2" s="1"/>
  <c r="Q42" i="2" s="1" a="1"/>
  <c r="Q42" i="2" s="1"/>
  <c r="J42" i="2" a="1"/>
  <c r="J42" i="2"/>
  <c r="I42" i="2" a="1"/>
  <c r="I42" i="2" s="1"/>
  <c r="R42" i="2" s="1" a="1"/>
  <c r="R42" i="2" s="1"/>
  <c r="H42" i="2" a="1"/>
  <c r="H42" i="2" s="1"/>
  <c r="G42" i="2" a="1"/>
  <c r="G42" i="2" s="1"/>
  <c r="F42" i="2" a="1"/>
  <c r="F42" i="2"/>
  <c r="E42" i="2" a="1"/>
  <c r="E42" i="2" s="1"/>
  <c r="D42" i="2" a="1"/>
  <c r="D42" i="2"/>
  <c r="C42" i="2" a="1"/>
  <c r="C42" i="2" s="1"/>
  <c r="B42" i="2" a="1"/>
  <c r="B42" i="2" s="1"/>
  <c r="V41" i="2" a="1"/>
  <c r="V41" i="2" s="1"/>
  <c r="U41" i="2" a="1"/>
  <c r="U41" i="2" s="1"/>
  <c r="T41" i="2" a="1"/>
  <c r="T41" i="2" s="1"/>
  <c r="S41" i="2" a="1"/>
  <c r="S41" i="2" s="1"/>
  <c r="R41" i="2" a="1"/>
  <c r="R41" i="2" s="1"/>
  <c r="Q41" i="2" a="1"/>
  <c r="Q41" i="2"/>
  <c r="P41" i="2" a="1"/>
  <c r="P41" i="2" s="1"/>
  <c r="V40" i="2" a="1"/>
  <c r="V40" i="2"/>
  <c r="U40" i="2" a="1"/>
  <c r="U40" i="2" s="1"/>
  <c r="T40" i="2" a="1"/>
  <c r="T40" i="2" s="1"/>
  <c r="S40" i="2" a="1"/>
  <c r="S40" i="2" s="1"/>
  <c r="R40" i="2" a="1"/>
  <c r="R40" i="2" s="1"/>
  <c r="Q40" i="2" a="1"/>
  <c r="Q40" i="2" s="1"/>
  <c r="P40" i="2" a="1"/>
  <c r="P40" i="2"/>
  <c r="U38" i="2" a="1"/>
  <c r="U38" i="2" s="1"/>
  <c r="P38" i="2" a="1"/>
  <c r="P38" i="2" s="1"/>
  <c r="V37" i="2" a="1"/>
  <c r="V37" i="2" s="1"/>
  <c r="U37" i="2" a="1"/>
  <c r="U37" i="2" s="1"/>
  <c r="T37" i="2" a="1"/>
  <c r="T37" i="2" s="1"/>
  <c r="S37" i="2" a="1"/>
  <c r="S37" i="2"/>
  <c r="R37" i="2" a="1"/>
  <c r="R37" i="2" s="1"/>
  <c r="Q37" i="2" a="1"/>
  <c r="Q37" i="2"/>
  <c r="P37" i="2" a="1"/>
  <c r="P37" i="2" s="1"/>
  <c r="V36" i="2" a="1"/>
  <c r="V36" i="2"/>
  <c r="U36" i="2" a="1"/>
  <c r="U36" i="2" s="1"/>
  <c r="T36" i="2" a="1"/>
  <c r="T36" i="2" s="1"/>
  <c r="S36" i="2" a="1"/>
  <c r="S36" i="2" s="1"/>
  <c r="R36" i="2" a="1"/>
  <c r="R36" i="2" s="1"/>
  <c r="Q36" i="2" a="1"/>
  <c r="Q36" i="2" s="1"/>
  <c r="P36" i="2" a="1"/>
  <c r="P36" i="2" s="1"/>
  <c r="P35" i="2" a="1"/>
  <c r="P35" i="2" s="1"/>
  <c r="V34" i="2" a="1"/>
  <c r="V34" i="2" s="1"/>
  <c r="U34" i="2" a="1"/>
  <c r="U34" i="2" s="1"/>
  <c r="T34" i="2" a="1"/>
  <c r="T34" i="2" s="1"/>
  <c r="S34" i="2" a="1"/>
  <c r="S34" i="2" s="1"/>
  <c r="R34" i="2" a="1"/>
  <c r="R34" i="2"/>
  <c r="Q34" i="2" a="1"/>
  <c r="Q34" i="2" s="1"/>
  <c r="P34" i="2" a="1"/>
  <c r="P34" i="2"/>
  <c r="V33" i="2" a="1"/>
  <c r="V33" i="2" s="1"/>
  <c r="U33" i="2" a="1"/>
  <c r="U33" i="2"/>
  <c r="T33" i="2" a="1"/>
  <c r="T33" i="2" s="1"/>
  <c r="S33" i="2" a="1"/>
  <c r="S33" i="2" s="1"/>
  <c r="R33" i="2" a="1"/>
  <c r="R33" i="2" s="1"/>
  <c r="Q33" i="2" a="1"/>
  <c r="Q33" i="2"/>
  <c r="P33" i="2" a="1"/>
  <c r="P33" i="2" s="1"/>
  <c r="S32" i="2" a="1"/>
  <c r="S32" i="2" s="1"/>
  <c r="V31" i="2" a="1"/>
  <c r="V31" i="2" s="1"/>
  <c r="U31" i="2" a="1"/>
  <c r="U31" i="2" s="1"/>
  <c r="T31" i="2" a="1"/>
  <c r="T31" i="2" s="1"/>
  <c r="S31" i="2" a="1"/>
  <c r="S31" i="2" s="1"/>
  <c r="R31" i="2" a="1"/>
  <c r="R31" i="2" s="1"/>
  <c r="Q31" i="2" a="1"/>
  <c r="Q31" i="2"/>
  <c r="P31" i="2" a="1"/>
  <c r="P31" i="2" s="1"/>
  <c r="R27" i="2" a="1"/>
  <c r="R27" i="2" s="1"/>
  <c r="O27" i="2" a="1"/>
  <c r="O27" i="2" s="1"/>
  <c r="P27" i="2" s="1" a="1"/>
  <c r="P27" i="2" s="1"/>
  <c r="N27" i="2" a="1"/>
  <c r="N27" i="2" s="1"/>
  <c r="M27" i="2" a="1"/>
  <c r="M27" i="2" s="1"/>
  <c r="L27" i="2" a="1"/>
  <c r="L27" i="2" s="1"/>
  <c r="K27" i="2" a="1"/>
  <c r="K27" i="2" s="1"/>
  <c r="J27" i="2" a="1"/>
  <c r="J27" i="2" s="1"/>
  <c r="I27" i="2" a="1"/>
  <c r="I27" i="2" s="1"/>
  <c r="H27" i="2" a="1"/>
  <c r="H27" i="2" s="1"/>
  <c r="G27" i="2" a="1"/>
  <c r="G27" i="2" s="1"/>
  <c r="Q27" i="2" s="1" a="1"/>
  <c r="Q27" i="2" s="1"/>
  <c r="F27" i="2" a="1"/>
  <c r="F27" i="2" s="1"/>
  <c r="E27" i="2" a="1"/>
  <c r="E27" i="2"/>
  <c r="D27" i="2" a="1"/>
  <c r="D27" i="2" s="1"/>
  <c r="AH26" i="2" a="1"/>
  <c r="AH26" i="2" s="1"/>
  <c r="AG26" i="2" a="1"/>
  <c r="AG26" i="2"/>
  <c r="T26" i="2" a="1"/>
  <c r="T26" i="2" s="1"/>
  <c r="R26" i="2" a="1"/>
  <c r="R26" i="2" s="1"/>
  <c r="Q26" i="2" a="1"/>
  <c r="Q26" i="2"/>
  <c r="S26" i="2" s="1" a="1"/>
  <c r="S26" i="2" s="1"/>
  <c r="P26" i="2" a="1"/>
  <c r="P26" i="2" s="1"/>
  <c r="C26" i="2" a="1"/>
  <c r="C26" i="2" s="1"/>
  <c r="AH25" i="2" a="1"/>
  <c r="AH25" i="2" s="1"/>
  <c r="AG25" i="2" a="1"/>
  <c r="AG25" i="2" s="1"/>
  <c r="T25" i="2" a="1"/>
  <c r="T25" i="2" s="1"/>
  <c r="R25" i="2" a="1"/>
  <c r="R25" i="2" s="1"/>
  <c r="S25" i="2" s="1" a="1"/>
  <c r="S25" i="2" s="1"/>
  <c r="Q25" i="2" a="1"/>
  <c r="Q25" i="2"/>
  <c r="P25" i="2" a="1"/>
  <c r="P25" i="2" s="1"/>
  <c r="C25" i="2" a="1"/>
  <c r="C25" i="2" s="1"/>
  <c r="AH24" i="2" a="1"/>
  <c r="AH24" i="2" s="1"/>
  <c r="AG24" i="2" a="1"/>
  <c r="AG24" i="2" s="1"/>
  <c r="T24" i="2" a="1"/>
  <c r="T24" i="2" s="1"/>
  <c r="R24" i="2" a="1"/>
  <c r="R24" i="2" s="1"/>
  <c r="Q24" i="2" a="1"/>
  <c r="Q24" i="2" s="1"/>
  <c r="P24" i="2" a="1"/>
  <c r="P24" i="2" s="1"/>
  <c r="C24" i="2" a="1"/>
  <c r="C24" i="2" s="1"/>
  <c r="AH23" i="2" a="1"/>
  <c r="AH23" i="2" s="1"/>
  <c r="AG23" i="2" a="1"/>
  <c r="AG23" i="2"/>
  <c r="T23" i="2" a="1"/>
  <c r="T23" i="2" s="1"/>
  <c r="R23" i="2" a="1"/>
  <c r="R23" i="2" s="1"/>
  <c r="Q23" i="2" a="1"/>
  <c r="Q23" i="2" s="1"/>
  <c r="S23" i="2" s="1" a="1"/>
  <c r="S23" i="2" s="1"/>
  <c r="P23" i="2" a="1"/>
  <c r="P23" i="2" s="1"/>
  <c r="C23" i="2" a="1"/>
  <c r="C23" i="2"/>
  <c r="AH22" i="2" a="1"/>
  <c r="AH22" i="2" s="1"/>
  <c r="AG22" i="2" a="1"/>
  <c r="AG22" i="2" s="1"/>
  <c r="T22" i="2" a="1"/>
  <c r="T22" i="2" s="1"/>
  <c r="R22" i="2" a="1"/>
  <c r="R22" i="2" s="1"/>
  <c r="U22" i="2" s="1" a="1"/>
  <c r="U22" i="2" s="1"/>
  <c r="Q22" i="2" a="1"/>
  <c r="Q22" i="2"/>
  <c r="P22" i="2" a="1"/>
  <c r="P22" i="2" s="1"/>
  <c r="C22" i="2" a="1"/>
  <c r="C22" i="2"/>
  <c r="AH21" i="2" a="1"/>
  <c r="AH21" i="2" s="1"/>
  <c r="AG21" i="2" a="1"/>
  <c r="AG21" i="2"/>
  <c r="T21" i="2" a="1"/>
  <c r="T21" i="2" s="1"/>
  <c r="R21" i="2" a="1"/>
  <c r="R21" i="2" s="1"/>
  <c r="S21" i="2" s="1" a="1"/>
  <c r="S21" i="2" s="1"/>
  <c r="Q21" i="2" a="1"/>
  <c r="Q21" i="2" s="1"/>
  <c r="P21" i="2" a="1"/>
  <c r="P21" i="2" s="1"/>
  <c r="C21" i="2" a="1"/>
  <c r="C21" i="2" s="1"/>
  <c r="AH20" i="2" a="1"/>
  <c r="AH20" i="2" s="1"/>
  <c r="AG20" i="2" a="1"/>
  <c r="AG20" i="2"/>
  <c r="T20" i="2" a="1"/>
  <c r="T20" i="2" s="1"/>
  <c r="R20" i="2" a="1"/>
  <c r="R20" i="2" s="1"/>
  <c r="Q20" i="2" a="1"/>
  <c r="Q20" i="2"/>
  <c r="P20" i="2" a="1"/>
  <c r="P20" i="2" s="1"/>
  <c r="C20" i="2" a="1"/>
  <c r="C20" i="2"/>
  <c r="AH19" i="2" a="1"/>
  <c r="AH19" i="2" s="1"/>
  <c r="AG19" i="2" a="1"/>
  <c r="AG19" i="2"/>
  <c r="T19" i="2" a="1"/>
  <c r="T19" i="2" s="1"/>
  <c r="R19" i="2" a="1"/>
  <c r="R19" i="2" s="1"/>
  <c r="U19" i="2" s="1" a="1"/>
  <c r="U19" i="2" s="1"/>
  <c r="Q19" i="2" a="1"/>
  <c r="Q19" i="2"/>
  <c r="P19" i="2" a="1"/>
  <c r="P19" i="2" s="1"/>
  <c r="C19" i="2" a="1"/>
  <c r="C19" i="2"/>
  <c r="AH18" i="2" a="1"/>
  <c r="AH18" i="2" s="1"/>
  <c r="AG18" i="2" a="1"/>
  <c r="AG18" i="2"/>
  <c r="T18" i="2" a="1"/>
  <c r="T18" i="2" s="1"/>
  <c r="R18" i="2" a="1"/>
  <c r="R18" i="2" s="1"/>
  <c r="Q18" i="2" a="1"/>
  <c r="Q18" i="2"/>
  <c r="S18" i="2" s="1" a="1"/>
  <c r="S18" i="2" s="1"/>
  <c r="P18" i="2" a="1"/>
  <c r="P18" i="2" s="1"/>
  <c r="C18" i="2" a="1"/>
  <c r="C18" i="2" s="1"/>
  <c r="AH17" i="2" a="1"/>
  <c r="AH17" i="2" s="1"/>
  <c r="AG17" i="2" a="1"/>
  <c r="AG17" i="2" s="1"/>
  <c r="T17" i="2" a="1"/>
  <c r="T17" i="2" s="1"/>
  <c r="R17" i="2" a="1"/>
  <c r="R17" i="2" s="1"/>
  <c r="S17" i="2" s="1" a="1"/>
  <c r="S17" i="2" s="1"/>
  <c r="Q17" i="2" a="1"/>
  <c r="Q17" i="2"/>
  <c r="P17" i="2" a="1"/>
  <c r="P17" i="2" s="1"/>
  <c r="C17" i="2" a="1"/>
  <c r="C17" i="2"/>
  <c r="AH16" i="2" a="1"/>
  <c r="AH16" i="2" s="1"/>
  <c r="AG16" i="2" a="1"/>
  <c r="AG16" i="2"/>
  <c r="T16" i="2" a="1"/>
  <c r="T16" i="2" s="1"/>
  <c r="R16" i="2" a="1"/>
  <c r="R16" i="2" s="1"/>
  <c r="U16" i="2" s="1" a="1"/>
  <c r="U16" i="2" s="1"/>
  <c r="Q16" i="2" a="1"/>
  <c r="Q16" i="2" s="1"/>
  <c r="P16" i="2" a="1"/>
  <c r="P16" i="2" s="1"/>
  <c r="C16" i="2" a="1"/>
  <c r="C16" i="2" s="1"/>
  <c r="AH15" i="2" a="1"/>
  <c r="AH15" i="2" s="1"/>
  <c r="AG15" i="2" a="1"/>
  <c r="AG15" i="2"/>
  <c r="T15" i="2" a="1"/>
  <c r="T15" i="2" s="1"/>
  <c r="R15" i="2" a="1"/>
  <c r="R15" i="2" s="1"/>
  <c r="Q15" i="2" a="1"/>
  <c r="Q15" i="2" s="1"/>
  <c r="S15" i="2" s="1" a="1"/>
  <c r="S15" i="2" s="1"/>
  <c r="P15" i="2" a="1"/>
  <c r="P15" i="2" s="1"/>
  <c r="C15" i="2" a="1"/>
  <c r="C15" i="2"/>
  <c r="AH14" i="2" a="1"/>
  <c r="AH14" i="2" s="1"/>
  <c r="AG14" i="2" a="1"/>
  <c r="AG14" i="2" s="1"/>
  <c r="T14" i="2" a="1"/>
  <c r="T14" i="2" s="1"/>
  <c r="R14" i="2" a="1"/>
  <c r="R14" i="2" s="1"/>
  <c r="S14" i="2" s="1" a="1"/>
  <c r="S14" i="2" s="1"/>
  <c r="Q14" i="2" a="1"/>
  <c r="Q14" i="2"/>
  <c r="P14" i="2" a="1"/>
  <c r="P14" i="2" s="1"/>
  <c r="C14" i="2" a="1"/>
  <c r="C14" i="2"/>
  <c r="AH13" i="2" a="1"/>
  <c r="AH13" i="2" s="1"/>
  <c r="AG13" i="2" a="1"/>
  <c r="AG13" i="2"/>
  <c r="T13" i="2" a="1"/>
  <c r="T13" i="2" s="1"/>
  <c r="R13" i="2" a="1"/>
  <c r="R13" i="2" s="1"/>
  <c r="S13" i="2" s="1" a="1"/>
  <c r="S13" i="2" s="1"/>
  <c r="Q13" i="2" a="1"/>
  <c r="Q13" i="2" s="1"/>
  <c r="P13" i="2" a="1"/>
  <c r="P13" i="2" s="1"/>
  <c r="C13" i="2" a="1"/>
  <c r="C13" i="2" s="1"/>
  <c r="T12" i="2" a="1"/>
  <c r="T12" i="2" s="1"/>
  <c r="R12" i="2" a="1"/>
  <c r="R12" i="2" s="1"/>
  <c r="Q12" i="2" a="1"/>
  <c r="Q12" i="2" s="1"/>
  <c r="P12" i="2" a="1"/>
  <c r="P12" i="2" s="1"/>
  <c r="C12" i="2" a="1"/>
  <c r="C12" i="2" s="1"/>
  <c r="AH11" i="2" a="1"/>
  <c r="AH11" i="2" s="1"/>
  <c r="AG11" i="2" a="1"/>
  <c r="AG11" i="2"/>
  <c r="T11" i="2" a="1"/>
  <c r="T11" i="2" s="1"/>
  <c r="R11" i="2" a="1"/>
  <c r="R11" i="2" s="1"/>
  <c r="U11" i="2" s="1" a="1"/>
  <c r="U11" i="2" s="1"/>
  <c r="Q11" i="2" a="1"/>
  <c r="Q11" i="2"/>
  <c r="P11" i="2" a="1"/>
  <c r="P11" i="2" s="1"/>
  <c r="C11" i="2" a="1"/>
  <c r="C11" i="2"/>
  <c r="T10" i="2" a="1"/>
  <c r="T10" i="2" s="1"/>
  <c r="R10" i="2" a="1"/>
  <c r="R10" i="2" s="1"/>
  <c r="S10" i="2" s="1" a="1"/>
  <c r="S10" i="2" s="1"/>
  <c r="Q10" i="2" a="1"/>
  <c r="Q10" i="2"/>
  <c r="P10" i="2" a="1"/>
  <c r="P10" i="2" s="1"/>
  <c r="C10" i="2" a="1"/>
  <c r="C10" i="2"/>
  <c r="T9" i="2" a="1"/>
  <c r="T9" i="2" s="1"/>
  <c r="R9" i="2" a="1"/>
  <c r="R9" i="2" s="1"/>
  <c r="S9" i="2" s="1" a="1"/>
  <c r="S9" i="2" s="1"/>
  <c r="Q9" i="2" a="1"/>
  <c r="Q9" i="2"/>
  <c r="P9" i="2" a="1"/>
  <c r="P9" i="2" s="1"/>
  <c r="C9" i="2" a="1"/>
  <c r="C9" i="2"/>
  <c r="AH8" i="2" a="1"/>
  <c r="AH8" i="2" s="1"/>
  <c r="AG8" i="2" a="1"/>
  <c r="AG8" i="2"/>
  <c r="T8" i="2" a="1"/>
  <c r="T8" i="2" s="1"/>
  <c r="R8" i="2" a="1"/>
  <c r="R8" i="2" s="1"/>
  <c r="Q8" i="2" a="1"/>
  <c r="Q8" i="2" s="1"/>
  <c r="S8" i="2" s="1" a="1"/>
  <c r="S8" i="2" s="1"/>
  <c r="P8" i="2" a="1"/>
  <c r="P8" i="2" s="1"/>
  <c r="C8" i="2" a="1"/>
  <c r="C8" i="2"/>
  <c r="AH7" i="2" a="1"/>
  <c r="AH7" i="2" s="1"/>
  <c r="AG7" i="2" a="1"/>
  <c r="AG7" i="2" s="1"/>
  <c r="T7" i="2" a="1"/>
  <c r="T7" i="2" s="1"/>
  <c r="R7" i="2" a="1"/>
  <c r="R7" i="2" s="1"/>
  <c r="U13" i="2" s="1" a="1"/>
  <c r="U13" i="2" s="1"/>
  <c r="Q7" i="2" a="1"/>
  <c r="Q7" i="2"/>
  <c r="P7" i="2" a="1"/>
  <c r="P7" i="2" s="1"/>
  <c r="C7" i="2" a="1"/>
  <c r="C7" i="2"/>
  <c r="AH6" i="2" a="1"/>
  <c r="AH6" i="2" s="1"/>
  <c r="AG6" i="2" a="1"/>
  <c r="AG6" i="2"/>
  <c r="T6" i="2" a="1"/>
  <c r="T6" i="2" s="1"/>
  <c r="R6" i="2" a="1"/>
  <c r="R6" i="2" s="1"/>
  <c r="U6" i="2" s="1" a="1"/>
  <c r="U6" i="2" s="1"/>
  <c r="Q6" i="2" a="1"/>
  <c r="Q6" i="2" s="1"/>
  <c r="P6" i="2" a="1"/>
  <c r="P6" i="2" s="1"/>
  <c r="C6" i="2" a="1"/>
  <c r="C6" i="2"/>
  <c r="AH5" i="2" a="1"/>
  <c r="AH5" i="2" s="1"/>
  <c r="AG5" i="2" a="1"/>
  <c r="AG5" i="2"/>
  <c r="T5" i="2" a="1"/>
  <c r="T5" i="2" s="1"/>
  <c r="R5" i="2" a="1"/>
  <c r="R5" i="2" s="1"/>
  <c r="Q5" i="2" a="1"/>
  <c r="Q5" i="2"/>
  <c r="P5" i="2" a="1"/>
  <c r="P5" i="2" s="1"/>
  <c r="C5" i="2" a="1"/>
  <c r="C5" i="2"/>
  <c r="AH4" i="2" a="1"/>
  <c r="AH4" i="2" s="1"/>
  <c r="AG4" i="2" a="1"/>
  <c r="AG4" i="2"/>
  <c r="T4" i="2" a="1"/>
  <c r="T4" i="2" s="1"/>
  <c r="S4" i="2" a="1"/>
  <c r="S4" i="2"/>
  <c r="R4" i="2" a="1"/>
  <c r="R4" i="2" s="1"/>
  <c r="U26" i="2" s="1" a="1"/>
  <c r="U26" i="2" s="1"/>
  <c r="Q4" i="2" a="1"/>
  <c r="Q4" i="2"/>
  <c r="P4" i="2" a="1"/>
  <c r="P4" i="2" s="1"/>
  <c r="C4" i="2" a="1"/>
  <c r="C4" i="2"/>
  <c r="S37" i="1" a="1"/>
  <c r="S37" i="1" s="1"/>
  <c r="O37" i="1" a="1"/>
  <c r="O37" i="1" s="1"/>
  <c r="N37" i="1" a="1"/>
  <c r="N37" i="1" s="1"/>
  <c r="M37" i="1" a="1"/>
  <c r="M37" i="1" s="1"/>
  <c r="T37" i="1" s="1" a="1"/>
  <c r="T37" i="1" s="1"/>
  <c r="L37" i="1" a="1"/>
  <c r="L37" i="1" s="1"/>
  <c r="K37" i="1" a="1"/>
  <c r="K37" i="1"/>
  <c r="Q37" i="1" s="1" a="1"/>
  <c r="Q37" i="1" s="1"/>
  <c r="J37" i="1" a="1"/>
  <c r="J37" i="1" s="1"/>
  <c r="I37" i="1" a="1"/>
  <c r="I37" i="1" s="1"/>
  <c r="H37" i="1" a="1"/>
  <c r="H37" i="1" s="1"/>
  <c r="G37" i="1" a="1"/>
  <c r="G37" i="1"/>
  <c r="F37" i="1" a="1"/>
  <c r="F37" i="1" s="1"/>
  <c r="E37" i="1" a="1"/>
  <c r="E37" i="1"/>
  <c r="D37" i="1" a="1"/>
  <c r="D37" i="1" s="1"/>
  <c r="C37" i="1" a="1"/>
  <c r="C37" i="1"/>
  <c r="B37" i="1" a="1"/>
  <c r="B37" i="1" s="1"/>
  <c r="V36" i="1" a="1"/>
  <c r="V36" i="1"/>
  <c r="U36" i="1" a="1"/>
  <c r="U36" i="1" s="1"/>
  <c r="T36" i="1" a="1"/>
  <c r="T36" i="1"/>
  <c r="S36" i="1" a="1"/>
  <c r="S36" i="1" s="1"/>
  <c r="R36" i="1" a="1"/>
  <c r="R36" i="1" s="1"/>
  <c r="Q36" i="1" a="1"/>
  <c r="Q36" i="1" s="1"/>
  <c r="P36" i="1" a="1"/>
  <c r="P36" i="1"/>
  <c r="V35" i="1" a="1"/>
  <c r="V35" i="1" s="1"/>
  <c r="U35" i="1" a="1"/>
  <c r="U35" i="1"/>
  <c r="T35" i="1" a="1"/>
  <c r="T35" i="1" s="1"/>
  <c r="S35" i="1" a="1"/>
  <c r="S35" i="1"/>
  <c r="R35" i="1" a="1"/>
  <c r="R35" i="1" s="1"/>
  <c r="Q35" i="1" a="1"/>
  <c r="Q35" i="1"/>
  <c r="P35" i="1" a="1"/>
  <c r="P35" i="1" s="1"/>
  <c r="V34" i="1" a="1"/>
  <c r="V34" i="1" s="1"/>
  <c r="T34" i="1" a="1"/>
  <c r="T34" i="1" s="1"/>
  <c r="S34" i="1" a="1"/>
  <c r="S34" i="1" s="1"/>
  <c r="R34" i="1" a="1"/>
  <c r="R34" i="1" s="1"/>
  <c r="Q34" i="1" a="1"/>
  <c r="Q34" i="1"/>
  <c r="V33" i="1" a="1"/>
  <c r="V33" i="1" s="1"/>
  <c r="U33" i="1" a="1"/>
  <c r="U33" i="1" s="1"/>
  <c r="T33" i="1" a="1"/>
  <c r="T33" i="1" s="1"/>
  <c r="S33" i="1" a="1"/>
  <c r="S33" i="1" s="1"/>
  <c r="R33" i="1" a="1"/>
  <c r="R33" i="1" s="1"/>
  <c r="Q33" i="1" a="1"/>
  <c r="Q33" i="1"/>
  <c r="P33" i="1" a="1"/>
  <c r="P33" i="1" s="1"/>
  <c r="V32" i="1" a="1"/>
  <c r="V32" i="1"/>
  <c r="U32" i="1" a="1"/>
  <c r="U32" i="1" s="1"/>
  <c r="T32" i="1" a="1"/>
  <c r="T32" i="1"/>
  <c r="S32" i="1" a="1"/>
  <c r="S32" i="1" s="1"/>
  <c r="R32" i="1" a="1"/>
  <c r="R32" i="1"/>
  <c r="Q32" i="1" a="1"/>
  <c r="Q32" i="1" s="1"/>
  <c r="P32" i="1" a="1"/>
  <c r="P32" i="1"/>
  <c r="V31" i="1" a="1"/>
  <c r="V31" i="1" s="1"/>
  <c r="U31" i="1" a="1"/>
  <c r="U31" i="1"/>
  <c r="T31" i="1" a="1"/>
  <c r="T31" i="1" s="1"/>
  <c r="S31" i="1" a="1"/>
  <c r="S31" i="1" s="1"/>
  <c r="R31" i="1" a="1"/>
  <c r="R31" i="1" s="1"/>
  <c r="Q31" i="1" a="1"/>
  <c r="Q31" i="1"/>
  <c r="P31" i="1" a="1"/>
  <c r="P31" i="1" s="1"/>
  <c r="S30" i="1" a="1"/>
  <c r="S30" i="1"/>
  <c r="V29" i="1" a="1"/>
  <c r="V29" i="1" s="1"/>
  <c r="U29" i="1" a="1"/>
  <c r="U29" i="1"/>
  <c r="T29" i="1" a="1"/>
  <c r="T29" i="1" s="1"/>
  <c r="S29" i="1" a="1"/>
  <c r="S29" i="1" s="1"/>
  <c r="R29" i="1" a="1"/>
  <c r="R29" i="1" s="1"/>
  <c r="Q29" i="1" a="1"/>
  <c r="Q29" i="1"/>
  <c r="P29" i="1" a="1"/>
  <c r="P29" i="1" s="1"/>
  <c r="O25" i="1" a="1"/>
  <c r="O25" i="1" s="1"/>
  <c r="P25" i="1" s="1" a="1"/>
  <c r="P25" i="1" s="1"/>
  <c r="N25" i="1" a="1"/>
  <c r="N25" i="1" s="1"/>
  <c r="R25" i="1" s="1" a="1"/>
  <c r="R25" i="1" s="1"/>
  <c r="M25" i="1" a="1"/>
  <c r="M25" i="1"/>
  <c r="L25" i="1" a="1"/>
  <c r="L25" i="1" s="1"/>
  <c r="K25" i="1" a="1"/>
  <c r="K25" i="1"/>
  <c r="J25" i="1" a="1"/>
  <c r="J25" i="1" s="1"/>
  <c r="I25" i="1" a="1"/>
  <c r="I25" i="1"/>
  <c r="H25" i="1" a="1"/>
  <c r="H25" i="1" s="1"/>
  <c r="G25" i="1" a="1"/>
  <c r="G25" i="1"/>
  <c r="Q25" i="1" s="1" a="1"/>
  <c r="Q25" i="1" s="1"/>
  <c r="F25" i="1" a="1"/>
  <c r="F25" i="1" s="1"/>
  <c r="E25" i="1" a="1"/>
  <c r="E25" i="1"/>
  <c r="D25" i="1" a="1"/>
  <c r="D25" i="1" s="1"/>
  <c r="C25" i="1" a="1"/>
  <c r="C25" i="1" s="1"/>
  <c r="T24" i="1" a="1"/>
  <c r="T24" i="1" s="1"/>
  <c r="R24" i="1" a="1"/>
  <c r="R24" i="1" s="1"/>
  <c r="Q24" i="1" a="1"/>
  <c r="Q24" i="1" s="1"/>
  <c r="P24" i="1" a="1"/>
  <c r="P24" i="1" s="1"/>
  <c r="C24" i="1" a="1"/>
  <c r="C24" i="1" s="1"/>
  <c r="T23" i="1" a="1"/>
  <c r="T23" i="1" s="1"/>
  <c r="R23" i="1" a="1"/>
  <c r="R23" i="1" s="1"/>
  <c r="Q23" i="1" a="1"/>
  <c r="Q23" i="1" s="1"/>
  <c r="S23" i="1" s="1" a="1"/>
  <c r="S23" i="1" s="1"/>
  <c r="P23" i="1" a="1"/>
  <c r="P23" i="1" s="1"/>
  <c r="C23" i="1" a="1"/>
  <c r="C23" i="1"/>
  <c r="T22" i="1" a="1"/>
  <c r="T22" i="1" s="1"/>
  <c r="R22" i="1" a="1"/>
  <c r="R22" i="1" s="1"/>
  <c r="U22" i="1" s="1" a="1"/>
  <c r="U22" i="1" s="1"/>
  <c r="Q22" i="1" a="1"/>
  <c r="Q22" i="1"/>
  <c r="P22" i="1" a="1"/>
  <c r="P22" i="1" s="1"/>
  <c r="C22" i="1" a="1"/>
  <c r="C22" i="1"/>
  <c r="T21" i="1" a="1"/>
  <c r="T21" i="1" s="1"/>
  <c r="R21" i="1" a="1"/>
  <c r="R21" i="1" s="1"/>
  <c r="Q21" i="1" a="1"/>
  <c r="Q21" i="1"/>
  <c r="P21" i="1" a="1"/>
  <c r="P21" i="1" s="1"/>
  <c r="C21" i="1" a="1"/>
  <c r="C21" i="1"/>
  <c r="T20" i="1" a="1"/>
  <c r="T20" i="1" s="1"/>
  <c r="R20" i="1" a="1"/>
  <c r="R20" i="1" s="1"/>
  <c r="S20" i="1" s="1" a="1"/>
  <c r="S20" i="1" s="1"/>
  <c r="Q20" i="1" a="1"/>
  <c r="Q20" i="1"/>
  <c r="P20" i="1" a="1"/>
  <c r="P20" i="1" s="1"/>
  <c r="C20" i="1" a="1"/>
  <c r="C20" i="1"/>
  <c r="T19" i="1" a="1"/>
  <c r="T19" i="1" s="1"/>
  <c r="R19" i="1" a="1"/>
  <c r="R19" i="1" s="1"/>
  <c r="S19" i="1" s="1" a="1"/>
  <c r="S19" i="1" s="1"/>
  <c r="Q19" i="1" a="1"/>
  <c r="Q19" i="1"/>
  <c r="P19" i="1" a="1"/>
  <c r="P19" i="1" s="1"/>
  <c r="C19" i="1" a="1"/>
  <c r="C19" i="1"/>
  <c r="T18" i="1" a="1"/>
  <c r="T18" i="1" s="1"/>
  <c r="S18" i="1" a="1"/>
  <c r="S18" i="1" s="1"/>
  <c r="R18" i="1" a="1"/>
  <c r="R18" i="1" s="1"/>
  <c r="Q18" i="1" a="1"/>
  <c r="Q18" i="1"/>
  <c r="P18" i="1" a="1"/>
  <c r="P18" i="1" s="1"/>
  <c r="C18" i="1" a="1"/>
  <c r="C18" i="1"/>
  <c r="T17" i="1" a="1"/>
  <c r="T17" i="1" s="1"/>
  <c r="R17" i="1" a="1"/>
  <c r="R17" i="1" s="1"/>
  <c r="Q17" i="1" a="1"/>
  <c r="Q17" i="1"/>
  <c r="S17" i="1" s="1" a="1"/>
  <c r="S17" i="1" s="1"/>
  <c r="P17" i="1" a="1"/>
  <c r="P17" i="1" s="1"/>
  <c r="C17" i="1" a="1"/>
  <c r="C17" i="1" s="1"/>
  <c r="T16" i="1" a="1"/>
  <c r="T16" i="1" s="1"/>
  <c r="R16" i="1" a="1"/>
  <c r="R16" i="1" s="1"/>
  <c r="S16" i="1" s="1" a="1"/>
  <c r="S16" i="1" s="1"/>
  <c r="Q16" i="1" a="1"/>
  <c r="Q16" i="1" s="1"/>
  <c r="P16" i="1" a="1"/>
  <c r="P16" i="1" s="1"/>
  <c r="C16" i="1" a="1"/>
  <c r="C16" i="1" s="1"/>
  <c r="T15" i="1" a="1"/>
  <c r="T15" i="1" s="1"/>
  <c r="R15" i="1" a="1"/>
  <c r="R15" i="1" s="1"/>
  <c r="Q15" i="1" a="1"/>
  <c r="Q15" i="1" s="1"/>
  <c r="S15" i="1" s="1" a="1"/>
  <c r="S15" i="1" s="1"/>
  <c r="P15" i="1" a="1"/>
  <c r="P15" i="1"/>
  <c r="C15" i="1" a="1"/>
  <c r="C15" i="1"/>
  <c r="T14" i="1" a="1"/>
  <c r="T14" i="1" s="1"/>
  <c r="R14" i="1" a="1"/>
  <c r="R14" i="1" s="1"/>
  <c r="U14" i="1" s="1" a="1"/>
  <c r="U14" i="1" s="1"/>
  <c r="Q14" i="1" a="1"/>
  <c r="Q14" i="1" s="1"/>
  <c r="P14" i="1" a="1"/>
  <c r="P14" i="1"/>
  <c r="C14" i="1" a="1"/>
  <c r="C14" i="1"/>
  <c r="T13" i="1" a="1"/>
  <c r="T13" i="1"/>
  <c r="R13" i="1" a="1"/>
  <c r="R13" i="1" s="1"/>
  <c r="Q13" i="1" a="1"/>
  <c r="Q13" i="1"/>
  <c r="S13" i="1" s="1" a="1"/>
  <c r="S13" i="1" s="1"/>
  <c r="P13" i="1" a="1"/>
  <c r="P13" i="1"/>
  <c r="C13" i="1" a="1"/>
  <c r="C13" i="1"/>
  <c r="T12" i="1" a="1"/>
  <c r="T12" i="1"/>
  <c r="S12" i="1" a="1"/>
  <c r="S12" i="1"/>
  <c r="R12" i="1" a="1"/>
  <c r="R12" i="1" s="1"/>
  <c r="Q12" i="1" a="1"/>
  <c r="Q12" i="1"/>
  <c r="P12" i="1" a="1"/>
  <c r="P12" i="1"/>
  <c r="C12" i="1" a="1"/>
  <c r="C12" i="1"/>
  <c r="T11" i="1" a="1"/>
  <c r="T11" i="1" s="1"/>
  <c r="R11" i="1" a="1"/>
  <c r="R11" i="1" s="1"/>
  <c r="U11" i="1" s="1" a="1"/>
  <c r="U11" i="1" s="1"/>
  <c r="Q11" i="1" a="1"/>
  <c r="Q11" i="1" s="1"/>
  <c r="P11" i="1" a="1"/>
  <c r="P11" i="1"/>
  <c r="C11" i="1" a="1"/>
  <c r="C11" i="1"/>
  <c r="T10" i="1" a="1"/>
  <c r="T10" i="1"/>
  <c r="R10" i="1" a="1"/>
  <c r="R10" i="1" s="1"/>
  <c r="S10" i="1" s="1" a="1"/>
  <c r="S10" i="1" s="1"/>
  <c r="Q10" i="1" a="1"/>
  <c r="Q10" i="1"/>
  <c r="P10" i="1" a="1"/>
  <c r="P10" i="1" s="1"/>
  <c r="C10" i="1" a="1"/>
  <c r="C10" i="1"/>
  <c r="T9" i="1" a="1"/>
  <c r="T9" i="1"/>
  <c r="R9" i="1" a="1"/>
  <c r="R9" i="1" s="1"/>
  <c r="S9" i="1" s="1" a="1"/>
  <c r="S9" i="1" s="1"/>
  <c r="Q9" i="1" a="1"/>
  <c r="Q9" i="1"/>
  <c r="P9" i="1" a="1"/>
  <c r="P9" i="1"/>
  <c r="C9" i="1" a="1"/>
  <c r="C9" i="1" s="1"/>
  <c r="T8" i="1" a="1"/>
  <c r="T8" i="1"/>
  <c r="S8" i="1" a="1"/>
  <c r="S8" i="1"/>
  <c r="R8" i="1" a="1"/>
  <c r="R8" i="1" s="1"/>
  <c r="Q8" i="1" a="1"/>
  <c r="Q8" i="1"/>
  <c r="P8" i="1" a="1"/>
  <c r="P8" i="1"/>
  <c r="C8" i="1" a="1"/>
  <c r="C8" i="1"/>
  <c r="T7" i="1" a="1"/>
  <c r="T7" i="1" s="1"/>
  <c r="R7" i="1" a="1"/>
  <c r="R7" i="1"/>
  <c r="U7" i="1" s="1" a="1"/>
  <c r="U7" i="1" s="1"/>
  <c r="Q7" i="1" a="1"/>
  <c r="Q7" i="1"/>
  <c r="P7" i="1" a="1"/>
  <c r="P7" i="1" s="1"/>
  <c r="C7" i="1" a="1"/>
  <c r="C7" i="1"/>
  <c r="T6" i="1" a="1"/>
  <c r="T6" i="1" s="1"/>
  <c r="R6" i="1" a="1"/>
  <c r="R6" i="1"/>
  <c r="U6" i="1" s="1" a="1"/>
  <c r="U6" i="1" s="1"/>
  <c r="Q6" i="1" a="1"/>
  <c r="Q6" i="1"/>
  <c r="P6" i="1" a="1"/>
  <c r="P6" i="1" s="1"/>
  <c r="C6" i="1" a="1"/>
  <c r="C6" i="1"/>
  <c r="T5" i="1" a="1"/>
  <c r="T5" i="1" s="1"/>
  <c r="R5" i="1" a="1"/>
  <c r="R5" i="1"/>
  <c r="U5" i="1" s="1" a="1"/>
  <c r="U5" i="1" s="1"/>
  <c r="Q5" i="1" a="1"/>
  <c r="Q5" i="1"/>
  <c r="P5" i="1" a="1"/>
  <c r="P5" i="1" s="1"/>
  <c r="C5" i="1" a="1"/>
  <c r="C5" i="1"/>
  <c r="T4" i="1" a="1"/>
  <c r="T4" i="1" s="1"/>
  <c r="R4" i="1" a="1"/>
  <c r="R4" i="1"/>
  <c r="U4" i="1" s="1" a="1"/>
  <c r="U4" i="1" s="1"/>
  <c r="Q4" i="1" a="1"/>
  <c r="Q4" i="1"/>
  <c r="P4" i="1" a="1"/>
  <c r="P4" i="1" s="1"/>
  <c r="C4" i="1" a="1"/>
  <c r="C4" i="1"/>
  <c r="E4" i="10" l="1"/>
  <c r="E8" i="10"/>
  <c r="E5" i="10"/>
  <c r="E6" i="10"/>
  <c r="E3" i="10"/>
  <c r="E7" i="10"/>
  <c r="S21" i="9" a="1"/>
  <c r="S21" i="9" s="1"/>
  <c r="S16" i="9" a="1"/>
  <c r="S16" i="9" s="1"/>
  <c r="S15" i="9" a="1"/>
  <c r="S15" i="9" s="1"/>
  <c r="S4" i="9" a="1"/>
  <c r="S4" i="9" s="1"/>
  <c r="S20" i="9" a="1"/>
  <c r="S20" i="9" s="1"/>
  <c r="S14" i="9" a="1"/>
  <c r="S14" i="9" s="1"/>
  <c r="S17" i="9" a="1"/>
  <c r="S17" i="9" s="1"/>
  <c r="W12" i="9" a="1"/>
  <c r="W12" i="9" s="1"/>
  <c r="V42" i="9" a="1"/>
  <c r="V42" i="9" s="1"/>
  <c r="S7" i="9" a="1"/>
  <c r="S7" i="9" s="1"/>
  <c r="W5" i="9" a="1"/>
  <c r="W5" i="9" s="1"/>
  <c r="U26" i="9" a="1"/>
  <c r="U26" i="9" s="1"/>
  <c r="S26" i="9" a="1"/>
  <c r="S26" i="9" s="1"/>
  <c r="U19" i="9" a="1"/>
  <c r="U19" i="9" s="1"/>
  <c r="U22" i="9" a="1"/>
  <c r="U22" i="9" s="1"/>
  <c r="U37" i="4" a="1"/>
  <c r="U37" i="4" s="1"/>
  <c r="P37" i="4" a="1"/>
  <c r="P37" i="4" s="1"/>
  <c r="P37" i="1" a="1"/>
  <c r="P37" i="1" s="1"/>
  <c r="U37" i="1" a="1"/>
  <c r="U37" i="1" s="1"/>
  <c r="S24" i="1" a="1"/>
  <c r="S24" i="1" s="1"/>
  <c r="W21" i="9" a="1"/>
  <c r="W21" i="9" s="1"/>
  <c r="R37" i="1" a="1"/>
  <c r="R37" i="1" s="1"/>
  <c r="V37" i="1" a="1"/>
  <c r="V37" i="1" s="1"/>
  <c r="S25" i="1" a="1"/>
  <c r="S25" i="1" s="1"/>
  <c r="U21" i="1" a="1"/>
  <c r="U21" i="1" s="1"/>
  <c r="U20" i="2" a="1"/>
  <c r="U20" i="2" s="1"/>
  <c r="S20" i="2" a="1"/>
  <c r="S20" i="2" s="1"/>
  <c r="U9" i="2" a="1"/>
  <c r="U9" i="2" s="1"/>
  <c r="U18" i="2" a="1"/>
  <c r="U18" i="2" s="1"/>
  <c r="W18" i="9" a="1"/>
  <c r="W18" i="9" s="1"/>
  <c r="P35" i="6" a="1"/>
  <c r="P35" i="6" s="1"/>
  <c r="U8" i="4" a="1"/>
  <c r="U8" i="4" s="1"/>
  <c r="U19" i="4" a="1"/>
  <c r="U19" i="4" s="1"/>
  <c r="S13" i="9" a="1"/>
  <c r="S13" i="9" s="1"/>
  <c r="U13" i="9" a="1"/>
  <c r="U13" i="9" s="1"/>
  <c r="U17" i="9" a="1"/>
  <c r="U17" i="9" s="1"/>
  <c r="T36" i="13" a="1"/>
  <c r="T36" i="13" s="1"/>
  <c r="V36" i="13" a="1"/>
  <c r="V36" i="13" s="1"/>
  <c r="U21" i="14" a="1"/>
  <c r="U21" i="14" s="1"/>
  <c r="S21" i="14" a="1"/>
  <c r="S21" i="14" s="1"/>
  <c r="U10" i="1" a="1"/>
  <c r="U10" i="1" s="1"/>
  <c r="S7" i="4" a="1"/>
  <c r="S7" i="4" s="1"/>
  <c r="S23" i="4" a="1"/>
  <c r="S23" i="4" s="1"/>
  <c r="G35" i="7" a="1"/>
  <c r="G35" i="7" s="1"/>
  <c r="U24" i="9" a="1"/>
  <c r="U24" i="9" s="1"/>
  <c r="S24" i="9" a="1"/>
  <c r="S24" i="9" s="1"/>
  <c r="R42" i="9" a="1"/>
  <c r="R42" i="9" s="1"/>
  <c r="U17" i="1" a="1"/>
  <c r="U17" i="1" s="1"/>
  <c r="S22" i="1" a="1"/>
  <c r="S22" i="1" s="1"/>
  <c r="S6" i="2" a="1"/>
  <c r="S6" i="2" s="1"/>
  <c r="V15" i="2" s="1" a="1"/>
  <c r="V15" i="2" s="1"/>
  <c r="S11" i="2" a="1"/>
  <c r="S11" i="2" s="1"/>
  <c r="S16" i="2" a="1"/>
  <c r="S16" i="2" s="1"/>
  <c r="U17" i="2" a="1"/>
  <c r="U17" i="2" s="1"/>
  <c r="S19" i="2" a="1"/>
  <c r="S19" i="2" s="1"/>
  <c r="U11" i="4" a="1"/>
  <c r="U11" i="4" s="1"/>
  <c r="U16" i="4" a="1"/>
  <c r="U16" i="4" s="1"/>
  <c r="S18" i="4" a="1"/>
  <c r="S18" i="4" s="1"/>
  <c r="S19" i="4" a="1"/>
  <c r="S19" i="4" s="1"/>
  <c r="W14" i="9" a="1"/>
  <c r="W14" i="9" s="1"/>
  <c r="W4" i="9" a="1"/>
  <c r="W4" i="9" s="1"/>
  <c r="U5" i="9" a="1"/>
  <c r="U5" i="9" s="1"/>
  <c r="W11" i="9" a="1"/>
  <c r="W11" i="9" s="1"/>
  <c r="W13" i="9" a="1"/>
  <c r="W13" i="9" s="1"/>
  <c r="U14" i="9" a="1"/>
  <c r="U14" i="9" s="1"/>
  <c r="S18" i="9" a="1"/>
  <c r="S18" i="9" s="1"/>
  <c r="S19" i="9" a="1"/>
  <c r="S19" i="9" s="1"/>
  <c r="U23" i="9" a="1"/>
  <c r="U23" i="9" s="1"/>
  <c r="S23" i="9" a="1"/>
  <c r="S23" i="9" s="1"/>
  <c r="T42" i="9" a="1"/>
  <c r="T42" i="9" s="1"/>
  <c r="R7" i="13" a="1"/>
  <c r="R7" i="13" s="1"/>
  <c r="T7" i="13" a="1"/>
  <c r="T7" i="13" s="1"/>
  <c r="U19" i="1" a="1"/>
  <c r="U19" i="1" s="1"/>
  <c r="S21" i="1" a="1"/>
  <c r="S21" i="1" s="1"/>
  <c r="U4" i="4" a="1"/>
  <c r="U4" i="4" s="1"/>
  <c r="W8" i="9" a="1"/>
  <c r="W8" i="9" s="1"/>
  <c r="U42" i="9" a="1"/>
  <c r="U42" i="9" s="1"/>
  <c r="P42" i="9" a="1"/>
  <c r="P42" i="9" s="1"/>
  <c r="S11" i="1" a="1"/>
  <c r="S11" i="1" s="1"/>
  <c r="U18" i="1" a="1"/>
  <c r="U18" i="1" s="1"/>
  <c r="S24" i="2" a="1"/>
  <c r="S24" i="2" s="1"/>
  <c r="U10" i="4" a="1"/>
  <c r="U10" i="4" s="1"/>
  <c r="S12" i="4" a="1"/>
  <c r="S12" i="4" s="1"/>
  <c r="U14" i="2" a="1"/>
  <c r="U14" i="2" s="1"/>
  <c r="S27" i="2" a="1"/>
  <c r="S27" i="2" s="1"/>
  <c r="V42" i="2" a="1"/>
  <c r="V42" i="2" s="1"/>
  <c r="U6" i="4" a="1"/>
  <c r="U6" i="4" s="1"/>
  <c r="S9" i="4" a="1"/>
  <c r="S9" i="4" s="1"/>
  <c r="U17" i="4" a="1"/>
  <c r="U17" i="4" s="1"/>
  <c r="U22" i="4" a="1"/>
  <c r="U22" i="4" s="1"/>
  <c r="R25" i="4" a="1"/>
  <c r="R25" i="4" s="1"/>
  <c r="S25" i="4" s="1" a="1"/>
  <c r="S25" i="4" s="1"/>
  <c r="G25" i="8" a="1"/>
  <c r="G25" i="8" s="1"/>
  <c r="S6" i="9" a="1"/>
  <c r="S6" i="9" s="1"/>
  <c r="Q42" i="9" a="1"/>
  <c r="Q42" i="9" s="1"/>
  <c r="R6" i="13" a="1"/>
  <c r="R6" i="13" s="1"/>
  <c r="T6" i="13" a="1"/>
  <c r="T6" i="13" s="1"/>
  <c r="N24" i="13" a="1"/>
  <c r="N24" i="13" s="1"/>
  <c r="U21" i="2" a="1"/>
  <c r="U21" i="2" s="1"/>
  <c r="U24" i="4" a="1"/>
  <c r="U24" i="4" s="1"/>
  <c r="U7" i="9" a="1"/>
  <c r="U7" i="9" s="1"/>
  <c r="S7" i="2" a="1"/>
  <c r="S7" i="2" s="1"/>
  <c r="V7" i="2" s="1" a="1"/>
  <c r="V7" i="2" s="1"/>
  <c r="U25" i="2" a="1"/>
  <c r="U25" i="2" s="1"/>
  <c r="S6" i="4" a="1"/>
  <c r="S6" i="4" s="1"/>
  <c r="U15" i="4" a="1"/>
  <c r="U15" i="4" s="1"/>
  <c r="W9" i="9" a="1"/>
  <c r="W9" i="9" s="1"/>
  <c r="S5" i="1" a="1"/>
  <c r="S5" i="1" s="1"/>
  <c r="S6" i="1" a="1"/>
  <c r="S6" i="1" s="1"/>
  <c r="S7" i="1" a="1"/>
  <c r="S7" i="1" s="1"/>
  <c r="V20" i="1" s="1" a="1"/>
  <c r="V20" i="1" s="1"/>
  <c r="U4" i="2" a="1"/>
  <c r="U4" i="2" s="1"/>
  <c r="S22" i="2" a="1"/>
  <c r="S22" i="2" s="1"/>
  <c r="U20" i="9" a="1"/>
  <c r="U20" i="9" s="1"/>
  <c r="U16" i="1" a="1"/>
  <c r="U16" i="1" s="1"/>
  <c r="U24" i="1" a="1"/>
  <c r="U24" i="1" s="1"/>
  <c r="U5" i="2" a="1"/>
  <c r="U5" i="2" s="1"/>
  <c r="U7" i="2" a="1"/>
  <c r="U7" i="2" s="1"/>
  <c r="U15" i="1" a="1"/>
  <c r="U15" i="1" s="1"/>
  <c r="U23" i="1" a="1"/>
  <c r="U23" i="1" s="1"/>
  <c r="U24" i="2" a="1"/>
  <c r="U24" i="2" s="1"/>
  <c r="U42" i="2" a="1"/>
  <c r="U42" i="2" s="1"/>
  <c r="U7" i="4" a="1"/>
  <c r="U7" i="4" s="1"/>
  <c r="U23" i="4" a="1"/>
  <c r="U23" i="4" s="1"/>
  <c r="Q37" i="4" a="1"/>
  <c r="Q37" i="4" s="1"/>
  <c r="U8" i="9" a="1"/>
  <c r="U8" i="9" s="1"/>
  <c r="S8" i="9" a="1"/>
  <c r="S8" i="9" s="1"/>
  <c r="U9" i="9" a="1"/>
  <c r="U9" i="9" s="1"/>
  <c r="S9" i="9" a="1"/>
  <c r="S9" i="9" s="1"/>
  <c r="S10" i="9" a="1"/>
  <c r="S10" i="9" s="1"/>
  <c r="U10" i="9" a="1"/>
  <c r="U10" i="9" s="1"/>
  <c r="W15" i="9" a="1"/>
  <c r="W15" i="9" s="1"/>
  <c r="W24" i="9" a="1"/>
  <c r="W24" i="9" s="1"/>
  <c r="W26" i="9" a="1"/>
  <c r="W26" i="9" s="1"/>
  <c r="U10" i="2" a="1"/>
  <c r="U10" i="2" s="1"/>
  <c r="U18" i="9" a="1"/>
  <c r="U18" i="9" s="1"/>
  <c r="W23" i="9" a="1"/>
  <c r="W23" i="9" s="1"/>
  <c r="U13" i="1" a="1"/>
  <c r="U13" i="1" s="1"/>
  <c r="U20" i="1" a="1"/>
  <c r="U20" i="1" s="1"/>
  <c r="S12" i="2" a="1"/>
  <c r="S12" i="2" s="1"/>
  <c r="U9" i="4" a="1"/>
  <c r="U9" i="4" s="1"/>
  <c r="U14" i="4" a="1"/>
  <c r="U14" i="4" s="1"/>
  <c r="S5" i="9" a="1"/>
  <c r="S5" i="9" s="1"/>
  <c r="U16" i="9" a="1"/>
  <c r="U16" i="9" s="1"/>
  <c r="U4" i="9" a="1"/>
  <c r="U4" i="9" s="1"/>
  <c r="W7" i="9" a="1"/>
  <c r="W7" i="9" s="1"/>
  <c r="W19" i="9" a="1"/>
  <c r="W19" i="9" s="1"/>
  <c r="U20" i="4" a="1"/>
  <c r="U20" i="4" s="1"/>
  <c r="W10" i="9" a="1"/>
  <c r="W10" i="9" s="1"/>
  <c r="U12" i="9" a="1"/>
  <c r="U12" i="9" s="1"/>
  <c r="W20" i="9" a="1"/>
  <c r="W20" i="9" s="1"/>
  <c r="S22" i="9" a="1"/>
  <c r="S22" i="9" s="1"/>
  <c r="U25" i="9" a="1"/>
  <c r="U25" i="9" s="1"/>
  <c r="S25" i="9" a="1"/>
  <c r="S25" i="9" s="1"/>
  <c r="S4" i="1" a="1"/>
  <c r="S4" i="1" s="1"/>
  <c r="V15" i="1" s="1" a="1"/>
  <c r="V15" i="1" s="1"/>
  <c r="U9" i="1" a="1"/>
  <c r="U9" i="1" s="1"/>
  <c r="S14" i="1" a="1"/>
  <c r="S14" i="1" s="1"/>
  <c r="V14" i="1" s="1" a="1"/>
  <c r="V14" i="1" s="1"/>
  <c r="U8" i="2" a="1"/>
  <c r="U8" i="2" s="1"/>
  <c r="U5" i="4" a="1"/>
  <c r="U5" i="4" s="1"/>
  <c r="S13" i="4" a="1"/>
  <c r="S13" i="4" s="1"/>
  <c r="U8" i="1" a="1"/>
  <c r="U8" i="1" s="1"/>
  <c r="U12" i="1" a="1"/>
  <c r="U12" i="1" s="1"/>
  <c r="U12" i="2" a="1"/>
  <c r="U12" i="2" s="1"/>
  <c r="U23" i="2" a="1"/>
  <c r="U23" i="2" s="1"/>
  <c r="U15" i="2" a="1"/>
  <c r="U15" i="2" s="1"/>
  <c r="S5" i="2" a="1"/>
  <c r="S5" i="2" s="1"/>
  <c r="V8" i="2" s="1" a="1"/>
  <c r="V8" i="2" s="1"/>
  <c r="C27" i="2" a="1"/>
  <c r="C27" i="2" s="1"/>
  <c r="P42" i="2" a="1"/>
  <c r="P42" i="2" s="1"/>
  <c r="S5" i="4" a="1"/>
  <c r="S5" i="4" s="1"/>
  <c r="V4" i="4" s="1" a="1"/>
  <c r="V4" i="4" s="1"/>
  <c r="U13" i="4" a="1"/>
  <c r="U13" i="4" s="1"/>
  <c r="S21" i="4" a="1"/>
  <c r="S21" i="4" s="1"/>
  <c r="V21" i="4" s="1" a="1"/>
  <c r="V21" i="4" s="1"/>
  <c r="G25" i="7" a="1"/>
  <c r="G25" i="7" s="1"/>
  <c r="G36" i="8" a="1"/>
  <c r="G36" i="8" s="1"/>
  <c r="S11" i="9" a="1"/>
  <c r="S11" i="9" s="1"/>
  <c r="U11" i="9" a="1"/>
  <c r="U11" i="9" s="1"/>
  <c r="W16" i="9" a="1"/>
  <c r="W16" i="9" s="1"/>
  <c r="W25" i="9" a="1"/>
  <c r="W25" i="9" s="1"/>
  <c r="U15" i="9" a="1"/>
  <c r="U15" i="9" s="1"/>
  <c r="U21" i="9" a="1"/>
  <c r="U21" i="9" s="1"/>
  <c r="S15" i="13" a="1"/>
  <c r="S15" i="13" s="1"/>
  <c r="U8" i="15" a="1"/>
  <c r="U8" i="15" s="1"/>
  <c r="U5" i="15" a="1"/>
  <c r="U5" i="15" s="1"/>
  <c r="S8" i="15" a="1"/>
  <c r="S8" i="15" s="1"/>
  <c r="U7" i="15" a="1"/>
  <c r="U7" i="15" s="1"/>
  <c r="U16" i="15" a="1"/>
  <c r="U16" i="15" s="1"/>
  <c r="U13" i="15" a="1"/>
  <c r="U13" i="15" s="1"/>
  <c r="U9" i="15" a="1"/>
  <c r="U9" i="15" s="1"/>
  <c r="U12" i="15" a="1"/>
  <c r="U12" i="15" s="1"/>
  <c r="S5" i="13" a="1"/>
  <c r="S5" i="13" s="1"/>
  <c r="R11" i="13" a="1"/>
  <c r="R11" i="13" s="1"/>
  <c r="T11" i="13" a="1"/>
  <c r="T11" i="13" s="1"/>
  <c r="R17" i="13" a="1"/>
  <c r="R17" i="13" s="1"/>
  <c r="T17" i="13" a="1"/>
  <c r="T17" i="13" s="1"/>
  <c r="S22" i="13" a="1"/>
  <c r="S22" i="13" s="1"/>
  <c r="T37" i="4" a="1"/>
  <c r="T37" i="4" s="1"/>
  <c r="W6" i="9" a="1"/>
  <c r="W6" i="9" s="1"/>
  <c r="R37" i="4" a="1"/>
  <c r="R37" i="4" s="1"/>
  <c r="W22" i="9" a="1"/>
  <c r="W22" i="9" s="1"/>
  <c r="P27" i="9" a="1"/>
  <c r="P27" i="9" s="1"/>
  <c r="R9" i="13" a="1"/>
  <c r="R9" i="13" s="1"/>
  <c r="T9" i="13" a="1"/>
  <c r="T9" i="13" s="1"/>
  <c r="C25" i="7" a="1"/>
  <c r="C25" i="7" s="1"/>
  <c r="U6" i="9" a="1"/>
  <c r="U6" i="9" s="1"/>
  <c r="W17" i="9" a="1"/>
  <c r="W17" i="9" s="1"/>
  <c r="G24" i="13" a="1"/>
  <c r="G24" i="13" s="1"/>
  <c r="Q36" i="13" a="1"/>
  <c r="Q36" i="13" s="1"/>
  <c r="U8" i="14" a="1"/>
  <c r="U8" i="14" s="1"/>
  <c r="U22" i="14" a="1"/>
  <c r="U22" i="14" s="1"/>
  <c r="S8" i="14" a="1"/>
  <c r="S8" i="14" s="1"/>
  <c r="U6" i="14" a="1"/>
  <c r="U6" i="14" s="1"/>
  <c r="U10" i="14" a="1"/>
  <c r="U10" i="14" s="1"/>
  <c r="R38" i="15" a="1"/>
  <c r="R38" i="15" s="1"/>
  <c r="V38" i="15" a="1"/>
  <c r="V38" i="15" s="1"/>
  <c r="S10" i="14" a="1"/>
  <c r="S10" i="14" s="1"/>
  <c r="S11" i="14" a="1"/>
  <c r="S11" i="14" s="1"/>
  <c r="U11" i="14" a="1"/>
  <c r="U11" i="14" s="1"/>
  <c r="U9" i="16" a="1"/>
  <c r="U9" i="16" s="1"/>
  <c r="S9" i="16" a="1"/>
  <c r="S9" i="16" s="1"/>
  <c r="W9" i="17" a="1"/>
  <c r="W9" i="17" s="1"/>
  <c r="W6" i="17" a="1"/>
  <c r="W6" i="17" s="1"/>
  <c r="S11" i="17" a="1"/>
  <c r="S11" i="17" s="1"/>
  <c r="X13" i="23" a="1"/>
  <c r="X13" i="23" s="1"/>
  <c r="U4" i="14" a="1"/>
  <c r="U4" i="14" s="1"/>
  <c r="U7" i="14" a="1"/>
  <c r="U7" i="14" s="1"/>
  <c r="U12" i="14" a="1"/>
  <c r="U12" i="14" s="1"/>
  <c r="U19" i="14" a="1"/>
  <c r="U19" i="14" s="1"/>
  <c r="S13" i="13" a="1"/>
  <c r="S13" i="13" s="1"/>
  <c r="S16" i="13" a="1"/>
  <c r="S16" i="13" s="1"/>
  <c r="G24" i="14" a="1"/>
  <c r="G24" i="14" s="1"/>
  <c r="Q4" i="14" a="1"/>
  <c r="Q4" i="14" s="1"/>
  <c r="S4" i="14" s="1" a="1"/>
  <c r="S4" i="14" s="1"/>
  <c r="U9" i="14" a="1"/>
  <c r="U9" i="14" s="1"/>
  <c r="U20" i="15" a="1"/>
  <c r="U20" i="15" s="1"/>
  <c r="S20" i="15" a="1"/>
  <c r="S20" i="15" s="1"/>
  <c r="S19" i="16" a="1"/>
  <c r="S19" i="16" s="1"/>
  <c r="U19" i="16" a="1"/>
  <c r="U19" i="16" s="1"/>
  <c r="U20" i="16" a="1"/>
  <c r="U20" i="16" s="1"/>
  <c r="U38" i="16" a="1"/>
  <c r="U38" i="16" s="1"/>
  <c r="P38" i="16" a="1"/>
  <c r="P38" i="16" s="1"/>
  <c r="R6" i="17" a="1"/>
  <c r="R6" i="17" s="1"/>
  <c r="U11" i="17" s="1" a="1"/>
  <c r="U11" i="17" s="1"/>
  <c r="T6" i="17" a="1"/>
  <c r="T6" i="17" s="1"/>
  <c r="T12" i="13" a="1"/>
  <c r="T12" i="13" s="1"/>
  <c r="R12" i="13" a="1"/>
  <c r="R12" i="13" s="1"/>
  <c r="U14" i="13" s="1" a="1"/>
  <c r="U14" i="13" s="1"/>
  <c r="S18" i="13" a="1"/>
  <c r="S18" i="13" s="1"/>
  <c r="U16" i="16" a="1"/>
  <c r="U16" i="16" s="1"/>
  <c r="S16" i="16" a="1"/>
  <c r="S16" i="16" s="1"/>
  <c r="T18" i="13" a="1"/>
  <c r="T18" i="13" s="1"/>
  <c r="S13" i="15" a="1"/>
  <c r="S13" i="15" s="1"/>
  <c r="U17" i="15" a="1"/>
  <c r="U17" i="15" s="1"/>
  <c r="W24" i="17" a="1"/>
  <c r="W24" i="17" s="1"/>
  <c r="S14" i="13" a="1"/>
  <c r="S14" i="13" s="1"/>
  <c r="S21" i="13" a="1"/>
  <c r="S21" i="13" s="1"/>
  <c r="S23" i="13" a="1"/>
  <c r="S23" i="13" s="1"/>
  <c r="R36" i="13" a="1"/>
  <c r="R36" i="13" s="1"/>
  <c r="U13" i="16" a="1"/>
  <c r="U13" i="16" s="1"/>
  <c r="T19" i="17" a="1"/>
  <c r="T19" i="17" s="1"/>
  <c r="R19" i="17" a="1"/>
  <c r="R19" i="17" s="1"/>
  <c r="T4" i="13" a="1"/>
  <c r="T4" i="13" s="1"/>
  <c r="T20" i="13" a="1"/>
  <c r="T20" i="13" s="1"/>
  <c r="R20" i="13" a="1"/>
  <c r="R20" i="13" s="1"/>
  <c r="S14" i="14" a="1"/>
  <c r="S14" i="14" s="1"/>
  <c r="U14" i="14" a="1"/>
  <c r="U14" i="14" s="1"/>
  <c r="S15" i="14" a="1"/>
  <c r="S15" i="14" s="1"/>
  <c r="U15" i="14" a="1"/>
  <c r="U15" i="14" s="1"/>
  <c r="S18" i="14" a="1"/>
  <c r="S18" i="14" s="1"/>
  <c r="V18" i="14" s="1" a="1"/>
  <c r="V18" i="14" s="1"/>
  <c r="U18" i="14" a="1"/>
  <c r="U18" i="14" s="1"/>
  <c r="G24" i="15" a="1"/>
  <c r="G24" i="15" s="1"/>
  <c r="S38" i="15" a="1"/>
  <c r="S38" i="15" s="1"/>
  <c r="T38" i="15" a="1"/>
  <c r="T38" i="15" s="1"/>
  <c r="W17" i="17" a="1"/>
  <c r="W17" i="17" s="1"/>
  <c r="U23" i="14" a="1"/>
  <c r="U23" i="14" s="1"/>
  <c r="S23" i="14" a="1"/>
  <c r="S23" i="14" s="1"/>
  <c r="V23" i="14" s="1" a="1"/>
  <c r="V23" i="14" s="1"/>
  <c r="U14" i="15" a="1"/>
  <c r="U14" i="15" s="1"/>
  <c r="U18" i="15" a="1"/>
  <c r="U18" i="15" s="1"/>
  <c r="S19" i="15" a="1"/>
  <c r="S19" i="15" s="1"/>
  <c r="S22" i="15" a="1"/>
  <c r="S22" i="15" s="1"/>
  <c r="U38" i="15" a="1"/>
  <c r="U38" i="15" s="1"/>
  <c r="P38" i="15" a="1"/>
  <c r="P38" i="15" s="1"/>
  <c r="S22" i="16" a="1"/>
  <c r="S22" i="16" s="1"/>
  <c r="U22" i="16" a="1"/>
  <c r="U22" i="16" s="1"/>
  <c r="T14" i="17" a="1"/>
  <c r="T14" i="17" s="1"/>
  <c r="R14" i="17" a="1"/>
  <c r="R14" i="17" s="1"/>
  <c r="W8" i="19" a="1"/>
  <c r="W8" i="19" s="1"/>
  <c r="W23" i="19" a="1"/>
  <c r="W23" i="19" s="1"/>
  <c r="U4" i="16" a="1"/>
  <c r="U4" i="16" s="1"/>
  <c r="G27" i="18" a="1"/>
  <c r="G27" i="18" s="1"/>
  <c r="Q4" i="18" a="1"/>
  <c r="Q4" i="18" s="1"/>
  <c r="S14" i="15" a="1"/>
  <c r="S14" i="15" s="1"/>
  <c r="U21" i="15" a="1"/>
  <c r="U21" i="15" s="1"/>
  <c r="S21" i="15" a="1"/>
  <c r="S21" i="15" s="1"/>
  <c r="S23" i="15" a="1"/>
  <c r="S23" i="15" s="1"/>
  <c r="V23" i="15" s="1" a="1"/>
  <c r="V23" i="15" s="1"/>
  <c r="U11" i="16" a="1"/>
  <c r="U11" i="16" s="1"/>
  <c r="S11" i="16" a="1"/>
  <c r="S11" i="16" s="1"/>
  <c r="W16" i="17" a="1"/>
  <c r="W16" i="17" s="1"/>
  <c r="S24" i="17" a="1"/>
  <c r="S24" i="17" s="1"/>
  <c r="U17" i="14" a="1"/>
  <c r="U17" i="14" s="1"/>
  <c r="S19" i="14" a="1"/>
  <c r="S19" i="14" s="1"/>
  <c r="V5" i="15" a="1"/>
  <c r="V5" i="15" s="1"/>
  <c r="U11" i="15" a="1"/>
  <c r="U11" i="15" s="1"/>
  <c r="S4" i="16" a="1"/>
  <c r="S4" i="16" s="1"/>
  <c r="V13" i="16" s="1" a="1"/>
  <c r="V13" i="16" s="1"/>
  <c r="U6" i="16" a="1"/>
  <c r="U6" i="16" s="1"/>
  <c r="S6" i="16" a="1"/>
  <c r="S6" i="16" s="1"/>
  <c r="S21" i="16" a="1"/>
  <c r="S21" i="16" s="1"/>
  <c r="U21" i="16" a="1"/>
  <c r="U21" i="16" s="1"/>
  <c r="R8" i="17" a="1"/>
  <c r="R8" i="17" s="1"/>
  <c r="T8" i="17" a="1"/>
  <c r="T8" i="17" s="1"/>
  <c r="R21" i="17" a="1"/>
  <c r="R21" i="17" s="1"/>
  <c r="T21" i="17" a="1"/>
  <c r="T21" i="17" s="1"/>
  <c r="S5" i="18" a="1"/>
  <c r="S5" i="18" s="1"/>
  <c r="U13" i="14" a="1"/>
  <c r="U13" i="14" s="1"/>
  <c r="U10" i="15" a="1"/>
  <c r="U10" i="15" s="1"/>
  <c r="S11" i="15" a="1"/>
  <c r="S11" i="15" s="1"/>
  <c r="V10" i="15" s="1" a="1"/>
  <c r="V10" i="15" s="1"/>
  <c r="S16" i="15" a="1"/>
  <c r="S16" i="15" s="1"/>
  <c r="U23" i="15" a="1"/>
  <c r="U23" i="15" s="1"/>
  <c r="U10" i="16" a="1"/>
  <c r="U10" i="16" s="1"/>
  <c r="S10" i="16" a="1"/>
  <c r="S10" i="16" s="1"/>
  <c r="S12" i="16" a="1"/>
  <c r="S12" i="16" s="1"/>
  <c r="U12" i="16" a="1"/>
  <c r="U12" i="16" s="1"/>
  <c r="U17" i="16" a="1"/>
  <c r="U17" i="16" s="1"/>
  <c r="S17" i="16" a="1"/>
  <c r="S17" i="16" s="1"/>
  <c r="W11" i="17" a="1"/>
  <c r="W11" i="17" s="1"/>
  <c r="N27" i="17" a="1"/>
  <c r="N27" i="17" s="1"/>
  <c r="S26" i="17" a="1"/>
  <c r="S26" i="17" s="1"/>
  <c r="U20" i="14" a="1"/>
  <c r="U20" i="14" s="1"/>
  <c r="U16" i="14" a="1"/>
  <c r="U16" i="14" s="1"/>
  <c r="U5" i="14" a="1"/>
  <c r="U5" i="14" s="1"/>
  <c r="S17" i="14" a="1"/>
  <c r="S17" i="14" s="1"/>
  <c r="U15" i="16" a="1"/>
  <c r="U15" i="16" s="1"/>
  <c r="S15" i="16" a="1"/>
  <c r="S15" i="16" s="1"/>
  <c r="V15" i="16" s="1" a="1"/>
  <c r="V15" i="16" s="1"/>
  <c r="W4" i="18" a="1"/>
  <c r="W4" i="18" s="1"/>
  <c r="V36" i="14" a="1"/>
  <c r="V36" i="14" s="1"/>
  <c r="U6" i="15" a="1"/>
  <c r="U6" i="15" s="1"/>
  <c r="U19" i="15" a="1"/>
  <c r="U19" i="15" s="1"/>
  <c r="U22" i="15" a="1"/>
  <c r="U22" i="15" s="1"/>
  <c r="U18" i="16" a="1"/>
  <c r="U18" i="16" s="1"/>
  <c r="R13" i="17" a="1"/>
  <c r="R13" i="17" s="1"/>
  <c r="T13" i="17" a="1"/>
  <c r="T13" i="17" s="1"/>
  <c r="S15" i="17" a="1"/>
  <c r="S15" i="17" s="1"/>
  <c r="C27" i="17" a="1"/>
  <c r="C27" i="17" s="1"/>
  <c r="W5" i="18" a="1"/>
  <c r="W5" i="18" s="1"/>
  <c r="W12" i="18" a="1"/>
  <c r="W12" i="18" s="1"/>
  <c r="W17" i="18" a="1"/>
  <c r="W17" i="18" s="1"/>
  <c r="R23" i="18" a="1"/>
  <c r="R23" i="18" s="1"/>
  <c r="T23" i="18" a="1"/>
  <c r="T23" i="18" s="1"/>
  <c r="W13" i="19" a="1"/>
  <c r="W13" i="19" s="1"/>
  <c r="W8" i="18" a="1"/>
  <c r="W8" i="18" s="1"/>
  <c r="W10" i="18" a="1"/>
  <c r="W10" i="18" s="1"/>
  <c r="W20" i="18" a="1"/>
  <c r="W20" i="18" s="1"/>
  <c r="T6" i="19" a="1"/>
  <c r="T6" i="19" s="1"/>
  <c r="R6" i="19" a="1"/>
  <c r="R6" i="19" s="1"/>
  <c r="W11" i="19" a="1"/>
  <c r="W11" i="19" s="1"/>
  <c r="U15" i="15" a="1"/>
  <c r="U15" i="15" s="1"/>
  <c r="Q38" i="15" a="1"/>
  <c r="Q38" i="15" s="1"/>
  <c r="P24" i="16" a="1"/>
  <c r="P24" i="16" s="1"/>
  <c r="S16" i="17" a="1"/>
  <c r="S16" i="17" s="1"/>
  <c r="W7" i="18" a="1"/>
  <c r="W7" i="18" s="1"/>
  <c r="W9" i="18" a="1"/>
  <c r="W9" i="18" s="1"/>
  <c r="T16" i="18" a="1"/>
  <c r="T16" i="18" s="1"/>
  <c r="R16" i="18" a="1"/>
  <c r="R16" i="18" s="1"/>
  <c r="U5" i="16" a="1"/>
  <c r="U5" i="16" s="1"/>
  <c r="S5" i="16" a="1"/>
  <c r="S5" i="16" s="1"/>
  <c r="U8" i="16" a="1"/>
  <c r="U8" i="16" s="1"/>
  <c r="Q38" i="16" a="1"/>
  <c r="Q38" i="16" s="1"/>
  <c r="S9" i="17" a="1"/>
  <c r="S9" i="17" s="1"/>
  <c r="W12" i="17" a="1"/>
  <c r="W12" i="17" s="1"/>
  <c r="S17" i="17" a="1"/>
  <c r="S17" i="17" s="1"/>
  <c r="W19" i="17" a="1"/>
  <c r="W19" i="17" s="1"/>
  <c r="T42" i="17" a="1"/>
  <c r="T42" i="17" s="1"/>
  <c r="S42" i="17" a="1"/>
  <c r="S42" i="17" s="1"/>
  <c r="U4" i="15" a="1"/>
  <c r="U4" i="15" s="1"/>
  <c r="W13" i="17" a="1"/>
  <c r="W13" i="17" s="1"/>
  <c r="W8" i="17" a="1"/>
  <c r="W8" i="17" s="1"/>
  <c r="W26" i="17" a="1"/>
  <c r="W26" i="17" s="1"/>
  <c r="W4" i="17" a="1"/>
  <c r="W4" i="17" s="1"/>
  <c r="W14" i="17" a="1"/>
  <c r="W14" i="17" s="1"/>
  <c r="W21" i="17" a="1"/>
  <c r="W21" i="17" s="1"/>
  <c r="R4" i="18" a="1"/>
  <c r="R4" i="18" s="1"/>
  <c r="T8" i="18" a="1"/>
  <c r="T8" i="18" s="1"/>
  <c r="R8" i="18" a="1"/>
  <c r="R8" i="18" s="1"/>
  <c r="T12" i="18" a="1"/>
  <c r="T12" i="18" s="1"/>
  <c r="R12" i="18" a="1"/>
  <c r="R12" i="18" s="1"/>
  <c r="T13" i="18" a="1"/>
  <c r="T13" i="18" s="1"/>
  <c r="R13" i="18" a="1"/>
  <c r="R13" i="18" s="1"/>
  <c r="S22" i="18" a="1"/>
  <c r="S22" i="18" s="1"/>
  <c r="N27" i="18" a="1"/>
  <c r="N27" i="18" s="1"/>
  <c r="R4" i="19" a="1"/>
  <c r="R4" i="19" s="1"/>
  <c r="N27" i="19" a="1"/>
  <c r="N27" i="19" s="1"/>
  <c r="T4" i="19" a="1"/>
  <c r="T4" i="19" s="1"/>
  <c r="T19" i="19" a="1"/>
  <c r="T19" i="19" s="1"/>
  <c r="R19" i="19" a="1"/>
  <c r="R19" i="19" s="1"/>
  <c r="S8" i="16" a="1"/>
  <c r="S8" i="16" s="1"/>
  <c r="S14" i="16" a="1"/>
  <c r="S14" i="16" s="1"/>
  <c r="U14" i="16" a="1"/>
  <c r="U14" i="16" s="1"/>
  <c r="U23" i="16" a="1"/>
  <c r="U23" i="16" s="1"/>
  <c r="Q4" i="17" a="1"/>
  <c r="Q4" i="17" s="1"/>
  <c r="S4" i="17" s="1" a="1"/>
  <c r="S4" i="17" s="1"/>
  <c r="G27" i="17" a="1"/>
  <c r="G27" i="17" s="1"/>
  <c r="W15" i="17" a="1"/>
  <c r="W15" i="17" s="1"/>
  <c r="T15" i="17" a="1"/>
  <c r="T15" i="17" s="1"/>
  <c r="R42" i="17" a="1"/>
  <c r="R42" i="17" s="1"/>
  <c r="R7" i="18" a="1"/>
  <c r="R7" i="18" s="1"/>
  <c r="U26" i="18" s="1" a="1"/>
  <c r="U26" i="18" s="1"/>
  <c r="T7" i="18" a="1"/>
  <c r="T7" i="18" s="1"/>
  <c r="T9" i="18" a="1"/>
  <c r="T9" i="18" s="1"/>
  <c r="R9" i="18" a="1"/>
  <c r="R9" i="18" s="1"/>
  <c r="S18" i="18" a="1"/>
  <c r="S18" i="18" s="1"/>
  <c r="T24" i="18" a="1"/>
  <c r="T24" i="18" s="1"/>
  <c r="R24" i="18" a="1"/>
  <c r="R24" i="18" s="1"/>
  <c r="V42" i="17" a="1"/>
  <c r="V42" i="17" s="1"/>
  <c r="W15" i="18" a="1"/>
  <c r="W15" i="18" s="1"/>
  <c r="W21" i="19" a="1"/>
  <c r="W21" i="19" s="1"/>
  <c r="W19" i="18" a="1"/>
  <c r="W19" i="18" s="1"/>
  <c r="R20" i="18" a="1"/>
  <c r="R20" i="18" s="1"/>
  <c r="T20" i="18" a="1"/>
  <c r="T20" i="18" s="1"/>
  <c r="T21" i="18" a="1"/>
  <c r="T21" i="18" s="1"/>
  <c r="R21" i="18" a="1"/>
  <c r="R21" i="18" s="1"/>
  <c r="W22" i="18" a="1"/>
  <c r="W22" i="18" s="1"/>
  <c r="S26" i="18" a="1"/>
  <c r="S26" i="18" s="1"/>
  <c r="S18" i="19" a="1"/>
  <c r="S18" i="19" s="1"/>
  <c r="W13" i="18" a="1"/>
  <c r="W13" i="18" s="1"/>
  <c r="S9" i="19" a="1"/>
  <c r="S9" i="19" s="1"/>
  <c r="T10" i="19" a="1"/>
  <c r="T10" i="19" s="1"/>
  <c r="R10" i="19" a="1"/>
  <c r="R10" i="19" s="1"/>
  <c r="W24" i="19" a="1"/>
  <c r="W24" i="19" s="1"/>
  <c r="T15" i="18" a="1"/>
  <c r="T15" i="18" s="1"/>
  <c r="R15" i="18" a="1"/>
  <c r="R15" i="18" s="1"/>
  <c r="W23" i="18" a="1"/>
  <c r="W23" i="18" s="1"/>
  <c r="T14" i="19" a="1"/>
  <c r="T14" i="19" s="1"/>
  <c r="R14" i="19" a="1"/>
  <c r="R14" i="19" s="1"/>
  <c r="V38" i="16" a="1"/>
  <c r="V38" i="16" s="1"/>
  <c r="R17" i="18" a="1"/>
  <c r="R17" i="18" s="1"/>
  <c r="T17" i="18" a="1"/>
  <c r="T17" i="18" s="1"/>
  <c r="T19" i="18" a="1"/>
  <c r="T19" i="18" s="1"/>
  <c r="R19" i="18" a="1"/>
  <c r="R19" i="18" s="1"/>
  <c r="G27" i="19" a="1"/>
  <c r="G27" i="19" s="1"/>
  <c r="Q4" i="19" a="1"/>
  <c r="Q4" i="19" s="1"/>
  <c r="W6" i="19" a="1"/>
  <c r="W6" i="19" s="1"/>
  <c r="W16" i="18" a="1"/>
  <c r="W16" i="18" s="1"/>
  <c r="W18" i="18" a="1"/>
  <c r="W18" i="18" s="1"/>
  <c r="W9" i="19" a="1"/>
  <c r="W9" i="19" s="1"/>
  <c r="T23" i="19" a="1"/>
  <c r="T23" i="19" s="1"/>
  <c r="R23" i="19" a="1"/>
  <c r="R23" i="19" s="1"/>
  <c r="U13" i="20" a="1"/>
  <c r="U13" i="20" s="1"/>
  <c r="S13" i="20" a="1"/>
  <c r="S13" i="20" s="1"/>
  <c r="V13" i="20" s="1" a="1"/>
  <c r="V13" i="20" s="1"/>
  <c r="S17" i="19" a="1"/>
  <c r="S17" i="19" s="1"/>
  <c r="X7" i="23" a="1"/>
  <c r="X7" i="23" s="1"/>
  <c r="W10" i="19" a="1"/>
  <c r="W10" i="19" s="1"/>
  <c r="T11" i="19" a="1"/>
  <c r="T11" i="19" s="1"/>
  <c r="R11" i="19" a="1"/>
  <c r="R11" i="19" s="1"/>
  <c r="W12" i="19" a="1"/>
  <c r="W12" i="19" s="1"/>
  <c r="S12" i="19" a="1"/>
  <c r="S12" i="19" s="1"/>
  <c r="T15" i="19" a="1"/>
  <c r="T15" i="19" s="1"/>
  <c r="R15" i="19" a="1"/>
  <c r="R15" i="19" s="1"/>
  <c r="S21" i="19" a="1"/>
  <c r="S21" i="19" s="1"/>
  <c r="S22" i="19" a="1"/>
  <c r="S22" i="19" s="1"/>
  <c r="S25" i="19" a="1"/>
  <c r="S25" i="19" s="1"/>
  <c r="U11" i="20" a="1"/>
  <c r="U11" i="20" s="1"/>
  <c r="S11" i="20" a="1"/>
  <c r="S11" i="20" s="1"/>
  <c r="V11" i="20" s="1" a="1"/>
  <c r="V11" i="20" s="1"/>
  <c r="V42" i="18" a="1"/>
  <c r="V42" i="18" s="1"/>
  <c r="R42" i="18" a="1"/>
  <c r="R42" i="18" s="1"/>
  <c r="W17" i="19" a="1"/>
  <c r="W17" i="19" s="1"/>
  <c r="R8" i="19" a="1"/>
  <c r="R8" i="19" s="1"/>
  <c r="T8" i="19" a="1"/>
  <c r="T8" i="19" s="1"/>
  <c r="U22" i="19" a="1"/>
  <c r="U22" i="19" s="1"/>
  <c r="S24" i="19" a="1"/>
  <c r="S24" i="19" s="1"/>
  <c r="S8" i="20" a="1"/>
  <c r="S8" i="20" s="1"/>
  <c r="V8" i="20" s="1" a="1"/>
  <c r="V8" i="20" s="1"/>
  <c r="W22" i="19" a="1"/>
  <c r="W22" i="19" s="1"/>
  <c r="W4" i="19" a="1"/>
  <c r="W4" i="19" s="1"/>
  <c r="W18" i="19" a="1"/>
  <c r="W18" i="19" s="1"/>
  <c r="S14" i="21" a="1"/>
  <c r="S14" i="21" s="1"/>
  <c r="W25" i="19" a="1"/>
  <c r="W25" i="19" s="1"/>
  <c r="S4" i="20" a="1"/>
  <c r="S4" i="20" s="1"/>
  <c r="V4" i="20" s="1" a="1"/>
  <c r="V4" i="20" s="1"/>
  <c r="U9" i="20" a="1"/>
  <c r="U9" i="20" s="1"/>
  <c r="S9" i="20" a="1"/>
  <c r="S9" i="20" s="1"/>
  <c r="V9" i="20" s="1" a="1"/>
  <c r="V9" i="20" s="1"/>
  <c r="G27" i="20" a="1"/>
  <c r="G27" i="20" s="1"/>
  <c r="Q25" i="20" a="1"/>
  <c r="Q25" i="20" s="1"/>
  <c r="S25" i="20" s="1" a="1"/>
  <c r="S25" i="20" s="1"/>
  <c r="V25" i="20" s="1" a="1"/>
  <c r="V25" i="20" s="1"/>
  <c r="R5" i="21" a="1"/>
  <c r="R5" i="21" s="1"/>
  <c r="S7" i="23" a="1"/>
  <c r="S7" i="23" s="1"/>
  <c r="U7" i="23" a="1"/>
  <c r="U7" i="23" s="1"/>
  <c r="U4" i="23" a="1"/>
  <c r="U4" i="23" s="1"/>
  <c r="W15" i="19" a="1"/>
  <c r="W15" i="19" s="1"/>
  <c r="S19" i="20" a="1"/>
  <c r="S19" i="20" s="1"/>
  <c r="V19" i="20" s="1" a="1"/>
  <c r="V19" i="20" s="1"/>
  <c r="C27" i="20" a="1"/>
  <c r="C27" i="20" s="1"/>
  <c r="T17" i="21" a="1"/>
  <c r="T17" i="21" s="1"/>
  <c r="T15" i="21" a="1"/>
  <c r="T15" i="21" s="1"/>
  <c r="T12" i="21" a="1"/>
  <c r="T12" i="21" s="1"/>
  <c r="T9" i="21" a="1"/>
  <c r="T9" i="21" s="1"/>
  <c r="T4" i="21" a="1"/>
  <c r="T4" i="21" s="1"/>
  <c r="T22" i="21" a="1"/>
  <c r="T22" i="21" s="1"/>
  <c r="T6" i="21" a="1"/>
  <c r="T6" i="21" s="1"/>
  <c r="T18" i="21" a="1"/>
  <c r="T18" i="21" s="1"/>
  <c r="T16" i="21" a="1"/>
  <c r="T16" i="21" s="1"/>
  <c r="T24" i="21" a="1"/>
  <c r="T24" i="21" s="1"/>
  <c r="T7" i="21" a="1"/>
  <c r="T7" i="21" s="1"/>
  <c r="T8" i="21" a="1"/>
  <c r="T8" i="21" s="1"/>
  <c r="S4" i="21" a="1"/>
  <c r="S4" i="21" s="1"/>
  <c r="S12" i="21" a="1"/>
  <c r="S12" i="21" s="1"/>
  <c r="S8" i="21" a="1"/>
  <c r="S8" i="21" s="1"/>
  <c r="T13" i="21" a="1"/>
  <c r="T13" i="21" s="1"/>
  <c r="V42" i="19" a="1"/>
  <c r="V42" i="19" s="1"/>
  <c r="U18" i="20" a="1"/>
  <c r="U18" i="20" s="1"/>
  <c r="S18" i="20" a="1"/>
  <c r="S18" i="20" s="1"/>
  <c r="V18" i="20" s="1" a="1"/>
  <c r="V18" i="20" s="1"/>
  <c r="S21" i="20" a="1"/>
  <c r="S21" i="20" s="1"/>
  <c r="V21" i="20" s="1" a="1"/>
  <c r="V21" i="20" s="1"/>
  <c r="U21" i="20" a="1"/>
  <c r="U21" i="20" s="1"/>
  <c r="W20" i="19" a="1"/>
  <c r="W20" i="19" s="1"/>
  <c r="W26" i="19" a="1"/>
  <c r="W26" i="19" s="1"/>
  <c r="P42" i="19" a="1"/>
  <c r="P42" i="19" s="1"/>
  <c r="U42" i="19" a="1"/>
  <c r="U42" i="19" s="1"/>
  <c r="U15" i="20" a="1"/>
  <c r="U15" i="20" s="1"/>
  <c r="S15" i="20" a="1"/>
  <c r="S15" i="20" s="1"/>
  <c r="V15" i="20" s="1" a="1"/>
  <c r="V15" i="20" s="1"/>
  <c r="U24" i="20" a="1"/>
  <c r="U24" i="20" s="1"/>
  <c r="S24" i="20" a="1"/>
  <c r="S24" i="20" s="1"/>
  <c r="V24" i="20" s="1" a="1"/>
  <c r="V24" i="20" s="1"/>
  <c r="T10" i="21" a="1"/>
  <c r="T10" i="21" s="1"/>
  <c r="T11" i="21" a="1"/>
  <c r="T11" i="21" s="1"/>
  <c r="X9" i="23" a="1"/>
  <c r="X9" i="23" s="1"/>
  <c r="AA11" i="23" a="1"/>
  <c r="AA11" i="23" s="1"/>
  <c r="AA6" i="23" a="1"/>
  <c r="AA6" i="23" s="1"/>
  <c r="AA15" i="23" a="1"/>
  <c r="AA15" i="23" s="1"/>
  <c r="R11" i="21" a="1"/>
  <c r="R11" i="21" s="1"/>
  <c r="R13" i="21" a="1"/>
  <c r="R13" i="21" s="1"/>
  <c r="S13" i="21" s="1" a="1"/>
  <c r="S13" i="21" s="1"/>
  <c r="T20" i="21" a="1"/>
  <c r="T20" i="21" s="1"/>
  <c r="C25" i="21" a="1"/>
  <c r="C25" i="21" s="1"/>
  <c r="X6" i="23" a="1"/>
  <c r="X6" i="23" s="1"/>
  <c r="S17" i="21" a="1"/>
  <c r="S17" i="21" s="1"/>
  <c r="T19" i="21" a="1"/>
  <c r="T19" i="21" s="1"/>
  <c r="R21" i="21" a="1"/>
  <c r="R21" i="21" s="1"/>
  <c r="S7" i="21" a="1"/>
  <c r="S7" i="21" s="1"/>
  <c r="R9" i="21" a="1"/>
  <c r="R9" i="21" s="1"/>
  <c r="S6" i="21" s="1" a="1"/>
  <c r="S6" i="21" s="1"/>
  <c r="V37" i="21" a="1"/>
  <c r="V37" i="21" s="1"/>
  <c r="V42" i="20" a="1"/>
  <c r="V42" i="20" s="1"/>
  <c r="R42" i="20" a="1"/>
  <c r="R42" i="20" s="1"/>
  <c r="T14" i="21" a="1"/>
  <c r="T14" i="21" s="1"/>
  <c r="T23" i="21" a="1"/>
  <c r="T23" i="21" s="1"/>
  <c r="P37" i="21" a="1"/>
  <c r="P37" i="21" s="1"/>
  <c r="U37" i="21" a="1"/>
  <c r="U37" i="21" s="1"/>
  <c r="T5" i="21" a="1"/>
  <c r="T5" i="21" s="1"/>
  <c r="Q37" i="21" a="1"/>
  <c r="Q37" i="21" s="1"/>
  <c r="P37" i="22" a="1"/>
  <c r="P37" i="22" s="1"/>
  <c r="U37" i="22" a="1"/>
  <c r="U37" i="22" s="1"/>
  <c r="S5" i="23" a="1"/>
  <c r="S5" i="23" s="1"/>
  <c r="V18" i="23" s="1" a="1"/>
  <c r="V18" i="23" s="1"/>
  <c r="U8" i="23" a="1"/>
  <c r="U8" i="23" s="1"/>
  <c r="U5" i="23" a="1"/>
  <c r="U5" i="23" s="1"/>
  <c r="U16" i="23" a="1"/>
  <c r="U16" i="23" s="1"/>
  <c r="U9" i="23" a="1"/>
  <c r="U9" i="23" s="1"/>
  <c r="X10" i="23" a="1"/>
  <c r="X10" i="23" s="1"/>
  <c r="X16" i="23" a="1"/>
  <c r="X16" i="23" s="1"/>
  <c r="X20" i="23" a="1"/>
  <c r="X20" i="23" s="1"/>
  <c r="P25" i="22" a="1"/>
  <c r="P25" i="22" s="1"/>
  <c r="V9" i="23" a="1"/>
  <c r="V9" i="23" s="1"/>
  <c r="X21" i="23" a="1"/>
  <c r="X21" i="23" s="1"/>
  <c r="X12" i="23" a="1"/>
  <c r="X12" i="23" s="1"/>
  <c r="X15" i="23" a="1"/>
  <c r="X15" i="23" s="1"/>
  <c r="X4" i="23" a="1"/>
  <c r="X4" i="23" s="1"/>
  <c r="U6" i="23" a="1"/>
  <c r="U6" i="23" s="1"/>
  <c r="S6" i="23" a="1"/>
  <c r="S6" i="23" s="1"/>
  <c r="AA4" i="23" a="1"/>
  <c r="AA4" i="23" s="1"/>
  <c r="AA16" i="23" a="1"/>
  <c r="AA16" i="23" s="1"/>
  <c r="AA14" i="23" a="1"/>
  <c r="AA14" i="23" s="1"/>
  <c r="AA17" i="23" a="1"/>
  <c r="AA17" i="23" s="1"/>
  <c r="AA12" i="23" a="1"/>
  <c r="AA12" i="23" s="1"/>
  <c r="AA22" i="23" a="1"/>
  <c r="AA22" i="23" s="1"/>
  <c r="AA18" i="23" a="1"/>
  <c r="AA18" i="23" s="1"/>
  <c r="AA7" i="23" a="1"/>
  <c r="AA7" i="23" s="1"/>
  <c r="U10" i="23" a="1"/>
  <c r="U10" i="23" s="1"/>
  <c r="U11" i="23" a="1"/>
  <c r="U11" i="23" s="1"/>
  <c r="S11" i="23" a="1"/>
  <c r="S11" i="23" s="1"/>
  <c r="S12" i="23" a="1"/>
  <c r="S12" i="23" s="1"/>
  <c r="U13" i="23" a="1"/>
  <c r="U13" i="23" s="1"/>
  <c r="S13" i="23" a="1"/>
  <c r="S13" i="23" s="1"/>
  <c r="S15" i="23" a="1"/>
  <c r="S15" i="23" s="1"/>
  <c r="U15" i="23" a="1"/>
  <c r="U15" i="23" s="1"/>
  <c r="X5" i="23" a="1"/>
  <c r="X5" i="23" s="1"/>
  <c r="X8" i="23" a="1"/>
  <c r="X8" i="23" s="1"/>
  <c r="AA8" i="23" a="1"/>
  <c r="AA8" i="23" s="1"/>
  <c r="R37" i="22" a="1"/>
  <c r="R37" i="22" s="1"/>
  <c r="AA5" i="23" a="1"/>
  <c r="AA5" i="23" s="1"/>
  <c r="AA13" i="23" a="1"/>
  <c r="AA13" i="23" s="1"/>
  <c r="X22" i="23" a="1"/>
  <c r="X22" i="23" s="1"/>
  <c r="S14" i="23" a="1"/>
  <c r="S14" i="23" s="1"/>
  <c r="X19" i="23" a="1"/>
  <c r="X19" i="23" s="1"/>
  <c r="AA19" i="23" a="1"/>
  <c r="AA19" i="23" s="1"/>
  <c r="X23" i="23" a="1"/>
  <c r="X23" i="23" s="1"/>
  <c r="U18" i="23" a="1"/>
  <c r="U18" i="23" s="1"/>
  <c r="U17" i="23" a="1"/>
  <c r="U17" i="23" s="1"/>
  <c r="U12" i="23" a="1"/>
  <c r="U12" i="23" s="1"/>
  <c r="U20" i="23" a="1"/>
  <c r="U20" i="23" s="1"/>
  <c r="T10" i="24" a="1"/>
  <c r="T10" i="24" s="1"/>
  <c r="V37" i="22" a="1"/>
  <c r="V37" i="22" s="1"/>
  <c r="U22" i="23" a="1"/>
  <c r="U22" i="23" s="1"/>
  <c r="S22" i="23" a="1"/>
  <c r="S22" i="23" s="1"/>
  <c r="V22" i="23" s="1" a="1"/>
  <c r="V22" i="23" s="1"/>
  <c r="P38" i="23" a="1"/>
  <c r="P38" i="23" s="1"/>
  <c r="U38" i="23" a="1"/>
  <c r="U38" i="23" s="1"/>
  <c r="X14" i="23" a="1"/>
  <c r="X14" i="23" s="1"/>
  <c r="X18" i="23" a="1"/>
  <c r="X18" i="23" s="1"/>
  <c r="U19" i="23" a="1"/>
  <c r="U19" i="23" s="1"/>
  <c r="AA20" i="23" a="1"/>
  <c r="AA20" i="23" s="1"/>
  <c r="U21" i="23" a="1"/>
  <c r="U21" i="23" s="1"/>
  <c r="V23" i="23" a="1"/>
  <c r="V23" i="23" s="1"/>
  <c r="Q22" i="24" a="1"/>
  <c r="Q22" i="24" s="1"/>
  <c r="S19" i="23" a="1"/>
  <c r="S19" i="23" s="1"/>
  <c r="U14" i="23" a="1"/>
  <c r="U14" i="23" s="1"/>
  <c r="AA21" i="23" a="1"/>
  <c r="AA21" i="23" s="1"/>
  <c r="T9" i="24" a="1"/>
  <c r="T9" i="24" s="1"/>
  <c r="X17" i="23" a="1"/>
  <c r="X17" i="23" s="1"/>
  <c r="AA23" i="23" a="1"/>
  <c r="AA23" i="23" s="1"/>
  <c r="U23" i="23" a="1"/>
  <c r="U23" i="23" s="1"/>
  <c r="T31" i="24" a="1"/>
  <c r="T31" i="24" s="1"/>
  <c r="V38" i="23" a="1"/>
  <c r="V38" i="23" s="1"/>
  <c r="G41" i="23" a="1"/>
  <c r="G41" i="23" s="1"/>
  <c r="S22" i="24" a="1"/>
  <c r="S22" i="24" s="1"/>
  <c r="T22" i="24" s="1" a="1"/>
  <c r="T22" i="24" s="1"/>
  <c r="V13" i="9" l="1" a="1"/>
  <c r="V13" i="9" s="1"/>
  <c r="V12" i="9" a="1"/>
  <c r="V12" i="9" s="1"/>
  <c r="V20" i="9" a="1"/>
  <c r="V20" i="9" s="1"/>
  <c r="V26" i="9" a="1"/>
  <c r="V26" i="9" s="1"/>
  <c r="U4" i="19" a="1"/>
  <c r="U4" i="19" s="1"/>
  <c r="U13" i="19" a="1"/>
  <c r="U13" i="19" s="1"/>
  <c r="S4" i="19" a="1"/>
  <c r="S4" i="19" s="1"/>
  <c r="V17" i="19" s="1" a="1"/>
  <c r="V17" i="19" s="1"/>
  <c r="V17" i="23" a="1"/>
  <c r="V17" i="23" s="1"/>
  <c r="V14" i="15" a="1"/>
  <c r="V14" i="15" s="1"/>
  <c r="V19" i="23" a="1"/>
  <c r="V19" i="23" s="1"/>
  <c r="V20" i="23" a="1"/>
  <c r="V20" i="23" s="1"/>
  <c r="S18" i="21" a="1"/>
  <c r="S18" i="21" s="1"/>
  <c r="S23" i="21" a="1"/>
  <c r="S23" i="21" s="1"/>
  <c r="V18" i="19" a="1"/>
  <c r="V18" i="19" s="1"/>
  <c r="S21" i="21" a="1"/>
  <c r="S21" i="21" s="1"/>
  <c r="S11" i="21" a="1"/>
  <c r="S11" i="21" s="1"/>
  <c r="S10" i="21" a="1"/>
  <c r="S10" i="21" s="1"/>
  <c r="U24" i="19" a="1"/>
  <c r="U24" i="19" s="1"/>
  <c r="U17" i="19" a="1"/>
  <c r="U17" i="19" s="1"/>
  <c r="U16" i="18" a="1"/>
  <c r="U16" i="18" s="1"/>
  <c r="S16" i="18" a="1"/>
  <c r="S16" i="18" s="1"/>
  <c r="S21" i="17" a="1"/>
  <c r="S21" i="17" s="1"/>
  <c r="U21" i="17" a="1"/>
  <c r="U21" i="17" s="1"/>
  <c r="V13" i="15" a="1"/>
  <c r="V13" i="15" s="1"/>
  <c r="U13" i="13" a="1"/>
  <c r="U13" i="13" s="1"/>
  <c r="V4" i="14" a="1"/>
  <c r="V4" i="14" s="1"/>
  <c r="V9" i="14" a="1"/>
  <c r="V9" i="14" s="1"/>
  <c r="V5" i="14" a="1"/>
  <c r="V5" i="14" s="1"/>
  <c r="V22" i="14" a="1"/>
  <c r="V22" i="14" s="1"/>
  <c r="V9" i="16" a="1"/>
  <c r="V9" i="16" s="1"/>
  <c r="V12" i="2" a="1"/>
  <c r="V12" i="2" s="1"/>
  <c r="U6" i="13" a="1"/>
  <c r="U6" i="13" s="1"/>
  <c r="S6" i="13" a="1"/>
  <c r="S6" i="13" s="1"/>
  <c r="V10" i="13" s="1" a="1"/>
  <c r="V10" i="13" s="1"/>
  <c r="V21" i="1" a="1"/>
  <c r="V21" i="1" s="1"/>
  <c r="V11" i="2" a="1"/>
  <c r="V11" i="2" s="1"/>
  <c r="V24" i="9" a="1"/>
  <c r="V24" i="9" s="1"/>
  <c r="V23" i="2" a="1"/>
  <c r="V23" i="2" s="1"/>
  <c r="V13" i="1" a="1"/>
  <c r="V13" i="1" s="1"/>
  <c r="V14" i="4" a="1"/>
  <c r="V14" i="4" s="1"/>
  <c r="V14" i="9" a="1"/>
  <c r="V14" i="9" s="1"/>
  <c r="V16" i="23" a="1"/>
  <c r="V16" i="23" s="1"/>
  <c r="U17" i="18" a="1"/>
  <c r="U17" i="18" s="1"/>
  <c r="S17" i="18" a="1"/>
  <c r="S17" i="18" s="1"/>
  <c r="U13" i="17" a="1"/>
  <c r="U13" i="17" s="1"/>
  <c r="S13" i="17" a="1"/>
  <c r="S13" i="17" s="1"/>
  <c r="V19" i="4" a="1"/>
  <c r="V19" i="4" s="1"/>
  <c r="V10" i="4" a="1"/>
  <c r="V10" i="4" s="1"/>
  <c r="V21" i="23" a="1"/>
  <c r="V21" i="23" s="1"/>
  <c r="V15" i="23" a="1"/>
  <c r="V15" i="23" s="1"/>
  <c r="V10" i="23" a="1"/>
  <c r="V10" i="23" s="1"/>
  <c r="V5" i="23" a="1"/>
  <c r="V5" i="23" s="1"/>
  <c r="V7" i="23" a="1"/>
  <c r="V7" i="23" s="1"/>
  <c r="U20" i="19" a="1"/>
  <c r="U20" i="19" s="1"/>
  <c r="U12" i="19" a="1"/>
  <c r="U12" i="19" s="1"/>
  <c r="U7" i="18" a="1"/>
  <c r="U7" i="18" s="1"/>
  <c r="S7" i="18" a="1"/>
  <c r="S7" i="18" s="1"/>
  <c r="V7" i="18" s="1" a="1"/>
  <c r="V7" i="18" s="1"/>
  <c r="V14" i="16" a="1"/>
  <c r="V14" i="16" s="1"/>
  <c r="V18" i="16" a="1"/>
  <c r="V18" i="16" s="1"/>
  <c r="S6" i="19" a="1"/>
  <c r="S6" i="19" s="1"/>
  <c r="U6" i="19" a="1"/>
  <c r="U6" i="19" s="1"/>
  <c r="V20" i="16" a="1"/>
  <c r="V20" i="16" s="1"/>
  <c r="V16" i="15" a="1"/>
  <c r="V16" i="15" s="1"/>
  <c r="U8" i="17" a="1"/>
  <c r="U8" i="17" s="1"/>
  <c r="S8" i="17" a="1"/>
  <c r="S8" i="17" s="1"/>
  <c r="V8" i="17" s="1" a="1"/>
  <c r="V8" i="17" s="1"/>
  <c r="V19" i="14" a="1"/>
  <c r="V19" i="14" s="1"/>
  <c r="V21" i="15" a="1"/>
  <c r="V21" i="15" s="1"/>
  <c r="S19" i="17" a="1"/>
  <c r="S19" i="17" s="1"/>
  <c r="U19" i="17" a="1"/>
  <c r="U19" i="17" s="1"/>
  <c r="V19" i="16" a="1"/>
  <c r="V19" i="16" s="1"/>
  <c r="V6" i="15" a="1"/>
  <c r="V6" i="15" s="1"/>
  <c r="V11" i="9" a="1"/>
  <c r="V11" i="9" s="1"/>
  <c r="V6" i="1" a="1"/>
  <c r="V6" i="1" s="1"/>
  <c r="V6" i="9" a="1"/>
  <c r="V6" i="9" s="1"/>
  <c r="V23" i="9" a="1"/>
  <c r="V23" i="9" s="1"/>
  <c r="V18" i="4" a="1"/>
  <c r="V18" i="4" s="1"/>
  <c r="V22" i="1" a="1"/>
  <c r="V22" i="1" s="1"/>
  <c r="V21" i="14" a="1"/>
  <c r="V21" i="14" s="1"/>
  <c r="V20" i="2" a="1"/>
  <c r="V20" i="2" s="1"/>
  <c r="V9" i="2" a="1"/>
  <c r="V9" i="2" s="1"/>
  <c r="V19" i="1" a="1"/>
  <c r="V19" i="1" s="1"/>
  <c r="V25" i="2" a="1"/>
  <c r="V25" i="2" s="1"/>
  <c r="V22" i="16" a="1"/>
  <c r="V22" i="16" s="1"/>
  <c r="S12" i="13" a="1"/>
  <c r="S12" i="13" s="1"/>
  <c r="U12" i="13" a="1"/>
  <c r="U12" i="13" s="1"/>
  <c r="U19" i="13" a="1"/>
  <c r="U19" i="13" s="1"/>
  <c r="V7" i="1" a="1"/>
  <c r="V7" i="1" s="1"/>
  <c r="V6" i="2" a="1"/>
  <c r="V6" i="2" s="1"/>
  <c r="V11" i="4" a="1"/>
  <c r="V11" i="4" s="1"/>
  <c r="V24" i="1" a="1"/>
  <c r="V24" i="1" s="1"/>
  <c r="V7" i="9" a="1"/>
  <c r="V7" i="9" s="1"/>
  <c r="V4" i="23" a="1"/>
  <c r="V4" i="23" s="1"/>
  <c r="V13" i="23" a="1"/>
  <c r="V13" i="23" s="1"/>
  <c r="V6" i="23" a="1"/>
  <c r="V6" i="23" s="1"/>
  <c r="S15" i="21" a="1"/>
  <c r="S15" i="21" s="1"/>
  <c r="S5" i="21" a="1"/>
  <c r="S5" i="21" s="1"/>
  <c r="U25" i="19" a="1"/>
  <c r="U25" i="19" s="1"/>
  <c r="U11" i="19" a="1"/>
  <c r="U11" i="19" s="1"/>
  <c r="S11" i="19" a="1"/>
  <c r="S11" i="19" s="1"/>
  <c r="U14" i="19" a="1"/>
  <c r="U14" i="19" s="1"/>
  <c r="S14" i="19" a="1"/>
  <c r="S14" i="19" s="1"/>
  <c r="U21" i="18" a="1"/>
  <c r="U21" i="18" s="1"/>
  <c r="S21" i="18" a="1"/>
  <c r="S21" i="18" s="1"/>
  <c r="U24" i="18" a="1"/>
  <c r="U24" i="18" s="1"/>
  <c r="S24" i="18" a="1"/>
  <c r="S24" i="18" s="1"/>
  <c r="V8" i="16" a="1"/>
  <c r="V8" i="16" s="1"/>
  <c r="U22" i="18" a="1"/>
  <c r="U22" i="18" s="1"/>
  <c r="U4" i="18" a="1"/>
  <c r="U4" i="18" s="1"/>
  <c r="S4" i="18" a="1"/>
  <c r="S4" i="18" s="1"/>
  <c r="V22" i="18" s="1" a="1"/>
  <c r="V22" i="18" s="1"/>
  <c r="U5" i="18" a="1"/>
  <c r="U5" i="18" s="1"/>
  <c r="U10" i="18" a="1"/>
  <c r="U10" i="18" s="1"/>
  <c r="U9" i="17" a="1"/>
  <c r="U9" i="17" s="1"/>
  <c r="V17" i="14" a="1"/>
  <c r="V17" i="14" s="1"/>
  <c r="V17" i="16" a="1"/>
  <c r="V17" i="16" s="1"/>
  <c r="V11" i="15" a="1"/>
  <c r="V11" i="15" s="1"/>
  <c r="V15" i="14" a="1"/>
  <c r="V15" i="14" s="1"/>
  <c r="U4" i="13" a="1"/>
  <c r="U4" i="13" s="1"/>
  <c r="V16" i="16" a="1"/>
  <c r="V16" i="16" s="1"/>
  <c r="V20" i="15" a="1"/>
  <c r="V20" i="15" s="1"/>
  <c r="V8" i="23" a="1"/>
  <c r="V8" i="23" s="1"/>
  <c r="V11" i="14" a="1"/>
  <c r="V11" i="14" s="1"/>
  <c r="V12" i="14" a="1"/>
  <c r="V12" i="14" s="1"/>
  <c r="V6" i="14" a="1"/>
  <c r="V6" i="14" s="1"/>
  <c r="S11" i="13" a="1"/>
  <c r="S11" i="13" s="1"/>
  <c r="V11" i="13" s="1" a="1"/>
  <c r="V11" i="13" s="1"/>
  <c r="U11" i="13" a="1"/>
  <c r="U11" i="13" s="1"/>
  <c r="V5" i="4" a="1"/>
  <c r="V5" i="4" s="1"/>
  <c r="V4" i="1" a="1"/>
  <c r="V4" i="1" s="1"/>
  <c r="V10" i="9" a="1"/>
  <c r="V10" i="9" s="1"/>
  <c r="V5" i="1" a="1"/>
  <c r="V5" i="1" s="1"/>
  <c r="U7" i="13" a="1"/>
  <c r="U7" i="13" s="1"/>
  <c r="S7" i="13" a="1"/>
  <c r="S7" i="13" s="1"/>
  <c r="V16" i="4" a="1"/>
  <c r="V16" i="4" s="1"/>
  <c r="V23" i="1" a="1"/>
  <c r="V23" i="1" s="1"/>
  <c r="V26" i="2" a="1"/>
  <c r="V26" i="2" s="1"/>
  <c r="V22" i="4" a="1"/>
  <c r="V22" i="4" s="1"/>
  <c r="V20" i="4" a="1"/>
  <c r="V20" i="4" s="1"/>
  <c r="V18" i="2" a="1"/>
  <c r="V18" i="2" s="1"/>
  <c r="U18" i="13" a="1"/>
  <c r="U18" i="13" s="1"/>
  <c r="V23" i="4" a="1"/>
  <c r="V23" i="4" s="1"/>
  <c r="V18" i="1" a="1"/>
  <c r="V18" i="1" s="1"/>
  <c r="V21" i="2" a="1"/>
  <c r="V21" i="2" s="1"/>
  <c r="V17" i="2" a="1"/>
  <c r="V17" i="2" s="1"/>
  <c r="V17" i="1" a="1"/>
  <c r="V17" i="1" s="1"/>
  <c r="V17" i="4" a="1"/>
  <c r="V17" i="4" s="1"/>
  <c r="V14" i="2" a="1"/>
  <c r="V14" i="2" s="1"/>
  <c r="U10" i="19" a="1"/>
  <c r="U10" i="19" s="1"/>
  <c r="S10" i="19" a="1"/>
  <c r="S10" i="19" s="1"/>
  <c r="V10" i="19" s="1" a="1"/>
  <c r="V10" i="19" s="1"/>
  <c r="U8" i="18" a="1"/>
  <c r="U8" i="18" s="1"/>
  <c r="S8" i="18" a="1"/>
  <c r="S8" i="18" s="1"/>
  <c r="U4" i="17" a="1"/>
  <c r="U4" i="17" s="1"/>
  <c r="V7" i="15" a="1"/>
  <c r="V7" i="15" s="1"/>
  <c r="U17" i="13" a="1"/>
  <c r="U17" i="13" s="1"/>
  <c r="S17" i="13" a="1"/>
  <c r="S17" i="13" s="1"/>
  <c r="U15" i="13" a="1"/>
  <c r="U15" i="13" s="1"/>
  <c r="V22" i="15" a="1"/>
  <c r="V22" i="15" s="1"/>
  <c r="U10" i="13" a="1"/>
  <c r="U10" i="13" s="1"/>
  <c r="V14" i="23" a="1"/>
  <c r="V14" i="23" s="1"/>
  <c r="U23" i="19" a="1"/>
  <c r="U23" i="19" s="1"/>
  <c r="S23" i="19" a="1"/>
  <c r="S23" i="19" s="1"/>
  <c r="S16" i="21" a="1"/>
  <c r="S16" i="21" s="1"/>
  <c r="U18" i="18" a="1"/>
  <c r="U18" i="18" s="1"/>
  <c r="S19" i="19" a="1"/>
  <c r="S19" i="19" s="1"/>
  <c r="U19" i="19" a="1"/>
  <c r="U19" i="19" s="1"/>
  <c r="U13" i="18" a="1"/>
  <c r="U13" i="18" s="1"/>
  <c r="S13" i="18" a="1"/>
  <c r="S13" i="18" s="1"/>
  <c r="U16" i="17" a="1"/>
  <c r="U16" i="17" s="1"/>
  <c r="V6" i="16" a="1"/>
  <c r="V6" i="16" s="1"/>
  <c r="U24" i="17" a="1"/>
  <c r="U24" i="17" s="1"/>
  <c r="V19" i="15" a="1"/>
  <c r="V19" i="15" s="1"/>
  <c r="V14" i="14" a="1"/>
  <c r="V14" i="14" s="1"/>
  <c r="V12" i="15" a="1"/>
  <c r="V12" i="15" s="1"/>
  <c r="V17" i="15" a="1"/>
  <c r="V17" i="15" s="1"/>
  <c r="V15" i="15" a="1"/>
  <c r="V15" i="15" s="1"/>
  <c r="U16" i="13" a="1"/>
  <c r="U16" i="13" s="1"/>
  <c r="U9" i="13" a="1"/>
  <c r="U9" i="13" s="1"/>
  <c r="S9" i="13" a="1"/>
  <c r="S9" i="13" s="1"/>
  <c r="V7" i="14" a="1"/>
  <c r="V7" i="14" s="1"/>
  <c r="U23" i="13" a="1"/>
  <c r="U23" i="13" s="1"/>
  <c r="V8" i="15" a="1"/>
  <c r="V8" i="15" s="1"/>
  <c r="V25" i="9" a="1"/>
  <c r="V25" i="9" s="1"/>
  <c r="V4" i="9" a="1"/>
  <c r="V4" i="9" s="1"/>
  <c r="V5" i="9" a="1"/>
  <c r="V5" i="9" s="1"/>
  <c r="V15" i="9" a="1"/>
  <c r="V15" i="9" s="1"/>
  <c r="V12" i="4" a="1"/>
  <c r="V12" i="4" s="1"/>
  <c r="V19" i="9" a="1"/>
  <c r="V19" i="9" s="1"/>
  <c r="V19" i="2" a="1"/>
  <c r="V19" i="2" s="1"/>
  <c r="V7" i="4" a="1"/>
  <c r="V7" i="4" s="1"/>
  <c r="V12" i="1" a="1"/>
  <c r="V12" i="1" s="1"/>
  <c r="V15" i="4" a="1"/>
  <c r="V15" i="4" s="1"/>
  <c r="V13" i="2" a="1"/>
  <c r="V13" i="2" s="1"/>
  <c r="V4" i="2" a="1"/>
  <c r="V4" i="2" s="1"/>
  <c r="V10" i="1" a="1"/>
  <c r="V10" i="1" s="1"/>
  <c r="U23" i="18" a="1"/>
  <c r="U23" i="18" s="1"/>
  <c r="S23" i="18" a="1"/>
  <c r="S23" i="18" s="1"/>
  <c r="V11" i="1" a="1"/>
  <c r="V11" i="1" s="1"/>
  <c r="U8" i="19" a="1"/>
  <c r="U8" i="19" s="1"/>
  <c r="S8" i="19" a="1"/>
  <c r="S8" i="19" s="1"/>
  <c r="V21" i="16" a="1"/>
  <c r="V21" i="16" s="1"/>
  <c r="U6" i="17" a="1"/>
  <c r="U6" i="17" s="1"/>
  <c r="S6" i="17" a="1"/>
  <c r="S6" i="17" s="1"/>
  <c r="V9" i="17" s="1" a="1"/>
  <c r="V9" i="17" s="1"/>
  <c r="U17" i="17" a="1"/>
  <c r="U17" i="17" s="1"/>
  <c r="V4" i="15" a="1"/>
  <c r="V4" i="15" s="1"/>
  <c r="V10" i="14" a="1"/>
  <c r="V10" i="14" s="1"/>
  <c r="U8" i="13" a="1"/>
  <c r="U8" i="13" s="1"/>
  <c r="V9" i="9" a="1"/>
  <c r="V9" i="9" s="1"/>
  <c r="V12" i="23" a="1"/>
  <c r="V12" i="23" s="1"/>
  <c r="S20" i="21" a="1"/>
  <c r="S20" i="21" s="1"/>
  <c r="S24" i="21" a="1"/>
  <c r="S24" i="21" s="1"/>
  <c r="U21" i="19" a="1"/>
  <c r="U21" i="19" s="1"/>
  <c r="V11" i="23" a="1"/>
  <c r="V11" i="23" s="1"/>
  <c r="S9" i="21" a="1"/>
  <c r="S9" i="21" s="1"/>
  <c r="S19" i="21" a="1"/>
  <c r="S19" i="21" s="1"/>
  <c r="V21" i="19" a="1"/>
  <c r="V21" i="19" s="1"/>
  <c r="S19" i="18" a="1"/>
  <c r="S19" i="18" s="1"/>
  <c r="U19" i="18" a="1"/>
  <c r="U19" i="18" s="1"/>
  <c r="U15" i="18" a="1"/>
  <c r="U15" i="18" s="1"/>
  <c r="S15" i="18" a="1"/>
  <c r="S15" i="18" s="1"/>
  <c r="U18" i="19" a="1"/>
  <c r="U18" i="19" s="1"/>
  <c r="U20" i="18" a="1"/>
  <c r="U20" i="18" s="1"/>
  <c r="S20" i="18" a="1"/>
  <c r="S20" i="18" s="1"/>
  <c r="V18" i="18" a="1"/>
  <c r="V18" i="18" s="1"/>
  <c r="V5" i="16" a="1"/>
  <c r="V5" i="16" s="1"/>
  <c r="U15" i="17" a="1"/>
  <c r="U15" i="17" s="1"/>
  <c r="V12" i="16" a="1"/>
  <c r="V12" i="16" s="1"/>
  <c r="U14" i="17" a="1"/>
  <c r="U14" i="17" s="1"/>
  <c r="S14" i="17" a="1"/>
  <c r="S14" i="17" s="1"/>
  <c r="U21" i="13" a="1"/>
  <c r="U21" i="13" s="1"/>
  <c r="V18" i="15" a="1"/>
  <c r="V18" i="15" s="1"/>
  <c r="V16" i="14" a="1"/>
  <c r="V16" i="14" s="1"/>
  <c r="V9" i="15" a="1"/>
  <c r="V9" i="15" s="1"/>
  <c r="V8" i="14" a="1"/>
  <c r="V8" i="14" s="1"/>
  <c r="U5" i="13" a="1"/>
  <c r="U5" i="13" s="1"/>
  <c r="V5" i="2" a="1"/>
  <c r="V5" i="2" s="1"/>
  <c r="V13" i="4" a="1"/>
  <c r="V13" i="4" s="1"/>
  <c r="V8" i="9" a="1"/>
  <c r="V8" i="9" s="1"/>
  <c r="V18" i="9" a="1"/>
  <c r="V18" i="9" s="1"/>
  <c r="V16" i="9" a="1"/>
  <c r="V16" i="9" s="1"/>
  <c r="V21" i="9" a="1"/>
  <c r="V21" i="9" s="1"/>
  <c r="V8" i="4" a="1"/>
  <c r="V8" i="4" s="1"/>
  <c r="V9" i="1" a="1"/>
  <c r="V9" i="1" s="1"/>
  <c r="V16" i="1" a="1"/>
  <c r="V16" i="1" s="1"/>
  <c r="V13" i="14" a="1"/>
  <c r="V13" i="14" s="1"/>
  <c r="U26" i="19" a="1"/>
  <c r="U26" i="19" s="1"/>
  <c r="U15" i="19" a="1"/>
  <c r="U15" i="19" s="1"/>
  <c r="S15" i="19" a="1"/>
  <c r="S15" i="19" s="1"/>
  <c r="U9" i="19" a="1"/>
  <c r="U9" i="19" s="1"/>
  <c r="S9" i="18" a="1"/>
  <c r="S9" i="18" s="1"/>
  <c r="U9" i="18" a="1"/>
  <c r="U9" i="18" s="1"/>
  <c r="S12" i="18" a="1"/>
  <c r="S12" i="18" s="1"/>
  <c r="U12" i="18" a="1"/>
  <c r="U12" i="18" s="1"/>
  <c r="U26" i="17" a="1"/>
  <c r="U26" i="17" s="1"/>
  <c r="V10" i="16" a="1"/>
  <c r="V10" i="16" s="1"/>
  <c r="V4" i="16" a="1"/>
  <c r="V4" i="16" s="1"/>
  <c r="V11" i="16" a="1"/>
  <c r="V11" i="16" s="1"/>
  <c r="U12" i="17" a="1"/>
  <c r="U12" i="17" s="1"/>
  <c r="S20" i="13" a="1"/>
  <c r="S20" i="13" s="1"/>
  <c r="U20" i="13" a="1"/>
  <c r="U20" i="13" s="1"/>
  <c r="V23" i="16" a="1"/>
  <c r="V23" i="16" s="1"/>
  <c r="S22" i="21" a="1"/>
  <c r="S22" i="21" s="1"/>
  <c r="U22" i="13" a="1"/>
  <c r="U22" i="13" s="1"/>
  <c r="V5" i="13" a="1"/>
  <c r="V5" i="13" s="1"/>
  <c r="V22" i="9" a="1"/>
  <c r="V22" i="9" s="1"/>
  <c r="V20" i="14" a="1"/>
  <c r="V20" i="14" s="1"/>
  <c r="V22" i="2" a="1"/>
  <c r="V22" i="2" s="1"/>
  <c r="V6" i="4" a="1"/>
  <c r="V6" i="4" s="1"/>
  <c r="V9" i="4" a="1"/>
  <c r="V9" i="4" s="1"/>
  <c r="V24" i="2" a="1"/>
  <c r="V24" i="2" s="1"/>
  <c r="V16" i="2" a="1"/>
  <c r="V16" i="2" s="1"/>
  <c r="V24" i="4" a="1"/>
  <c r="V24" i="4" s="1"/>
  <c r="V10" i="2" a="1"/>
  <c r="V10" i="2" s="1"/>
  <c r="V17" i="9" a="1"/>
  <c r="V17" i="9" s="1"/>
  <c r="V8" i="1" a="1"/>
  <c r="V8" i="1" s="1"/>
  <c r="V20" i="13" l="1" a="1"/>
  <c r="V20" i="13" s="1"/>
  <c r="V9" i="19" a="1"/>
  <c r="V9" i="19" s="1"/>
  <c r="V16" i="13" a="1"/>
  <c r="V16" i="13" s="1"/>
  <c r="V17" i="17" a="1"/>
  <c r="V17" i="17" s="1"/>
  <c r="V9" i="18" a="1"/>
  <c r="V9" i="18" s="1"/>
  <c r="V22" i="19" a="1"/>
  <c r="V22" i="19" s="1"/>
  <c r="V17" i="13" a="1"/>
  <c r="V17" i="13" s="1"/>
  <c r="V25" i="19" a="1"/>
  <c r="V25" i="19" s="1"/>
  <c r="V15" i="13" a="1"/>
  <c r="V15" i="13" s="1"/>
  <c r="V26" i="18" a="1"/>
  <c r="V26" i="18" s="1"/>
  <c r="V8" i="13" a="1"/>
  <c r="V8" i="13" s="1"/>
  <c r="V19" i="13" a="1"/>
  <c r="V19" i="13" s="1"/>
  <c r="V11" i="19" a="1"/>
  <c r="V11" i="19" s="1"/>
  <c r="V12" i="13" a="1"/>
  <c r="V12" i="13" s="1"/>
  <c r="V13" i="17" a="1"/>
  <c r="V13" i="17" s="1"/>
  <c r="V4" i="13" a="1"/>
  <c r="V4" i="13" s="1"/>
  <c r="V21" i="13" a="1"/>
  <c r="V21" i="13" s="1"/>
  <c r="V14" i="19" a="1"/>
  <c r="V14" i="19" s="1"/>
  <c r="V22" i="13" a="1"/>
  <c r="V22" i="13" s="1"/>
  <c r="V8" i="19" a="1"/>
  <c r="V8" i="19" s="1"/>
  <c r="V15" i="19" a="1"/>
  <c r="V15" i="19" s="1"/>
  <c r="V6" i="17" a="1"/>
  <c r="V6" i="17" s="1"/>
  <c r="V23" i="19" a="1"/>
  <c r="V23" i="19" s="1"/>
  <c r="V24" i="18" a="1"/>
  <c r="V24" i="18" s="1"/>
  <c r="V19" i="17" a="1"/>
  <c r="V19" i="17" s="1"/>
  <c r="V6" i="19" a="1"/>
  <c r="V6" i="19" s="1"/>
  <c r="V11" i="17" a="1"/>
  <c r="V11" i="17" s="1"/>
  <c r="V6" i="13" a="1"/>
  <c r="V6" i="13" s="1"/>
  <c r="V14" i="13" a="1"/>
  <c r="V14" i="13" s="1"/>
  <c r="V12" i="18" a="1"/>
  <c r="V12" i="18" s="1"/>
  <c r="V20" i="18" a="1"/>
  <c r="V20" i="18" s="1"/>
  <c r="V16" i="17" a="1"/>
  <c r="V16" i="17" s="1"/>
  <c r="V7" i="13" a="1"/>
  <c r="V7" i="13" s="1"/>
  <c r="V4" i="18" a="1"/>
  <c r="V4" i="18" s="1"/>
  <c r="V10" i="18" a="1"/>
  <c r="V10" i="18" s="1"/>
  <c r="V15" i="18" a="1"/>
  <c r="V15" i="18" s="1"/>
  <c r="V13" i="13" a="1"/>
  <c r="V13" i="13" s="1"/>
  <c r="V17" i="18" a="1"/>
  <c r="V17" i="18" s="1"/>
  <c r="V21" i="17" a="1"/>
  <c r="V21" i="17" s="1"/>
  <c r="V12" i="17" a="1"/>
  <c r="V12" i="17" s="1"/>
  <c r="V16" i="18" a="1"/>
  <c r="V16" i="18" s="1"/>
  <c r="V4" i="19" a="1"/>
  <c r="V4" i="19" s="1"/>
  <c r="V20" i="19" a="1"/>
  <c r="V20" i="19" s="1"/>
  <c r="V13" i="19" a="1"/>
  <c r="V13" i="19" s="1"/>
  <c r="V26" i="19" a="1"/>
  <c r="V26" i="19" s="1"/>
  <c r="V14" i="17" a="1"/>
  <c r="V14" i="17" s="1"/>
  <c r="V12" i="19" a="1"/>
  <c r="V12" i="19" s="1"/>
  <c r="V19" i="19" a="1"/>
  <c r="V19" i="19" s="1"/>
  <c r="V5" i="18" a="1"/>
  <c r="V5" i="18" s="1"/>
  <c r="V9" i="13" a="1"/>
  <c r="V9" i="13" s="1"/>
  <c r="V18" i="13" a="1"/>
  <c r="V18" i="13" s="1"/>
  <c r="V23" i="13" a="1"/>
  <c r="V23" i="13" s="1"/>
  <c r="V15" i="17" a="1"/>
  <c r="V15" i="17" s="1"/>
  <c r="V24" i="19" a="1"/>
  <c r="V24" i="19" s="1"/>
  <c r="V19" i="18" a="1"/>
  <c r="V19" i="18" s="1"/>
  <c r="V24" i="17" a="1"/>
  <c r="V24" i="17" s="1"/>
  <c r="V23" i="18" a="1"/>
  <c r="V23" i="18" s="1"/>
  <c r="V13" i="18" a="1"/>
  <c r="V13" i="18" s="1"/>
  <c r="V8" i="18" a="1"/>
  <c r="V8" i="18" s="1"/>
  <c r="V21" i="18" a="1"/>
  <c r="V21" i="18" s="1"/>
  <c r="V26" i="17" a="1"/>
  <c r="V26" i="17" s="1"/>
  <c r="V4" i="17" a="1"/>
  <c r="V4" i="1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<sst xmlns="http://schemas.openxmlformats.org/spreadsheetml/2006/main" count="2107" uniqueCount="240">
  <si>
    <t>◎ 라스칼 통산 성적 (~'23 Season)</t>
  </si>
  <si>
    <t>1. 타자 기록</t>
  </si>
  <si>
    <t>이름</t>
  </si>
  <si>
    <t>게임수</t>
  </si>
  <si>
    <t>타율</t>
  </si>
  <si>
    <t>타석</t>
  </si>
  <si>
    <t>타수</t>
  </si>
  <si>
    <t>안타</t>
  </si>
  <si>
    <t>1루타</t>
  </si>
  <si>
    <t>2루타</t>
  </si>
  <si>
    <t>3루타</t>
  </si>
  <si>
    <t>홈런</t>
  </si>
  <si>
    <t>득점</t>
  </si>
  <si>
    <t>타점</t>
  </si>
  <si>
    <t>도루</t>
  </si>
  <si>
    <t>사사구</t>
  </si>
  <si>
    <t>삼진</t>
  </si>
  <si>
    <t>삼진률</t>
  </si>
  <si>
    <t>장타율</t>
  </si>
  <si>
    <t>출루율</t>
  </si>
  <si>
    <t>OPS</t>
  </si>
  <si>
    <t>아웃 比
삼진률</t>
  </si>
  <si>
    <t>출루율 등수</t>
  </si>
  <si>
    <t>OPS
등수</t>
  </si>
  <si>
    <t>권강현</t>
  </si>
  <si>
    <t>권혁진</t>
  </si>
  <si>
    <t>김기태</t>
  </si>
  <si>
    <t>김민석</t>
  </si>
  <si>
    <t>김범희</t>
  </si>
  <si>
    <t>김병진</t>
  </si>
  <si>
    <t>김재영</t>
  </si>
  <si>
    <t>김태양</t>
  </si>
  <si>
    <t>김현철</t>
  </si>
  <si>
    <t>김형준</t>
  </si>
  <si>
    <t>김희제</t>
  </si>
  <si>
    <t>남동수</t>
  </si>
  <si>
    <t>류동현</t>
  </si>
  <si>
    <t>박영준</t>
  </si>
  <si>
    <t>박재현</t>
  </si>
  <si>
    <t>백정철</t>
  </si>
  <si>
    <t>이동진</t>
  </si>
  <si>
    <t>이철민</t>
  </si>
  <si>
    <t>임지헌</t>
  </si>
  <si>
    <t>조태형</t>
  </si>
  <si>
    <t>차현철</t>
  </si>
  <si>
    <t>총합</t>
  </si>
  <si>
    <t>2. 투수 기록</t>
  </si>
  <si>
    <t>승</t>
  </si>
  <si>
    <t>패</t>
  </si>
  <si>
    <t>세</t>
  </si>
  <si>
    <t>타자</t>
  </si>
  <si>
    <t>이닝</t>
  </si>
  <si>
    <t>피안타</t>
  </si>
  <si>
    <t>피홈런</t>
  </si>
  <si>
    <t>볼넷</t>
  </si>
  <si>
    <t>사구</t>
  </si>
  <si>
    <t>탈삼진</t>
  </si>
  <si>
    <t>실점</t>
  </si>
  <si>
    <t>자책점</t>
  </si>
  <si>
    <t>방어율</t>
  </si>
  <si>
    <t>제구</t>
  </si>
  <si>
    <t>피안타율</t>
  </si>
  <si>
    <t>경기/이닝</t>
  </si>
  <si>
    <t>이닝/K</t>
  </si>
  <si>
    <t>수비성공률</t>
  </si>
  <si>
    <t>WHIP</t>
  </si>
  <si>
    <t>-</t>
  </si>
  <si>
    <t>◎ 라스칼 통산 성적 (~'25 Season)</t>
  </si>
  <si>
    <t>전년 대비</t>
  </si>
  <si>
    <t>김상훈</t>
  </si>
  <si>
    <t>윤태규</t>
  </si>
  <si>
    <t>주혁진</t>
  </si>
  <si>
    <t>이닝당
사사구</t>
  </si>
  <si>
    <t>이닝 당
사사구</t>
  </si>
  <si>
    <t>이닝 당
삼진</t>
  </si>
  <si>
    <t>구분</t>
  </si>
  <si>
    <t>22년</t>
  </si>
  <si>
    <t>23년</t>
  </si>
  <si>
    <t>24년</t>
  </si>
  <si>
    <t>통산</t>
  </si>
  <si>
    <t>◎ 라스칼 통산 성적</t>
  </si>
  <si>
    <t>1. 리그별 타율</t>
  </si>
  <si>
    <t>25년</t>
  </si>
  <si>
    <t>上샘프</t>
  </si>
  <si>
    <t>下드림즈</t>
  </si>
  <si>
    <t>上코모도</t>
  </si>
  <si>
    <t>上디비전</t>
  </si>
  <si>
    <t>下서구</t>
  </si>
  <si>
    <t>下코모도</t>
  </si>
  <si>
    <t>上코모도
(6부-B)</t>
  </si>
  <si>
    <t>下코모도
(6부C+A)</t>
  </si>
  <si>
    <t>上코모도
(6부-BB)</t>
  </si>
  <si>
    <t>디비전</t>
  </si>
  <si>
    <t>규정 타석 미달</t>
  </si>
  <si>
    <t>타율 0.300 미만</t>
  </si>
  <si>
    <t>타율 0.500 미만</t>
  </si>
  <si>
    <t>타율 0.500 이상</t>
  </si>
  <si>
    <t>타율 0.700 이상</t>
  </si>
  <si>
    <t>◎ 22년 상반기 샘프리그</t>
  </si>
  <si>
    <t>◎ 22년 하반기 드림즈리그</t>
  </si>
  <si>
    <t>◎ 23년 상반기 코모도리그</t>
  </si>
  <si>
    <t>선수명</t>
  </si>
  <si>
    <t>경기</t>
  </si>
  <si>
    <t>BB</t>
  </si>
  <si>
    <t>HP</t>
  </si>
  <si>
    <t>자책</t>
  </si>
  <si>
    <t>◎ 23년 상반기 디비전리그</t>
  </si>
  <si>
    <t>세이브</t>
  </si>
  <si>
    <t>◎ '25시즌 Rascal 성적</t>
  </si>
  <si>
    <t>삼진율</t>
  </si>
  <si>
    <t>아웃 比
삼진율</t>
  </si>
  <si>
    <t>타율
등수</t>
  </si>
  <si>
    <t>4구</t>
  </si>
  <si>
    <t>타격방해</t>
  </si>
  <si>
    <t>실책</t>
  </si>
  <si>
    <t>Fine Play</t>
  </si>
  <si>
    <t>경기당
평균 이닝</t>
  </si>
  <si>
    <t>사사구
/100타자</t>
  </si>
  <si>
    <t>폭투</t>
  </si>
  <si>
    <t>보크</t>
  </si>
  <si>
    <t>`</t>
  </si>
  <si>
    <t>표 1</t>
  </si>
  <si>
    <t>타자수</t>
  </si>
  <si>
    <t>탈삼진수</t>
  </si>
  <si>
    <t>피안타수</t>
  </si>
  <si>
    <t>등번호</t>
  </si>
  <si>
    <t>영어 이름</t>
  </si>
  <si>
    <t>어워즈</t>
  </si>
  <si>
    <t>리그 참여</t>
  </si>
  <si>
    <t>리그 타이틀</t>
  </si>
  <si>
    <t>생년월일</t>
  </si>
  <si>
    <t>투구</t>
  </si>
  <si>
    <t>타격</t>
  </si>
  <si>
    <t>KWON KANG HYUN</t>
  </si>
  <si>
    <t>개인 통산 최초 100안타\n개인 통산 최초 100득점\n개인 통산 최초 100도루\n25년 코모도 상반기 타율왕\n25년 코모도 상반기 안타왕\n25년 코모도 상반기 득점왕</t>
  </si>
  <si>
    <t>KWON HUCK JIN</t>
  </si>
  <si>
    <t>KIM KI TAE</t>
  </si>
  <si>
    <t>KIM MIN SEOK</t>
  </si>
  <si>
    <t>KIM BEOM HUI</t>
  </si>
  <si>
    <t>25년 코모도 상반기 출루율왕</t>
  </si>
  <si>
    <t>KIM BYEONG JIN</t>
  </si>
  <si>
    <t>24년 코모도 하반기 방어율왕</t>
  </si>
  <si>
    <t>KIM JEA YOUNG</t>
  </si>
  <si>
    <t>MVP</t>
  </si>
  <si>
    <t>KIM TAE YANG</t>
  </si>
  <si>
    <t>KIM HYUN CHEOL</t>
  </si>
  <si>
    <t>KIM HYUNG JUN</t>
  </si>
  <si>
    <t>25년 코모도 상반기 방어율왕</t>
  </si>
  <si>
    <t>NAM DONG SOO</t>
  </si>
  <si>
    <t>RYU DONG HYUN</t>
  </si>
  <si>
    <t>PARK YOUNG JUN</t>
  </si>
  <si>
    <t>PARK JAE HYUN</t>
  </si>
  <si>
    <t>BAEK JEONG CHEOL</t>
  </si>
  <si>
    <t>LEE DONG JIN</t>
  </si>
  <si>
    <t>LEE CHEOL MIN</t>
  </si>
  <si>
    <t>LIM JI HEON</t>
  </si>
  <si>
    <t>CHO TAE HYEONG</t>
  </si>
  <si>
    <t>CHA HYUN CHUL</t>
  </si>
  <si>
    <t>◎ 23년 하반기 서구 리그 ('24)</t>
  </si>
  <si>
    <t>◎ 23년 하반기 코모도리그 ('24)</t>
  </si>
  <si>
    <t>◎ 24년 상반기 코모도리그 ('24)</t>
  </si>
  <si>
    <t>◎ 24년 상반기 디비전리그 ('24)</t>
  </si>
  <si>
    <t>◎ 24년 하반기 디비전리그 6부-A ('25)</t>
  </si>
  <si>
    <t>수비
성공률</t>
  </si>
  <si>
    <t>◎ 24년 하반기 디비전리그 6부-C ('25)</t>
  </si>
  <si>
    <t xml:space="preserve"> </t>
  </si>
  <si>
    <t>◎ 25년 상반기 코모도리그 6부-BB ('25)</t>
  </si>
  <si>
    <t>주루사</t>
  </si>
  <si>
    <t>◎ 25년 하반기 디비전리그 ('26)</t>
  </si>
  <si>
    <t>◎ '22시즌 Rascal 성적</t>
  </si>
  <si>
    <t>◎ '23시즌 Rascal 성적</t>
  </si>
  <si>
    <t>◎ '24시즌 Rascal 성적</t>
  </si>
  <si>
    <t>◎ 라스칼 통산 성적 (~'24 Season)</t>
  </si>
  <si>
    <t>포지션</t>
  </si>
  <si>
    <t>중견수/투수</t>
  </si>
  <si>
    <t>1루수/포수</t>
  </si>
  <si>
    <t>포수/</t>
  </si>
  <si>
    <t>우익수/</t>
  </si>
  <si>
    <t>유격수/투수</t>
  </si>
  <si>
    <t>1루수/</t>
  </si>
  <si>
    <t>중견수/유격수</t>
  </si>
  <si>
    <t>3루수/2루수</t>
  </si>
  <si>
    <t>경우1.</t>
  </si>
  <si>
    <t>경우4</t>
  </si>
  <si>
    <t>투수/1루수</t>
  </si>
  <si>
    <t>타순</t>
  </si>
  <si>
    <t>청팀</t>
  </si>
  <si>
    <t>백팀</t>
  </si>
  <si>
    <t>유격수/중견수</t>
  </si>
  <si>
    <t>3루수/</t>
  </si>
  <si>
    <t>CF</t>
  </si>
  <si>
    <t>SS</t>
  </si>
  <si>
    <t>좌익수/1루수</t>
  </si>
  <si>
    <t>RF</t>
  </si>
  <si>
    <t>2B</t>
  </si>
  <si>
    <t>LF</t>
  </si>
  <si>
    <t>P</t>
  </si>
  <si>
    <t>C</t>
  </si>
  <si>
    <t>3B</t>
  </si>
  <si>
    <t>좌익수/투수</t>
  </si>
  <si>
    <t>투수/3루수</t>
  </si>
  <si>
    <t>2루수/유격수</t>
  </si>
  <si>
    <t>1B</t>
  </si>
  <si>
    <t>경우2</t>
  </si>
  <si>
    <t>경우3</t>
  </si>
  <si>
    <t>타율</t>
    <phoneticPr fontId="21" type="noConversion"/>
  </si>
  <si>
    <t>득점</t>
    <phoneticPr fontId="21" type="noConversion"/>
  </si>
  <si>
    <t>타점</t>
    <phoneticPr fontId="21" type="noConversion"/>
  </si>
  <si>
    <t>OPS</t>
    <phoneticPr fontId="21" type="noConversion"/>
  </si>
  <si>
    <t>도루</t>
    <phoneticPr fontId="21" type="noConversion"/>
  </si>
  <si>
    <t>우투</t>
    <phoneticPr fontId="21" type="noConversion"/>
  </si>
  <si>
    <t>좌투</t>
    <phoneticPr fontId="21" type="noConversion"/>
  </si>
  <si>
    <t>우타</t>
    <phoneticPr fontId="21" type="noConversion"/>
  </si>
  <si>
    <t>좌타</t>
    <phoneticPr fontId="21" type="noConversion"/>
  </si>
  <si>
    <t>양타</t>
    <phoneticPr fontId="21" type="noConversion"/>
  </si>
  <si>
    <t>탈삼진</t>
    <phoneticPr fontId="21" type="noConversion"/>
  </si>
  <si>
    <t>제구</t>
    <phoneticPr fontId="21" type="noConversion"/>
  </si>
  <si>
    <t>Golden Glove</t>
    <phoneticPr fontId="21" type="noConversion"/>
  </si>
  <si>
    <t>타석수</t>
    <phoneticPr fontId="21" type="noConversion"/>
  </si>
  <si>
    <t>타율수</t>
    <phoneticPr fontId="21" type="noConversion"/>
  </si>
  <si>
    <t>득점수</t>
    <phoneticPr fontId="21" type="noConversion"/>
  </si>
  <si>
    <t>타점수</t>
    <phoneticPr fontId="21" type="noConversion"/>
  </si>
  <si>
    <t>도루수</t>
    <phoneticPr fontId="21" type="noConversion"/>
  </si>
  <si>
    <t>OPS수</t>
    <phoneticPr fontId="21" type="noConversion"/>
  </si>
  <si>
    <t>이닝수</t>
    <phoneticPr fontId="21" type="noConversion"/>
  </si>
  <si>
    <t>방어율수</t>
    <phoneticPr fontId="21" type="noConversion"/>
  </si>
  <si>
    <t>피안타율수</t>
    <phoneticPr fontId="21" type="noConversion"/>
  </si>
  <si>
    <t>이닝당 사사구수</t>
    <phoneticPr fontId="21" type="noConversion"/>
  </si>
  <si>
    <t>WHIP수</t>
    <phoneticPr fontId="21" type="noConversion"/>
  </si>
  <si>
    <t>JU HYUK JIN</t>
    <phoneticPr fontId="21" type="noConversion"/>
  </si>
  <si>
    <t>YOON TAE GYU</t>
    <phoneticPr fontId="21" type="noConversion"/>
  </si>
  <si>
    <t>KIM SANG HOON</t>
    <phoneticPr fontId="21" type="noConversion"/>
  </si>
  <si>
    <t>Value Create</t>
    <phoneticPr fontId="21" type="noConversion"/>
  </si>
  <si>
    <t>타수수</t>
    <phoneticPr fontId="21" type="noConversion"/>
  </si>
  <si>
    <t>안타수</t>
  </si>
  <si>
    <t>아웃수</t>
  </si>
  <si>
    <t>삼진수</t>
  </si>
  <si>
    <t>볼넷수</t>
  </si>
  <si>
    <t>타석수</t>
  </si>
  <si>
    <t>사사구수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</si>
</sst>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76" formatCode="0.000"/>
    <numFmt numFmtId="177" formatCode="0.0"/>
    <numFmt numFmtId="178" formatCode="0.00&quot; &quot;"/>
    <numFmt numFmtId="179" formatCode="0.0%"/>
    <numFmt numFmtId="180" formatCode="&quot;+&quot;#,##0.000;&quot;-&quot;#,##0.000"/>
    <numFmt numFmtId="181" formatCode="&quot;+&quot;0.0%;&quot;-&quot;0.0%"/>
    <numFmt numFmtId="182" formatCode="&quot;+&quot;#,##0.0;&quot;-&quot;#,##0.0"/>
    <numFmt numFmtId="183" formatCode="&quot;+&quot;#,##0.00;&quot;-&quot;#,##0.00"/>
    <numFmt numFmtId="184" formatCode="&quot;+&quot;0.00"/>
    <numFmt numFmtId="185" formatCode="&quot;+&quot;0.0"/>
    <numFmt numFmtId="186" formatCode="0&quot; &quot;;\(0\)"/>
    <numFmt numFmtId="187" formatCode="0.000&quot; &quot;"/>
  </numFmts>
  <fonts count="22">
    <font>
      <sz val="11"/>
      <color indexed="8"/>
      <name val="맑은 고딕"/>
    </font>
    <font>
      <sz val="15"/>
      <color indexed="8"/>
      <name val="Calibri"/>
      <family val="2"/>
    </font>
    <font>
      <b/>
      <sz val="16"/>
      <color indexed="8"/>
      <name val="맑은 고딕"/>
      <family val="3"/>
      <charset val="129"/>
    </font>
    <font>
      <b/>
      <sz val="12"/>
      <color indexed="8"/>
      <name val="맑은 고딕"/>
      <family val="3"/>
      <charset val="129"/>
    </font>
    <font>
      <sz val="12"/>
      <color indexed="8"/>
      <name val="맑은 고딕"/>
      <family val="3"/>
      <charset val="129"/>
    </font>
    <font>
      <b/>
      <sz val="12"/>
      <color indexed="13"/>
      <name val="맑은 고딕"/>
      <family val="3"/>
      <charset val="129"/>
    </font>
    <font>
      <b/>
      <sz val="12"/>
      <color indexed="10"/>
      <name val="맑은 고딕"/>
      <family val="3"/>
      <charset val="129"/>
    </font>
    <font>
      <b/>
      <sz val="14"/>
      <color indexed="8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b/>
      <sz val="11"/>
      <color indexed="10"/>
      <name val="맑은 고딕"/>
      <family val="3"/>
      <charset val="129"/>
    </font>
    <font>
      <sz val="11"/>
      <color indexed="22"/>
      <name val="맑은 고딕"/>
      <family val="3"/>
      <charset val="129"/>
    </font>
    <font>
      <sz val="11"/>
      <color indexed="27"/>
      <name val="맑은 고딕"/>
      <family val="3"/>
      <charset val="129"/>
    </font>
    <font>
      <sz val="11"/>
      <color indexed="30"/>
      <name val="맑은 고딕"/>
      <family val="3"/>
      <charset val="129"/>
    </font>
    <font>
      <b/>
      <sz val="12"/>
      <color indexed="8"/>
      <name val="Malgun Gothic"/>
      <family val="3"/>
      <charset val="129"/>
    </font>
    <font>
      <b/>
      <sz val="10"/>
      <color indexed="8"/>
      <name val="Malgun Gothic"/>
      <family val="3"/>
      <charset val="129"/>
    </font>
    <font>
      <sz val="10"/>
      <color indexed="8"/>
      <name val="Malgun Gothic"/>
      <family val="3"/>
      <charset val="129"/>
    </font>
    <font>
      <sz val="10"/>
      <color indexed="8"/>
      <name val="Calibri"/>
      <family val="2"/>
    </font>
    <font>
      <sz val="10"/>
      <color indexed="8"/>
      <name val="맑은 고딕"/>
      <family val="3"/>
      <charset val="129"/>
    </font>
    <font>
      <sz val="10"/>
      <color indexed="8"/>
      <name val="Times New Roman"/>
      <family val="1"/>
    </font>
    <font>
      <sz val="11"/>
      <color indexed="10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8"/>
      <name val="돋움"/>
      <family val="3"/>
      <charset val="129"/>
    </font>
  </fonts>
  <fills count="25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24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25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6"/>
        <bgColor auto="1"/>
      </patternFill>
    </fill>
    <fill>
      <patternFill patternType="solid">
        <fgColor indexed="29"/>
        <bgColor auto="1"/>
      </patternFill>
    </fill>
    <fill>
      <patternFill patternType="solid">
        <fgColor indexed="31"/>
        <bgColor auto="1"/>
      </patternFill>
    </fill>
    <fill>
      <patternFill patternType="solid">
        <fgColor indexed="32"/>
        <bgColor auto="1"/>
      </patternFill>
    </fill>
    <fill>
      <patternFill patternType="solid">
        <fgColor indexed="33"/>
        <bgColor auto="1"/>
      </patternFill>
    </fill>
    <fill>
      <patternFill patternType="solid">
        <fgColor indexed="34"/>
        <bgColor auto="1"/>
      </patternFill>
    </fill>
    <fill>
      <patternFill patternType="solid">
        <fgColor indexed="35"/>
        <bgColor auto="1"/>
      </patternFill>
    </fill>
    <fill>
      <patternFill patternType="solid">
        <fgColor indexed="37"/>
        <bgColor auto="1"/>
      </patternFill>
    </fill>
    <fill>
      <patternFill patternType="solid">
        <fgColor indexed="38"/>
        <bgColor auto="1"/>
      </patternFill>
    </fill>
    <fill>
      <patternFill patternType="solid">
        <fgColor rgb="FFFFFF00"/>
        <bgColor indexed="64"/>
      </patternFill>
    </fill>
  </fills>
  <borders count="52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9"/>
      </top>
      <bottom style="thin">
        <color indexed="9"/>
      </bottom>
      <diagonal/>
    </border>
    <border>
      <left/>
      <right/>
      <top/>
      <bottom/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hair">
        <color indexed="8"/>
      </right>
      <top style="medium">
        <color indexed="8"/>
      </top>
      <bottom style="medium">
        <color indexed="8"/>
      </bottom>
      <diagonal/>
    </border>
    <border>
      <left style="hair">
        <color indexed="8"/>
      </left>
      <right style="hair">
        <color indexed="8"/>
      </right>
      <top style="medium">
        <color indexed="8"/>
      </top>
      <bottom style="medium">
        <color indexed="8"/>
      </bottom>
      <diagonal/>
    </border>
    <border>
      <left style="hair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9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8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/>
      <right/>
      <top style="thin">
        <color indexed="9"/>
      </top>
      <bottom/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9"/>
      </right>
      <top/>
      <bottom style="thin">
        <color indexed="8"/>
      </bottom>
      <diagonal/>
    </border>
    <border>
      <left/>
      <right style="thin">
        <color indexed="9"/>
      </right>
      <top style="thin">
        <color indexed="8"/>
      </top>
      <bottom/>
      <diagonal/>
    </border>
    <border>
      <left/>
      <right style="thin">
        <color indexed="9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9"/>
      </left>
      <right/>
      <top/>
      <bottom/>
      <diagonal/>
    </border>
    <border>
      <left style="thin">
        <color indexed="9"/>
      </left>
      <right/>
      <top/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36"/>
      </left>
      <right style="thin">
        <color indexed="8"/>
      </right>
      <top style="thin">
        <color indexed="36"/>
      </top>
      <bottom style="thin">
        <color indexed="8"/>
      </bottom>
      <diagonal/>
    </border>
    <border>
      <left style="thin">
        <color indexed="8"/>
      </left>
      <right style="thin">
        <color indexed="36"/>
      </right>
      <top style="thin">
        <color indexed="8"/>
      </top>
      <bottom style="thin">
        <color indexed="36"/>
      </bottom>
      <diagonal/>
    </border>
    <border>
      <left style="thin">
        <color indexed="36"/>
      </left>
      <right style="thin">
        <color indexed="36"/>
      </right>
      <top style="thin">
        <color indexed="8"/>
      </top>
      <bottom style="thin">
        <color indexed="36"/>
      </bottom>
      <diagonal/>
    </border>
    <border>
      <left style="thin">
        <color indexed="36"/>
      </left>
      <right style="thin">
        <color indexed="36"/>
      </right>
      <top style="thin">
        <color indexed="36"/>
      </top>
      <bottom style="thin">
        <color indexed="36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/>
      <right style="thin">
        <color indexed="8"/>
      </right>
      <top/>
      <bottom/>
      <diagonal/>
    </border>
    <border>
      <left/>
      <right style="thin">
        <color indexed="8"/>
      </right>
      <top/>
      <bottom style="thin">
        <color indexed="9"/>
      </bottom>
      <diagonal/>
    </border>
    <border>
      <left style="thin">
        <color indexed="8"/>
      </left>
      <right/>
      <top/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36"/>
      </left>
      <right/>
      <top style="thin">
        <color indexed="8"/>
      </top>
      <bottom style="thin">
        <color indexed="36"/>
      </bottom>
      <diagonal/>
    </border>
  </borders>
  <cellStyleXfs count="1">
    <xf numFmtId="0" fontId="0" fillId="0" borderId="0" applyNumberFormat="0" applyFill="0" applyBorder="0" applyProtection="0">
      <alignment vertical="center"/>
    </xf>
  </cellStyleXfs>
  <cellXfs count="261">
    <xf numFmtId="0" fontId="0" fillId="0" borderId="0" xfId="0">
      <alignment vertical="center"/>
    </xf>
    <xf numFmtId="0" fontId="0" fillId="0" borderId="0" xfId="0" applyNumberFormat="1">
      <alignment vertical="center"/>
    </xf>
    <xf numFmtId="49" fontId="2" fillId="0" borderId="1" xfId="0" applyNumberFormat="1" applyFont="1" applyBorder="1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49" fontId="3" fillId="0" borderId="2" xfId="0" applyNumberFormat="1" applyFont="1" applyBorder="1">
      <alignment vertical="center"/>
    </xf>
    <xf numFmtId="0" fontId="0" fillId="0" borderId="2" xfId="0" applyBorder="1">
      <alignment vertical="center"/>
    </xf>
    <xf numFmtId="0" fontId="0" fillId="2" borderId="2" xfId="0" applyFill="1" applyBorder="1">
      <alignment vertical="center"/>
    </xf>
    <xf numFmtId="49" fontId="3" fillId="3" borderId="3" xfId="0" applyNumberFormat="1" applyFont="1" applyFill="1" applyBorder="1" applyAlignment="1">
      <alignment horizontal="center" vertical="center" wrapText="1"/>
    </xf>
    <xf numFmtId="0" fontId="0" fillId="0" borderId="4" xfId="0" applyBorder="1">
      <alignment vertical="center"/>
    </xf>
    <xf numFmtId="0" fontId="4" fillId="2" borderId="3" xfId="0" applyNumberFormat="1" applyFont="1" applyFill="1" applyBorder="1" applyAlignment="1">
      <alignment horizontal="center" vertical="center" wrapText="1"/>
    </xf>
    <xf numFmtId="176" fontId="4" fillId="4" borderId="3" xfId="0" applyNumberFormat="1" applyFont="1" applyFill="1" applyBorder="1" applyAlignment="1">
      <alignment horizontal="center" vertical="center" wrapText="1"/>
    </xf>
    <xf numFmtId="9" fontId="5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176" fontId="4" fillId="0" borderId="3" xfId="0" applyNumberFormat="1" applyFont="1" applyBorder="1" applyAlignment="1">
      <alignment horizontal="center" vertical="center"/>
    </xf>
    <xf numFmtId="176" fontId="3" fillId="5" borderId="3" xfId="0" applyNumberFormat="1" applyFont="1" applyFill="1" applyBorder="1" applyAlignment="1">
      <alignment horizontal="center" vertical="center" wrapText="1"/>
    </xf>
    <xf numFmtId="9" fontId="5" fillId="6" borderId="3" xfId="0" applyNumberFormat="1" applyFont="1" applyFill="1" applyBorder="1" applyAlignment="1">
      <alignment horizontal="center" vertical="center"/>
    </xf>
    <xf numFmtId="0" fontId="4" fillId="0" borderId="3" xfId="0" applyNumberFormat="1" applyFont="1" applyBorder="1" applyAlignment="1">
      <alignment horizontal="center" vertical="center"/>
    </xf>
    <xf numFmtId="0" fontId="3" fillId="5" borderId="3" xfId="0" applyNumberFormat="1" applyFont="1" applyFill="1" applyBorder="1" applyAlignment="1">
      <alignment horizontal="center" vertical="center"/>
    </xf>
    <xf numFmtId="9" fontId="3" fillId="2" borderId="3" xfId="0" applyNumberFormat="1" applyFont="1" applyFill="1" applyBorder="1" applyAlignment="1">
      <alignment horizontal="center" vertical="center" wrapText="1"/>
    </xf>
    <xf numFmtId="9" fontId="5" fillId="7" borderId="3" xfId="0" applyNumberFormat="1" applyFont="1" applyFill="1" applyBorder="1" applyAlignment="1">
      <alignment horizontal="center" vertical="center"/>
    </xf>
    <xf numFmtId="9" fontId="3" fillId="7" borderId="3" xfId="0" applyNumberFormat="1" applyFont="1" applyFill="1" applyBorder="1" applyAlignment="1">
      <alignment horizontal="center" vertical="center"/>
    </xf>
    <xf numFmtId="9" fontId="6" fillId="6" borderId="3" xfId="0" applyNumberFormat="1" applyFont="1" applyFill="1" applyBorder="1" applyAlignment="1">
      <alignment horizontal="center" vertical="center"/>
    </xf>
    <xf numFmtId="9" fontId="3" fillId="7" borderId="5" xfId="0" applyNumberFormat="1" applyFont="1" applyFill="1" applyBorder="1" applyAlignment="1">
      <alignment horizontal="center" vertical="center"/>
    </xf>
    <xf numFmtId="9" fontId="5" fillId="7" borderId="6" xfId="0" applyNumberFormat="1" applyFont="1" applyFill="1" applyBorder="1" applyAlignment="1">
      <alignment horizontal="center" vertical="center"/>
    </xf>
    <xf numFmtId="9" fontId="5" fillId="7" borderId="5" xfId="0" applyNumberFormat="1" applyFont="1" applyFill="1" applyBorder="1" applyAlignment="1">
      <alignment horizontal="center" vertical="center"/>
    </xf>
    <xf numFmtId="9" fontId="5" fillId="6" borderId="7" xfId="0" applyNumberFormat="1" applyFont="1" applyFill="1" applyBorder="1" applyAlignment="1">
      <alignment horizontal="center" vertical="center"/>
    </xf>
    <xf numFmtId="9" fontId="5" fillId="7" borderId="7" xfId="0" applyNumberFormat="1" applyFont="1" applyFill="1" applyBorder="1" applyAlignment="1">
      <alignment horizontal="center" vertical="center"/>
    </xf>
    <xf numFmtId="9" fontId="6" fillId="6" borderId="6" xfId="0" applyNumberFormat="1" applyFont="1" applyFill="1" applyBorder="1" applyAlignment="1">
      <alignment horizontal="center" vertical="center"/>
    </xf>
    <xf numFmtId="49" fontId="3" fillId="8" borderId="3" xfId="0" applyNumberFormat="1" applyFont="1" applyFill="1" applyBorder="1" applyAlignment="1">
      <alignment horizontal="center" vertical="center" wrapText="1"/>
    </xf>
    <xf numFmtId="0" fontId="3" fillId="8" borderId="3" xfId="0" applyFont="1" applyFill="1" applyBorder="1" applyAlignment="1">
      <alignment horizontal="center" vertical="center"/>
    </xf>
    <xf numFmtId="176" fontId="3" fillId="8" borderId="3" xfId="0" applyNumberFormat="1" applyFont="1" applyFill="1" applyBorder="1" applyAlignment="1">
      <alignment horizontal="center" vertical="center"/>
    </xf>
    <xf numFmtId="0" fontId="3" fillId="8" borderId="3" xfId="0" applyNumberFormat="1" applyFont="1" applyFill="1" applyBorder="1" applyAlignment="1">
      <alignment horizontal="center" vertical="center"/>
    </xf>
    <xf numFmtId="9" fontId="3" fillId="8" borderId="3" xfId="0" applyNumberFormat="1" applyFont="1" applyFill="1" applyBorder="1" applyAlignment="1">
      <alignment horizontal="center" vertical="center"/>
    </xf>
    <xf numFmtId="0" fontId="0" fillId="0" borderId="8" xfId="0" applyBorder="1">
      <alignment vertical="center"/>
    </xf>
    <xf numFmtId="0" fontId="0" fillId="2" borderId="8" xfId="0" applyFill="1" applyBorder="1">
      <alignment vertical="center"/>
    </xf>
    <xf numFmtId="0" fontId="4" fillId="0" borderId="2" xfId="0" applyFont="1" applyBorder="1">
      <alignment vertical="center"/>
    </xf>
    <xf numFmtId="0" fontId="4" fillId="2" borderId="2" xfId="0" applyFont="1" applyFill="1" applyBorder="1" applyAlignment="1">
      <alignment horizontal="center" vertical="center"/>
    </xf>
    <xf numFmtId="49" fontId="4" fillId="3" borderId="3" xfId="0" applyNumberFormat="1" applyFont="1" applyFill="1" applyBorder="1" applyAlignment="1">
      <alignment horizontal="center" vertical="center" wrapText="1"/>
    </xf>
    <xf numFmtId="177" fontId="4" fillId="2" borderId="3" xfId="0" applyNumberFormat="1" applyFont="1" applyFill="1" applyBorder="1" applyAlignment="1">
      <alignment horizontal="center" vertical="center" wrapText="1"/>
    </xf>
    <xf numFmtId="2" fontId="4" fillId="2" borderId="3" xfId="0" applyNumberFormat="1" applyFont="1" applyFill="1" applyBorder="1" applyAlignment="1">
      <alignment horizontal="center" vertical="center" wrapText="1"/>
    </xf>
    <xf numFmtId="2" fontId="0" fillId="0" borderId="3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2" fontId="0" fillId="2" borderId="3" xfId="0" applyNumberFormat="1" applyFill="1" applyBorder="1">
      <alignment vertical="center"/>
    </xf>
    <xf numFmtId="17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2" borderId="3" xfId="0" applyNumberFormat="1" applyFill="1" applyBorder="1">
      <alignment vertical="center"/>
    </xf>
    <xf numFmtId="0" fontId="0" fillId="2" borderId="3" xfId="0" applyNumberFormat="1" applyFill="1" applyBorder="1">
      <alignment vertical="center"/>
    </xf>
    <xf numFmtId="0" fontId="0" fillId="0" borderId="3" xfId="0" applyNumberFormat="1" applyBorder="1" applyAlignment="1">
      <alignment horizontal="center" vertical="center"/>
    </xf>
    <xf numFmtId="0" fontId="3" fillId="8" borderId="3" xfId="0" applyNumberFormat="1" applyFont="1" applyFill="1" applyBorder="1" applyAlignment="1">
      <alignment horizontal="center" vertical="center" wrapText="1"/>
    </xf>
    <xf numFmtId="177" fontId="3" fillId="8" borderId="3" xfId="0" applyNumberFormat="1" applyFont="1" applyFill="1" applyBorder="1" applyAlignment="1">
      <alignment horizontal="center" vertical="center" wrapText="1"/>
    </xf>
    <xf numFmtId="2" fontId="3" fillId="8" borderId="3" xfId="0" applyNumberFormat="1" applyFont="1" applyFill="1" applyBorder="1" applyAlignment="1">
      <alignment horizontal="center" vertical="center" wrapText="1"/>
    </xf>
    <xf numFmtId="2" fontId="0" fillId="8" borderId="3" xfId="0" applyNumberFormat="1" applyFill="1" applyBorder="1" applyAlignment="1">
      <alignment horizontal="center" vertical="center"/>
    </xf>
    <xf numFmtId="178" fontId="0" fillId="8" borderId="3" xfId="0" applyNumberFormat="1" applyFill="1" applyBorder="1" applyAlignment="1">
      <alignment horizontal="center" vertical="center"/>
    </xf>
    <xf numFmtId="2" fontId="0" fillId="8" borderId="3" xfId="0" applyNumberFormat="1" applyFill="1" applyBorder="1">
      <alignment vertical="center"/>
    </xf>
    <xf numFmtId="179" fontId="5" fillId="8" borderId="3" xfId="0" applyNumberFormat="1" applyFont="1" applyFill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49" fontId="3" fillId="3" borderId="13" xfId="0" applyNumberFormat="1" applyFont="1" applyFill="1" applyBorder="1" applyAlignment="1">
      <alignment horizontal="center" vertical="center" wrapText="1"/>
    </xf>
    <xf numFmtId="0" fontId="0" fillId="0" borderId="14" xfId="0" applyBorder="1">
      <alignment vertical="center"/>
    </xf>
    <xf numFmtId="176" fontId="3" fillId="4" borderId="3" xfId="0" applyNumberFormat="1" applyFont="1" applyFill="1" applyBorder="1" applyAlignment="1">
      <alignment horizontal="center" vertical="center" wrapText="1"/>
    </xf>
    <xf numFmtId="9" fontId="3" fillId="2" borderId="3" xfId="0" applyNumberFormat="1" applyFont="1" applyFill="1" applyBorder="1" applyAlignment="1">
      <alignment horizontal="center" vertical="center"/>
    </xf>
    <xf numFmtId="180" fontId="8" fillId="0" borderId="3" xfId="0" applyNumberFormat="1" applyFont="1" applyBorder="1" applyAlignment="1">
      <alignment horizontal="center" vertical="center"/>
    </xf>
    <xf numFmtId="181" fontId="8" fillId="0" borderId="3" xfId="0" applyNumberFormat="1" applyFont="1" applyBorder="1" applyAlignment="1">
      <alignment horizontal="center" vertical="center"/>
    </xf>
    <xf numFmtId="0" fontId="0" fillId="0" borderId="15" xfId="0" applyNumberFormat="1" applyBorder="1">
      <alignment vertical="center"/>
    </xf>
    <xf numFmtId="0" fontId="0" fillId="0" borderId="1" xfId="0" applyNumberFormat="1" applyBorder="1">
      <alignment vertical="center"/>
    </xf>
    <xf numFmtId="182" fontId="8" fillId="0" borderId="3" xfId="0" applyNumberFormat="1" applyFont="1" applyBorder="1" applyAlignment="1">
      <alignment horizontal="center" vertical="center"/>
    </xf>
    <xf numFmtId="183" fontId="8" fillId="0" borderId="3" xfId="0" applyNumberFormat="1" applyFont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184" fontId="8" fillId="0" borderId="3" xfId="0" applyNumberFormat="1" applyFont="1" applyBorder="1" applyAlignment="1">
      <alignment horizontal="center" vertical="center"/>
    </xf>
    <xf numFmtId="185" fontId="8" fillId="0" borderId="3" xfId="0" applyNumberFormat="1" applyFont="1" applyBorder="1" applyAlignment="1">
      <alignment horizontal="center" vertical="center"/>
    </xf>
    <xf numFmtId="1" fontId="4" fillId="2" borderId="3" xfId="0" applyNumberFormat="1" applyFont="1" applyFill="1" applyBorder="1" applyAlignment="1">
      <alignment horizontal="center" vertical="center" wrapText="1"/>
    </xf>
    <xf numFmtId="49" fontId="9" fillId="10" borderId="3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86" fontId="0" fillId="0" borderId="3" xfId="0" applyNumberFormat="1" applyBorder="1">
      <alignment vertical="center"/>
    </xf>
    <xf numFmtId="186" fontId="0" fillId="11" borderId="3" xfId="0" applyNumberFormat="1" applyFill="1" applyBorder="1">
      <alignment vertical="center"/>
    </xf>
    <xf numFmtId="1" fontId="0" fillId="0" borderId="4" xfId="0" applyNumberFormat="1" applyBorder="1">
      <alignment vertical="center"/>
    </xf>
    <xf numFmtId="177" fontId="0" fillId="0" borderId="4" xfId="0" applyNumberFormat="1" applyBorder="1">
      <alignment vertical="center"/>
    </xf>
    <xf numFmtId="49" fontId="6" fillId="12" borderId="3" xfId="0" applyNumberFormat="1" applyFont="1" applyFill="1" applyBorder="1" applyAlignment="1">
      <alignment horizontal="center" vertical="center" wrapText="1"/>
    </xf>
    <xf numFmtId="49" fontId="6" fillId="12" borderId="19" xfId="0" applyNumberFormat="1" applyFont="1" applyFill="1" applyBorder="1" applyAlignment="1">
      <alignment horizontal="center" vertical="center" wrapText="1"/>
    </xf>
    <xf numFmtId="49" fontId="3" fillId="3" borderId="20" xfId="0" applyNumberFormat="1" applyFont="1" applyFill="1" applyBorder="1" applyAlignment="1">
      <alignment horizontal="center" vertical="center" wrapText="1"/>
    </xf>
    <xf numFmtId="176" fontId="0" fillId="13" borderId="21" xfId="0" applyNumberFormat="1" applyFill="1" applyBorder="1" applyAlignment="1">
      <alignment horizontal="center" vertical="center"/>
    </xf>
    <xf numFmtId="176" fontId="0" fillId="0" borderId="21" xfId="0" applyNumberFormat="1" applyBorder="1" applyAlignment="1">
      <alignment horizontal="center" vertical="center"/>
    </xf>
    <xf numFmtId="176" fontId="0" fillId="0" borderId="22" xfId="0" applyNumberFormat="1" applyBorder="1" applyAlignment="1">
      <alignment horizontal="center" vertical="center"/>
    </xf>
    <xf numFmtId="176" fontId="10" fillId="14" borderId="21" xfId="0" applyNumberFormat="1" applyFont="1" applyFill="1" applyBorder="1" applyAlignment="1">
      <alignment horizontal="center" vertical="center"/>
    </xf>
    <xf numFmtId="176" fontId="10" fillId="0" borderId="22" xfId="0" applyNumberFormat="1" applyFont="1" applyBorder="1" applyAlignment="1">
      <alignment horizontal="center" vertical="center"/>
    </xf>
    <xf numFmtId="176" fontId="4" fillId="2" borderId="21" xfId="0" applyNumberFormat="1" applyFont="1" applyFill="1" applyBorder="1" applyAlignment="1">
      <alignment vertical="center" wrapText="1"/>
    </xf>
    <xf numFmtId="49" fontId="3" fillId="11" borderId="23" xfId="0" applyNumberFormat="1" applyFont="1" applyFill="1" applyBorder="1" applyAlignment="1">
      <alignment horizontal="center" vertical="center" wrapText="1"/>
    </xf>
    <xf numFmtId="176" fontId="3" fillId="11" borderId="23" xfId="0" applyNumberFormat="1" applyFont="1" applyFill="1" applyBorder="1" applyAlignment="1">
      <alignment horizontal="center" vertical="center"/>
    </xf>
    <xf numFmtId="176" fontId="8" fillId="11" borderId="23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9" fontId="3" fillId="17" borderId="3" xfId="0" applyNumberFormat="1" applyFont="1" applyFill="1" applyBorder="1" applyAlignment="1">
      <alignment horizontal="center" vertical="center" wrapText="1"/>
    </xf>
    <xf numFmtId="9" fontId="5" fillId="6" borderId="6" xfId="0" applyNumberFormat="1" applyFont="1" applyFill="1" applyBorder="1" applyAlignment="1">
      <alignment horizontal="center" vertical="center"/>
    </xf>
    <xf numFmtId="9" fontId="5" fillId="17" borderId="3" xfId="0" applyNumberFormat="1" applyFont="1" applyFill="1" applyBorder="1" applyAlignment="1">
      <alignment horizontal="center" vertical="center" wrapText="1"/>
    </xf>
    <xf numFmtId="9" fontId="6" fillId="6" borderId="7" xfId="0" applyNumberFormat="1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176" fontId="3" fillId="18" borderId="3" xfId="0" applyNumberFormat="1" applyFont="1" applyFill="1" applyBorder="1" applyAlignment="1">
      <alignment horizontal="center" vertical="center" wrapText="1"/>
    </xf>
    <xf numFmtId="187" fontId="0" fillId="0" borderId="3" xfId="0" applyNumberFormat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176" fontId="8" fillId="8" borderId="3" xfId="0" applyNumberFormat="1" applyFont="1" applyFill="1" applyBorder="1" applyAlignment="1">
      <alignment horizontal="center" vertical="center"/>
    </xf>
    <xf numFmtId="0" fontId="8" fillId="8" borderId="3" xfId="0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 wrapText="1"/>
    </xf>
    <xf numFmtId="49" fontId="4" fillId="8" borderId="3" xfId="0" applyNumberFormat="1" applyFont="1" applyFill="1" applyBorder="1" applyAlignment="1">
      <alignment horizontal="center" vertical="center" wrapText="1"/>
    </xf>
    <xf numFmtId="176" fontId="3" fillId="8" borderId="3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49" fontId="3" fillId="3" borderId="3" xfId="0" applyNumberFormat="1" applyFont="1" applyFill="1" applyBorder="1" applyAlignment="1">
      <alignment horizontal="center" vertical="center"/>
    </xf>
    <xf numFmtId="177" fontId="4" fillId="0" borderId="3" xfId="0" applyNumberFormat="1" applyFont="1" applyBorder="1" applyAlignment="1">
      <alignment horizontal="center" vertical="center"/>
    </xf>
    <xf numFmtId="2" fontId="4" fillId="0" borderId="3" xfId="0" applyNumberFormat="1" applyFont="1" applyBorder="1" applyAlignment="1">
      <alignment horizontal="center" vertical="center"/>
    </xf>
    <xf numFmtId="2" fontId="3" fillId="8" borderId="3" xfId="0" applyNumberFormat="1" applyFont="1" applyFill="1" applyBorder="1" applyAlignment="1">
      <alignment horizontal="center" vertical="center"/>
    </xf>
    <xf numFmtId="0" fontId="3" fillId="2" borderId="24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>
      <alignment horizontal="center" vertical="center" wrapText="1"/>
    </xf>
    <xf numFmtId="176" fontId="3" fillId="2" borderId="25" xfId="0" applyNumberFormat="1" applyFont="1" applyFill="1" applyBorder="1" applyAlignment="1">
      <alignment horizontal="center" vertical="center" wrapText="1"/>
    </xf>
    <xf numFmtId="0" fontId="0" fillId="0" borderId="26" xfId="0" applyBorder="1">
      <alignment vertical="center"/>
    </xf>
    <xf numFmtId="49" fontId="3" fillId="0" borderId="27" xfId="0" applyNumberFormat="1" applyFont="1" applyBorder="1">
      <alignment vertical="center"/>
    </xf>
    <xf numFmtId="0" fontId="0" fillId="0" borderId="27" xfId="0" applyBorder="1">
      <alignment vertical="center"/>
    </xf>
    <xf numFmtId="0" fontId="0" fillId="0" borderId="15" xfId="0" applyBorder="1">
      <alignment vertical="center"/>
    </xf>
    <xf numFmtId="49" fontId="2" fillId="0" borderId="28" xfId="0" applyNumberFormat="1" applyFont="1" applyBorder="1">
      <alignment vertical="center"/>
    </xf>
    <xf numFmtId="0" fontId="0" fillId="0" borderId="29" xfId="0" applyBorder="1">
      <alignment vertical="center"/>
    </xf>
    <xf numFmtId="0" fontId="0" fillId="0" borderId="30" xfId="0" applyBorder="1">
      <alignment vertical="center"/>
    </xf>
    <xf numFmtId="49" fontId="3" fillId="0" borderId="31" xfId="0" applyNumberFormat="1" applyFont="1" applyBorder="1">
      <alignment vertical="center"/>
    </xf>
    <xf numFmtId="0" fontId="0" fillId="0" borderId="32" xfId="0" applyBorder="1">
      <alignment vertical="center"/>
    </xf>
    <xf numFmtId="0" fontId="0" fillId="0" borderId="13" xfId="0" applyBorder="1">
      <alignment vertical="center"/>
    </xf>
    <xf numFmtId="0" fontId="0" fillId="0" borderId="33" xfId="0" applyBorder="1">
      <alignment vertical="center"/>
    </xf>
    <xf numFmtId="0" fontId="0" fillId="0" borderId="7" xfId="0" applyBorder="1">
      <alignment vertical="center"/>
    </xf>
    <xf numFmtId="176" fontId="3" fillId="19" borderId="3" xfId="0" applyNumberFormat="1" applyFont="1" applyFill="1" applyBorder="1" applyAlignment="1">
      <alignment horizontal="center" vertical="center" wrapText="1"/>
    </xf>
    <xf numFmtId="9" fontId="4" fillId="2" borderId="3" xfId="0" applyNumberFormat="1" applyFont="1" applyFill="1" applyBorder="1" applyAlignment="1">
      <alignment horizontal="center" vertical="center" wrapText="1"/>
    </xf>
    <xf numFmtId="9" fontId="3" fillId="0" borderId="3" xfId="0" applyNumberFormat="1" applyFont="1" applyBorder="1" applyAlignment="1">
      <alignment horizontal="center" vertical="center"/>
    </xf>
    <xf numFmtId="0" fontId="3" fillId="19" borderId="3" xfId="0" applyNumberFormat="1" applyFont="1" applyFill="1" applyBorder="1" applyAlignment="1">
      <alignment horizontal="center" vertical="center"/>
    </xf>
    <xf numFmtId="176" fontId="0" fillId="0" borderId="7" xfId="0" applyNumberFormat="1" applyBorder="1">
      <alignment vertical="center"/>
    </xf>
    <xf numFmtId="9" fontId="5" fillId="8" borderId="3" xfId="0" applyNumberFormat="1" applyFont="1" applyFill="1" applyBorder="1" applyAlignment="1">
      <alignment horizontal="center" vertical="center" wrapText="1"/>
    </xf>
    <xf numFmtId="9" fontId="5" fillId="20" borderId="3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" fontId="3" fillId="8" borderId="3" xfId="0" applyNumberFormat="1" applyFont="1" applyFill="1" applyBorder="1" applyAlignment="1">
      <alignment horizontal="center"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0" fontId="0" fillId="0" borderId="34" xfId="0" applyBorder="1">
      <alignment vertical="center"/>
    </xf>
    <xf numFmtId="0" fontId="4" fillId="0" borderId="32" xfId="0" applyFont="1" applyBorder="1">
      <alignment vertical="center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3" fillId="17" borderId="3" xfId="0" applyNumberFormat="1" applyFont="1" applyFill="1" applyBorder="1" applyAlignment="1">
      <alignment horizontal="center" vertical="center" wrapText="1"/>
    </xf>
    <xf numFmtId="2" fontId="3" fillId="11" borderId="3" xfId="0" applyNumberFormat="1" applyFont="1" applyFill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2" fontId="0" fillId="0" borderId="3" xfId="0" applyNumberFormat="1" applyBorder="1">
      <alignment vertical="center"/>
    </xf>
    <xf numFmtId="178" fontId="0" fillId="0" borderId="3" xfId="0" applyNumberFormat="1" applyBorder="1">
      <alignment vertical="center"/>
    </xf>
    <xf numFmtId="179" fontId="0" fillId="0" borderId="3" xfId="0" applyNumberFormat="1" applyBorder="1">
      <alignment vertical="center"/>
    </xf>
    <xf numFmtId="1" fontId="0" fillId="0" borderId="3" xfId="0" applyNumberFormat="1" applyBorder="1">
      <alignment vertical="center"/>
    </xf>
    <xf numFmtId="1" fontId="0" fillId="0" borderId="7" xfId="0" applyNumberFormat="1" applyBorder="1">
      <alignment vertical="center"/>
    </xf>
    <xf numFmtId="178" fontId="0" fillId="8" borderId="3" xfId="0" applyNumberFormat="1" applyFill="1" applyBorder="1">
      <alignment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49" fontId="0" fillId="0" borderId="39" xfId="0" applyNumberFormat="1" applyBorder="1">
      <alignment vertical="center"/>
    </xf>
    <xf numFmtId="0" fontId="0" fillId="0" borderId="40" xfId="0" applyBorder="1">
      <alignment vertical="center"/>
    </xf>
    <xf numFmtId="49" fontId="8" fillId="21" borderId="41" xfId="0" applyNumberFormat="1" applyFont="1" applyFill="1" applyBorder="1">
      <alignment vertical="center"/>
    </xf>
    <xf numFmtId="49" fontId="13" fillId="3" borderId="3" xfId="0" applyNumberFormat="1" applyFont="1" applyFill="1" applyBorder="1" applyAlignment="1">
      <alignment horizontal="center" vertical="center" wrapText="1"/>
    </xf>
    <xf numFmtId="0" fontId="0" fillId="0" borderId="43" xfId="0" applyNumberFormat="1" applyBorder="1">
      <alignment vertical="center"/>
    </xf>
    <xf numFmtId="0" fontId="0" fillId="0" borderId="44" xfId="0" applyNumberFormat="1" applyBorder="1">
      <alignment vertical="center"/>
    </xf>
    <xf numFmtId="49" fontId="14" fillId="3" borderId="3" xfId="0" applyNumberFormat="1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5" fillId="2" borderId="3" xfId="0" applyNumberFormat="1" applyFont="1" applyFill="1" applyBorder="1" applyAlignment="1">
      <alignment horizontal="center" vertical="center" wrapText="1"/>
    </xf>
    <xf numFmtId="49" fontId="15" fillId="2" borderId="3" xfId="0" applyNumberFormat="1" applyFont="1" applyFill="1" applyBorder="1" applyAlignment="1">
      <alignment horizontal="center" vertical="center" wrapText="1"/>
    </xf>
    <xf numFmtId="0" fontId="16" fillId="0" borderId="3" xfId="0" applyFont="1" applyBorder="1" applyAlignment="1">
      <alignment vertical="center" wrapText="1"/>
    </xf>
    <xf numFmtId="0" fontId="17" fillId="0" borderId="3" xfId="0" applyFont="1" applyBorder="1" applyAlignment="1">
      <alignment vertical="center" wrapText="1"/>
    </xf>
    <xf numFmtId="49" fontId="17" fillId="0" borderId="3" xfId="0" applyNumberFormat="1" applyFont="1" applyBorder="1" applyAlignment="1">
      <alignment vertical="center" wrapText="1"/>
    </xf>
    <xf numFmtId="0" fontId="16" fillId="0" borderId="3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left" vertical="center" wrapText="1"/>
    </xf>
    <xf numFmtId="49" fontId="17" fillId="0" borderId="3" xfId="0" applyNumberFormat="1" applyFont="1" applyBorder="1" applyAlignment="1">
      <alignment horizontal="left" vertical="center" wrapText="1"/>
    </xf>
    <xf numFmtId="0" fontId="0" fillId="0" borderId="3" xfId="0" applyBorder="1">
      <alignment vertical="center"/>
    </xf>
    <xf numFmtId="49" fontId="16" fillId="0" borderId="3" xfId="0" applyNumberFormat="1" applyFont="1" applyBorder="1" applyAlignment="1">
      <alignment horizontal="center" vertical="center" wrapText="1"/>
    </xf>
    <xf numFmtId="176" fontId="4" fillId="22" borderId="3" xfId="0" applyNumberFormat="1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176" fontId="0" fillId="0" borderId="11" xfId="0" applyNumberFormat="1" applyBorder="1">
      <alignment vertical="center"/>
    </xf>
    <xf numFmtId="0" fontId="3" fillId="19" borderId="3" xfId="0" applyFont="1" applyFill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>
      <alignment vertical="center"/>
    </xf>
    <xf numFmtId="1" fontId="0" fillId="0" borderId="11" xfId="0" applyNumberFormat="1" applyBorder="1" applyAlignment="1">
      <alignment horizontal="center" vertical="center"/>
    </xf>
    <xf numFmtId="49" fontId="4" fillId="22" borderId="3" xfId="0" applyNumberFormat="1" applyFont="1" applyFill="1" applyBorder="1" applyAlignment="1">
      <alignment horizontal="center" vertical="center" wrapText="1"/>
    </xf>
    <xf numFmtId="0" fontId="0" fillId="0" borderId="3" xfId="0" applyNumberFormat="1" applyBorder="1">
      <alignment vertical="center"/>
    </xf>
    <xf numFmtId="0" fontId="3" fillId="11" borderId="3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5" fillId="0" borderId="3" xfId="0" applyNumberFormat="1" applyFont="1" applyBorder="1" applyAlignment="1">
      <alignment horizontal="center" vertical="center"/>
    </xf>
    <xf numFmtId="0" fontId="0" fillId="0" borderId="45" xfId="0" applyBorder="1">
      <alignment vertical="center"/>
    </xf>
    <xf numFmtId="0" fontId="0" fillId="2" borderId="29" xfId="0" applyFill="1" applyBorder="1">
      <alignment vertical="center"/>
    </xf>
    <xf numFmtId="0" fontId="0" fillId="2" borderId="30" xfId="0" applyFill="1" applyBorder="1">
      <alignment vertical="center"/>
    </xf>
    <xf numFmtId="0" fontId="0" fillId="2" borderId="13" xfId="0" applyFill="1" applyBorder="1">
      <alignment vertical="center"/>
    </xf>
    <xf numFmtId="0" fontId="0" fillId="2" borderId="35" xfId="0" applyFill="1" applyBorder="1">
      <alignment vertical="center"/>
    </xf>
    <xf numFmtId="0" fontId="0" fillId="2" borderId="33" xfId="0" applyFill="1" applyBorder="1">
      <alignment vertical="center"/>
    </xf>
    <xf numFmtId="176" fontId="0" fillId="0" borderId="36" xfId="0" applyNumberFormat="1" applyBorder="1">
      <alignment vertical="center"/>
    </xf>
    <xf numFmtId="176" fontId="0" fillId="2" borderId="47" xfId="0" applyNumberFormat="1" applyFill="1" applyBorder="1">
      <alignment vertical="center"/>
    </xf>
    <xf numFmtId="176" fontId="0" fillId="2" borderId="13" xfId="0" applyNumberFormat="1" applyFill="1" applyBorder="1">
      <alignment vertical="center"/>
    </xf>
    <xf numFmtId="0" fontId="0" fillId="2" borderId="34" xfId="0" applyFill="1" applyBorder="1">
      <alignment vertical="center"/>
    </xf>
    <xf numFmtId="0" fontId="3" fillId="2" borderId="3" xfId="0" applyNumberFormat="1" applyFont="1" applyFill="1" applyBorder="1" applyAlignment="1">
      <alignment horizontal="center" vertical="center" wrapText="1"/>
    </xf>
    <xf numFmtId="1" fontId="0" fillId="0" borderId="36" xfId="0" applyNumberFormat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178" fontId="19" fillId="0" borderId="3" xfId="0" applyNumberFormat="1" applyFont="1" applyBorder="1" applyAlignment="1">
      <alignment horizontal="center" vertical="center"/>
    </xf>
    <xf numFmtId="179" fontId="19" fillId="0" borderId="3" xfId="0" applyNumberFormat="1" applyFont="1" applyBorder="1" applyAlignment="1">
      <alignment horizontal="center" vertical="center"/>
    </xf>
    <xf numFmtId="0" fontId="0" fillId="0" borderId="39" xfId="0" applyNumberFormat="1" applyBorder="1">
      <alignment vertical="center"/>
    </xf>
    <xf numFmtId="0" fontId="0" fillId="2" borderId="39" xfId="0" applyFill="1" applyBorder="1">
      <alignment vertical="center"/>
    </xf>
    <xf numFmtId="0" fontId="0" fillId="2" borderId="40" xfId="0" applyFill="1" applyBorder="1">
      <alignment vertical="center"/>
    </xf>
    <xf numFmtId="0" fontId="2" fillId="0" borderId="29" xfId="0" applyFont="1" applyBorder="1">
      <alignment vertical="center"/>
    </xf>
    <xf numFmtId="0" fontId="3" fillId="0" borderId="32" xfId="0" applyFont="1" applyBorder="1">
      <alignment vertical="center"/>
    </xf>
    <xf numFmtId="49" fontId="3" fillId="3" borderId="3" xfId="0" applyNumberFormat="1" applyFont="1" applyFill="1" applyBorder="1" applyAlignment="1">
      <alignment horizontal="left" vertical="center" wrapText="1"/>
    </xf>
    <xf numFmtId="49" fontId="0" fillId="0" borderId="32" xfId="0" applyNumberFormat="1" applyBorder="1">
      <alignment vertical="center"/>
    </xf>
    <xf numFmtId="0" fontId="0" fillId="0" borderId="47" xfId="0" applyBorder="1">
      <alignment vertical="center"/>
    </xf>
    <xf numFmtId="49" fontId="8" fillId="8" borderId="3" xfId="0" applyNumberFormat="1" applyFont="1" applyFill="1" applyBorder="1" applyAlignment="1">
      <alignment horizontal="center" vertical="center"/>
    </xf>
    <xf numFmtId="0" fontId="0" fillId="23" borderId="3" xfId="0" applyNumberFormat="1" applyFill="1" applyBorder="1">
      <alignment vertical="center"/>
    </xf>
    <xf numFmtId="49" fontId="0" fillId="0" borderId="3" xfId="0" applyNumberFormat="1" applyBorder="1">
      <alignment vertical="center"/>
    </xf>
    <xf numFmtId="0" fontId="0" fillId="23" borderId="3" xfId="0" applyNumberForma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0" fillId="0" borderId="48" xfId="0" applyBorder="1">
      <alignment vertical="center"/>
    </xf>
    <xf numFmtId="0" fontId="0" fillId="0" borderId="49" xfId="0" applyBorder="1">
      <alignment vertical="center"/>
    </xf>
    <xf numFmtId="0" fontId="20" fillId="0" borderId="0" xfId="0" applyNumberFormat="1" applyFont="1">
      <alignment vertical="center"/>
    </xf>
    <xf numFmtId="0" fontId="0" fillId="24" borderId="42" xfId="0" applyNumberFormat="1" applyFill="1" applyBorder="1">
      <alignment vertical="center"/>
    </xf>
    <xf numFmtId="0" fontId="0" fillId="24" borderId="43" xfId="0" applyNumberFormat="1" applyFill="1" applyBorder="1">
      <alignment vertical="center"/>
    </xf>
    <xf numFmtId="0" fontId="0" fillId="0" borderId="43" xfId="0" applyNumberFormat="1" applyFill="1" applyBorder="1">
      <alignment vertical="center"/>
    </xf>
    <xf numFmtId="0" fontId="0" fillId="0" borderId="44" xfId="0" applyNumberFormat="1" applyFill="1" applyBorder="1">
      <alignment vertical="center"/>
    </xf>
    <xf numFmtId="176" fontId="0" fillId="0" borderId="43" xfId="0" applyNumberFormat="1" applyBorder="1">
      <alignment vertical="center"/>
    </xf>
    <xf numFmtId="176" fontId="0" fillId="0" borderId="44" xfId="0" applyNumberFormat="1" applyBorder="1">
      <alignment vertical="center"/>
    </xf>
    <xf numFmtId="2" fontId="0" fillId="0" borderId="0" xfId="0" applyNumberFormat="1">
      <alignment vertical="center"/>
    </xf>
    <xf numFmtId="0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9" fontId="13" fillId="3" borderId="16" xfId="0" applyNumberFormat="1" applyFont="1" applyFill="1" applyBorder="1" applyAlignment="1">
      <alignment horizontal="center" vertical="center" wrapText="1"/>
    </xf>
    <xf numFmtId="0" fontId="0" fillId="24" borderId="51" xfId="0" applyNumberFormat="1" applyFill="1" applyBorder="1">
      <alignment vertical="center"/>
    </xf>
    <xf numFmtId="49" fontId="13" fillId="3" borderId="50" xfId="0" applyNumberFormat="1" applyFont="1" applyFill="1" applyBorder="1" applyAlignment="1">
      <alignment horizontal="center" vertical="center" wrapText="1"/>
    </xf>
    <xf numFmtId="177" fontId="0" fillId="0" borderId="50" xfId="0" applyNumberFormat="1" applyBorder="1">
      <alignment vertical="center"/>
    </xf>
    <xf numFmtId="2" fontId="0" fillId="0" borderId="50" xfId="0" applyNumberFormat="1" applyBorder="1">
      <alignment vertical="center"/>
    </xf>
    <xf numFmtId="178" fontId="0" fillId="0" borderId="50" xfId="0" applyNumberFormat="1" applyBorder="1">
      <alignment vertical="center"/>
    </xf>
    <xf numFmtId="0" fontId="15" fillId="0" borderId="3" xfId="0" applyFont="1" applyBorder="1" applyAlignment="1">
      <alignment horizontal="center" vertical="center"/>
    </xf>
    <xf numFmtId="49" fontId="15" fillId="0" borderId="3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2" fillId="16" borderId="13" xfId="0" applyNumberFormat="1" applyFont="1" applyFill="1" applyBorder="1" applyAlignment="1">
      <alignment horizontal="center" vertical="center"/>
    </xf>
    <xf numFmtId="0" fontId="12" fillId="16" borderId="13" xfId="0" applyFont="1" applyFill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176" fontId="0" fillId="0" borderId="15" xfId="0" applyNumberFormat="1" applyBorder="1" applyAlignment="1">
      <alignment horizontal="center" vertical="center"/>
    </xf>
    <xf numFmtId="49" fontId="6" fillId="12" borderId="16" xfId="0" applyNumberFormat="1" applyFont="1" applyFill="1" applyBorder="1" applyAlignment="1">
      <alignment horizontal="center" vertical="center" wrapText="1"/>
    </xf>
    <xf numFmtId="0" fontId="6" fillId="12" borderId="17" xfId="0" applyFont="1" applyFill="1" applyBorder="1" applyAlignment="1">
      <alignment horizontal="center" vertical="center" wrapText="1"/>
    </xf>
    <xf numFmtId="0" fontId="6" fillId="12" borderId="18" xfId="0" applyFont="1" applyFill="1" applyBorder="1" applyAlignment="1">
      <alignment horizontal="center" vertical="center" wrapText="1"/>
    </xf>
    <xf numFmtId="49" fontId="0" fillId="13" borderId="13" xfId="0" applyNumberFormat="1" applyFill="1" applyBorder="1" applyAlignment="1">
      <alignment horizontal="center" vertical="center"/>
    </xf>
    <xf numFmtId="176" fontId="0" fillId="13" borderId="13" xfId="0" applyNumberFormat="1" applyFill="1" applyBorder="1" applyAlignment="1">
      <alignment horizontal="center" vertical="center"/>
    </xf>
    <xf numFmtId="49" fontId="6" fillId="12" borderId="3" xfId="0" applyNumberFormat="1" applyFont="1" applyFill="1" applyBorder="1" applyAlignment="1">
      <alignment horizontal="center" vertical="center" wrapText="1"/>
    </xf>
    <xf numFmtId="0" fontId="6" fillId="12" borderId="19" xfId="0" applyFont="1" applyFill="1" applyBorder="1" applyAlignment="1">
      <alignment horizontal="center" vertical="center" wrapText="1"/>
    </xf>
    <xf numFmtId="0" fontId="6" fillId="12" borderId="3" xfId="0" applyFont="1" applyFill="1" applyBorder="1" applyAlignment="1">
      <alignment horizontal="center" vertical="center" wrapText="1"/>
    </xf>
    <xf numFmtId="49" fontId="10" fillId="14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49" fontId="11" fillId="15" borderId="13" xfId="0" applyNumberFormat="1" applyFont="1" applyFill="1" applyBorder="1" applyAlignment="1">
      <alignment horizontal="center" vertical="center"/>
    </xf>
    <xf numFmtId="0" fontId="11" fillId="15" borderId="13" xfId="0" applyFont="1" applyFill="1" applyBorder="1" applyAlignment="1">
      <alignment horizontal="center" vertical="center"/>
    </xf>
    <xf numFmtId="49" fontId="7" fillId="9" borderId="3" xfId="0" applyNumberFormat="1" applyFont="1" applyFill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49" fontId="8" fillId="8" borderId="5" xfId="0" applyNumberFormat="1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49" fontId="8" fillId="8" borderId="16" xfId="0" applyNumberFormat="1" applyFont="1" applyFill="1" applyBorder="1" applyAlignment="1">
      <alignment horizontal="center" vertical="center"/>
    </xf>
    <xf numFmtId="0" fontId="8" fillId="8" borderId="18" xfId="0" applyFont="1" applyFill="1" applyBorder="1" applyAlignment="1">
      <alignment horizontal="center" vertical="center"/>
    </xf>
    <xf numFmtId="49" fontId="8" fillId="8" borderId="3" xfId="0" applyNumberFormat="1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</cellXfs>
  <cellStyles count="1">
    <cellStyle name="표준" xfId="0" builtinId="0"/>
  </cellStyles>
  <dxfs count="13">
    <dxf>
      <font>
        <color rgb="FF9C0006"/>
      </font>
      <fill>
        <patternFill patternType="solid">
          <fgColor indexed="20"/>
          <bgColor indexed="21"/>
        </patternFill>
      </fill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9C0006"/>
      </font>
      <fill>
        <patternFill patternType="solid">
          <fgColor indexed="20"/>
          <bgColor indexed="21"/>
        </patternFill>
      </fill>
    </dxf>
    <dxf>
      <font>
        <color rgb="FF9C0006"/>
      </font>
      <fill>
        <patternFill patternType="solid">
          <fgColor indexed="20"/>
          <bgColor indexed="21"/>
        </patternFill>
      </fill>
    </dxf>
    <dxf>
      <font>
        <color rgb="FF006100"/>
      </font>
      <fill>
        <patternFill patternType="solid">
          <fgColor indexed="20"/>
          <bgColor indexed="29"/>
        </patternFill>
      </fill>
    </dxf>
    <dxf>
      <font>
        <color rgb="FF0070C0"/>
      </font>
      <fill>
        <patternFill patternType="solid">
          <fgColor indexed="20"/>
          <bgColor indexed="24"/>
        </patternFill>
      </fill>
    </dxf>
    <dxf>
      <font>
        <color rgb="FF9C0006"/>
      </font>
      <fill>
        <patternFill patternType="solid">
          <fgColor indexed="20"/>
          <bgColor indexed="21"/>
        </patternFill>
      </fill>
    </dxf>
    <dxf>
      <font>
        <color rgb="FF9C0006"/>
      </font>
      <fill>
        <patternFill patternType="solid">
          <fgColor indexed="20"/>
          <bgColor indexed="21"/>
        </patternFill>
      </fill>
    </dxf>
    <dxf>
      <font>
        <color rgb="FF9C5700"/>
      </font>
      <fill>
        <patternFill patternType="solid">
          <fgColor indexed="20"/>
          <bgColor indexed="26"/>
        </patternFill>
      </fill>
    </dxf>
    <dxf>
      <font>
        <color rgb="FF006100"/>
      </font>
      <fill>
        <patternFill patternType="solid">
          <fgColor indexed="20"/>
          <bgColor indexed="29"/>
        </patternFill>
      </fill>
    </dxf>
    <dxf>
      <font>
        <color rgb="FF0070C0"/>
      </font>
      <fill>
        <patternFill patternType="solid">
          <fgColor indexed="20"/>
          <bgColor indexed="24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FFE699"/>
      <rgbColor rgb="FFBDD6EE"/>
      <rgbColor rgb="FFFF0000"/>
      <rgbColor rgb="FFFFC000"/>
      <rgbColor rgb="FFFAF3DB"/>
      <rgbColor rgb="FFD9D9D9"/>
      <rgbColor rgb="FF3F3F3F"/>
      <rgbColor rgb="FF595959"/>
      <rgbColor rgb="FFC5DEB5"/>
      <rgbColor rgb="00000000"/>
      <rgbColor rgb="FFFFC7CE"/>
      <rgbColor rgb="FF9C0006"/>
      <rgbColor rgb="FF0000FF"/>
      <rgbColor rgb="FFDEEAF6"/>
      <rgbColor rgb="FFC8C8C8"/>
      <rgbColor rgb="FFFFEB9C"/>
      <rgbColor rgb="FF9C5700"/>
      <rgbColor rgb="FF0070C0"/>
      <rgbColor rgb="FFC6EFCE"/>
      <rgbColor rgb="FF006100"/>
      <rgbColor rgb="FFFBE4D5"/>
      <rgbColor rgb="FFBED7EE"/>
      <rgbColor rgb="FFB4C6E7"/>
      <rgbColor rgb="FFBFBFBF"/>
      <rgbColor rgb="FFBDC0BF"/>
      <rgbColor rgb="FFA5A5A5"/>
      <rgbColor rgb="FFD9E2F3"/>
      <rgbColor rgb="FFFFF2CB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4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ko-KR" altLang="en-US" sz="1400" b="1" i="0" u="none" strike="noStrike">
                <a:solidFill>
                  <a:srgbClr val="595959"/>
                </a:solidFill>
                <a:latin typeface="Calibri"/>
              </a:rPr>
              <a:t>라스칼 시즌별 팀 타율</a:t>
            </a:r>
          </a:p>
        </c:rich>
      </c:tx>
      <c:layout>
        <c:manualLayout>
          <c:xMode val="edge"/>
          <c:yMode val="edge"/>
          <c:x val="0.44608999999999999"/>
          <c:y val="0"/>
          <c:w val="0.10782"/>
          <c:h val="7.1218900000000002E-2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4.5590800000000001E-2"/>
          <c:y val="7.1218900000000002E-2"/>
          <c:w val="0.94940899999999995"/>
          <c:h val="0.87795299999999998"/>
        </c:manualLayout>
      </c:layout>
      <c:lineChart>
        <c:grouping val="standard"/>
        <c:varyColors val="0"/>
        <c:ser>
          <c:idx val="0"/>
          <c:order val="0"/>
          <c:tx>
            <c:strRef>
              <c:f>'시즌별 정리'!$A$28</c:f>
              <c:strCache>
                <c:ptCount val="1"/>
                <c:pt idx="0">
                  <c:v>총합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rnd">
                <a:solidFill>
                  <a:schemeClr val="accent1"/>
                </a:solidFill>
                <a:prstDash val="solid"/>
                <a:miter lim="800000"/>
              </a:ln>
              <a:effectLst/>
            </c:spPr>
          </c:marker>
          <c:dLbls>
            <c:numFmt formatCode="0.00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 b="1" i="0" u="none" strike="noStrike">
                    <a:solidFill>
                      <a:srgbClr val="404040"/>
                    </a:solidFill>
                    <a:latin typeface="Helvetica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'시즌별 정리'!$B$3:$F$3</c:f>
              <c:strCache>
                <c:ptCount val="5"/>
                <c:pt idx="0">
                  <c:v>22년</c:v>
                </c:pt>
                <c:pt idx="1">
                  <c:v>23년</c:v>
                </c:pt>
                <c:pt idx="4">
                  <c:v>24년</c:v>
                </c:pt>
              </c:strCache>
            </c:strRef>
          </c:cat>
          <c:val>
            <c:numRef>
              <c:f>'시즌별 정리'!$B$28:$F$28</c:f>
              <c:numCache>
                <c:formatCode>0.000</c:formatCode>
                <c:ptCount val="5"/>
                <c:pt idx="0">
                  <c:v>0.43283582089552203</c:v>
                </c:pt>
                <c:pt idx="1">
                  <c:v>0.34285714285714303</c:v>
                </c:pt>
                <c:pt idx="2">
                  <c:v>0.35748792270531399</c:v>
                </c:pt>
                <c:pt idx="3">
                  <c:v>0.37</c:v>
                </c:pt>
                <c:pt idx="4">
                  <c:v>0.386075949367089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17-45A0-8F64-7769628CE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4734552"/>
        <c:axId val="2094734553"/>
      </c:lineChart>
      <c:catAx>
        <c:axId val="2094734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ko-KR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  <c:max val="1"/>
        </c:scaling>
        <c:delete val="0"/>
        <c:axPos val="l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.000" sourceLinked="1"/>
        <c:majorTickMark val="none"/>
        <c:minorTickMark val="none"/>
        <c:tickLblPos val="nextTo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ko-KR"/>
          </a:p>
        </c:txPr>
        <c:crossAx val="2094734552"/>
        <c:crosses val="autoZero"/>
        <c:crossBetween val="between"/>
        <c:majorUnit val="0.16750000000000001"/>
        <c:minorUnit val="8.3750000000000005E-2"/>
      </c:valAx>
      <c:spPr>
        <a:noFill/>
        <a:ln w="12700" cap="flat">
          <a:noFill/>
          <a:miter lim="400000"/>
        </a:ln>
        <a:effectLst/>
      </c:spPr>
    </c:plotArea>
    <c:plotVisOnly val="0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400" b="0" i="0" u="none" strike="noStrike">
                <a:solidFill>
                  <a:srgbClr val="595959"/>
                </a:solidFill>
                <a:latin typeface="Calibri"/>
              </a:defRPr>
            </a:pPr>
            <a:r>
              <a:rPr lang="ko-KR" altLang="en-US" sz="1400" b="0" i="0" u="none" strike="noStrike">
                <a:solidFill>
                  <a:srgbClr val="595959"/>
                </a:solidFill>
                <a:latin typeface="Calibri"/>
              </a:rPr>
              <a:t>차트 제목</a:t>
            </a:r>
          </a:p>
        </c:rich>
      </c:tx>
      <c:layout>
        <c:manualLayout>
          <c:xMode val="edge"/>
          <c:yMode val="edge"/>
          <c:x val="0.48083500000000001"/>
          <c:y val="0"/>
          <c:w val="3.8329200000000001E-2"/>
          <c:h val="6.1856399999999999E-2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3.76856E-2"/>
          <c:y val="6.1856399999999999E-2"/>
          <c:w val="0.957314"/>
          <c:h val="0.89235399999999998"/>
        </c:manualLayout>
      </c:layout>
      <c:lineChart>
        <c:grouping val="standard"/>
        <c:varyColors val="0"/>
        <c:ser>
          <c:idx val="0"/>
          <c:order val="0"/>
          <c:tx>
            <c:v>Series1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>
                <a:solidFill>
                  <a:schemeClr val="accent1"/>
                </a:solidFill>
                <a:prstDash val="solid"/>
                <a:miter lim="800000"/>
              </a:ln>
              <a:effectLst/>
            </c:spPr>
          </c:marker>
          <c:dLbls>
            <c:numFmt formatCode="0.00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100" b="1" i="0" u="none" strike="noStrike">
                    <a:solidFill>
                      <a:srgbClr val="404040"/>
                    </a:solidFill>
                    <a:latin typeface="Calibri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'시즌별 정리'!$B$3:$L$3</c:f>
              <c:strCache>
                <c:ptCount val="9"/>
                <c:pt idx="0">
                  <c:v>22년</c:v>
                </c:pt>
                <c:pt idx="1">
                  <c:v>23년</c:v>
                </c:pt>
                <c:pt idx="4">
                  <c:v>24년</c:v>
                </c:pt>
                <c:pt idx="8">
                  <c:v>25년</c:v>
                </c:pt>
              </c:strCache>
            </c:strRef>
          </c:cat>
          <c:val>
            <c:numRef>
              <c:f>'시즌별 정리'!$B$28:$L$28</c:f>
              <c:numCache>
                <c:formatCode>0.000</c:formatCode>
                <c:ptCount val="11"/>
                <c:pt idx="0">
                  <c:v>0.43283582089552203</c:v>
                </c:pt>
                <c:pt idx="1">
                  <c:v>0.34285714285714303</c:v>
                </c:pt>
                <c:pt idx="2">
                  <c:v>0.35748792270531399</c:v>
                </c:pt>
                <c:pt idx="3">
                  <c:v>0.37</c:v>
                </c:pt>
                <c:pt idx="4">
                  <c:v>0.386075949367089</c:v>
                </c:pt>
                <c:pt idx="5">
                  <c:v>0.38732394366197198</c:v>
                </c:pt>
                <c:pt idx="6">
                  <c:v>0.42439024390243901</c:v>
                </c:pt>
                <c:pt idx="7">
                  <c:v>0.373417721518987</c:v>
                </c:pt>
                <c:pt idx="8">
                  <c:v>0.40066225165562902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1D-4319-889E-C6C60AE9D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4734552"/>
        <c:axId val="2094734553"/>
      </c:lineChart>
      <c:catAx>
        <c:axId val="2094734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ko-KR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  <c:max val="0.5"/>
          <c:min val="0.25"/>
        </c:scaling>
        <c:delete val="0"/>
        <c:axPos val="l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.000" sourceLinked="1"/>
        <c:majorTickMark val="none"/>
        <c:minorTickMark val="none"/>
        <c:tickLblPos val="nextTo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ko-KR"/>
          </a:p>
        </c:txPr>
        <c:crossAx val="2094734552"/>
        <c:crosses val="autoZero"/>
        <c:crossBetween val="between"/>
        <c:majorUnit val="6.25E-2"/>
        <c:minorUnit val="3.125E-2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600059</xdr:colOff>
      <xdr:row>2</xdr:row>
      <xdr:rowOff>385039</xdr:rowOff>
    </xdr:from>
    <xdr:to>
      <xdr:col>34</xdr:col>
      <xdr:colOff>96603</xdr:colOff>
      <xdr:row>24</xdr:row>
      <xdr:rowOff>13738</xdr:rowOff>
    </xdr:to>
    <xdr:graphicFrame macro="">
      <xdr:nvGraphicFramePr>
        <xdr:cNvPr id="2" name="차트 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835338</xdr:colOff>
      <xdr:row>3</xdr:row>
      <xdr:rowOff>238950</xdr:rowOff>
    </xdr:from>
    <xdr:to>
      <xdr:col>30</xdr:col>
      <xdr:colOff>137795</xdr:colOff>
      <xdr:row>19</xdr:row>
      <xdr:rowOff>274503</xdr:rowOff>
    </xdr:to>
    <xdr:graphicFrame macro="">
      <xdr:nvGraphicFramePr>
        <xdr:cNvPr id="4" name="차트 1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 테마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테마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테마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R15"/>
  <sheetViews>
    <sheetView showGridLines="0" tabSelected="1" zoomScale="70" zoomScaleNormal="70" workbookViewId="0">
      <pane xSplit="1" ySplit="2" topLeftCell="B3" activePane="bottomRight" state="frozen"/>
      <selection activeCell="B3" sqref="B3"/>
      <selection pane="topRight" activeCell="B3" sqref="B3"/>
      <selection pane="bottomLeft" activeCell="B3" sqref="B3"/>
      <selection pane="bottomRight" sqref="A1:Q1"/>
    </sheetView>
  </sheetViews>
  <sheetFormatPr defaultColWidth="16.375" defaultRowHeight="12.95" customHeight="1"/>
  <cols>
    <col min="1" max="15" width="16.375" style="1" customWidth="1"/>
    <col min="16" max="16" width="14.125" style="1" customWidth="1"/>
    <col min="17" max="17" width="16.375" style="1" customWidth="1"/>
    <col min="18" max="16384" width="16.375" style="1"/>
  </cols>
  <sheetData>
    <row r="1" spans="1:18" ht="18.95" customHeight="1">
      <c r="A1" s="236" t="s">
        <v>121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</row>
    <row r="2" spans="1:18" ht="18" customHeight="1">
      <c r="A2" s="158" t="s">
        <v>2</v>
      </c>
      <c r="B2" s="159" t="s">
        <v>51</v>
      </c>
      <c r="C2" s="159" t="s">
        <v>59</v>
      </c>
      <c r="D2" s="159" t="s">
        <v>215</v>
      </c>
      <c r="E2" s="159" t="s">
        <v>61</v>
      </c>
      <c r="F2" s="159" t="s">
        <v>216</v>
      </c>
      <c r="G2" s="228" t="s">
        <v>65</v>
      </c>
      <c r="H2" s="159" t="s">
        <v>122</v>
      </c>
      <c r="I2" s="159" t="s">
        <v>238</v>
      </c>
      <c r="J2" s="159" t="s">
        <v>235</v>
      </c>
      <c r="K2" s="159" t="s">
        <v>123</v>
      </c>
      <c r="L2" s="159" t="s">
        <v>124</v>
      </c>
      <c r="M2" s="159" t="s">
        <v>239</v>
      </c>
      <c r="N2" s="230" t="s">
        <v>224</v>
      </c>
      <c r="O2" s="230" t="s">
        <v>225</v>
      </c>
      <c r="P2" s="230" t="s">
        <v>226</v>
      </c>
      <c r="Q2" s="230" t="s">
        <v>227</v>
      </c>
      <c r="R2" s="230" t="s">
        <v>228</v>
      </c>
    </row>
    <row r="3" spans="1:18" ht="18" customHeight="1">
      <c r="A3" s="8" t="s">
        <v>29</v>
      </c>
      <c r="B3" s="218">
        <f>ROUND(N3/MAX(N$3:N$8)*100,0)</f>
        <v>100</v>
      </c>
      <c r="C3" s="219">
        <f>ROUND(MIN($O$3:$O$8)/O3*100,0)</f>
        <v>33</v>
      </c>
      <c r="D3" s="219">
        <f>ROUND(K3/MAX($K$3:$K$8)*100,0)</f>
        <v>79</v>
      </c>
      <c r="E3" s="219">
        <f>ROUND(MIN($P$3:$P$8)/P3*100,0)</f>
        <v>54</v>
      </c>
      <c r="F3" s="219">
        <f>ROUND(MIN($Q$3:$Q$8)/Q3*100,0)</f>
        <v>42</v>
      </c>
      <c r="G3" s="229">
        <f>ROUND(MIN($R$3:$R$8)/R3*100,0)</f>
        <v>49</v>
      </c>
      <c r="H3" s="160">
        <v>175</v>
      </c>
      <c r="I3" s="160">
        <v>137</v>
      </c>
      <c r="J3" s="160">
        <v>62</v>
      </c>
      <c r="K3" s="160">
        <v>23</v>
      </c>
      <c r="L3" s="160">
        <v>52</v>
      </c>
      <c r="M3" s="160">
        <v>37</v>
      </c>
      <c r="N3" s="231">
        <v>28</v>
      </c>
      <c r="O3" s="232">
        <v>11.892857142857142</v>
      </c>
      <c r="P3" s="232">
        <v>1.8571428571428572</v>
      </c>
      <c r="Q3" s="232">
        <v>1.3214285714285714</v>
      </c>
      <c r="R3" s="232">
        <v>3.1785714285714284</v>
      </c>
    </row>
    <row r="4" spans="1:18" ht="18" customHeight="1">
      <c r="A4" s="8" t="s">
        <v>33</v>
      </c>
      <c r="B4" s="218">
        <f t="shared" ref="B4:B8" si="0">ROUND(N4/MAX(N$3:N$8)*100,0)</f>
        <v>89</v>
      </c>
      <c r="C4" s="219">
        <f t="shared" ref="C4:C8" si="1">ROUND(MIN($O$3:$O$8)/O4*100,0)</f>
        <v>100</v>
      </c>
      <c r="D4" s="219">
        <f t="shared" ref="D4:D8" si="2">ROUND(K4/MAX($K$3:$K$8)*100,0)</f>
        <v>100</v>
      </c>
      <c r="E4" s="219">
        <f t="shared" ref="E4:E8" si="3">ROUND(MIN($P$3:$P$8)/P4*100,0)</f>
        <v>100</v>
      </c>
      <c r="F4" s="219">
        <f t="shared" ref="F4:F8" si="4">ROUND(MIN($Q$3:$Q$8)/Q4*100,0)</f>
        <v>100</v>
      </c>
      <c r="G4" s="229">
        <f t="shared" ref="G4:G8" si="5">ROUND(MIN($R$3:$R$8)/R4*100,0)</f>
        <v>100</v>
      </c>
      <c r="H4" s="161">
        <v>118</v>
      </c>
      <c r="I4" s="161">
        <v>103</v>
      </c>
      <c r="J4" s="161">
        <v>49</v>
      </c>
      <c r="K4" s="161">
        <v>29</v>
      </c>
      <c r="L4" s="161">
        <v>25</v>
      </c>
      <c r="M4" s="161">
        <v>14</v>
      </c>
      <c r="N4" s="231">
        <v>25</v>
      </c>
      <c r="O4" s="232">
        <v>3.96</v>
      </c>
      <c r="P4" s="232">
        <v>1</v>
      </c>
      <c r="Q4" s="232">
        <v>0.56000000000000005</v>
      </c>
      <c r="R4" s="232">
        <v>1.56</v>
      </c>
    </row>
    <row r="5" spans="1:18" ht="18" customHeight="1">
      <c r="A5" s="8" t="s">
        <v>43</v>
      </c>
      <c r="B5" s="218">
        <f t="shared" si="0"/>
        <v>77</v>
      </c>
      <c r="C5" s="219">
        <f t="shared" si="1"/>
        <v>21</v>
      </c>
      <c r="D5" s="219">
        <f t="shared" si="2"/>
        <v>100</v>
      </c>
      <c r="E5" s="219">
        <f t="shared" si="3"/>
        <v>54</v>
      </c>
      <c r="F5" s="219">
        <f t="shared" si="4"/>
        <v>25</v>
      </c>
      <c r="G5" s="229">
        <f t="shared" si="5"/>
        <v>38</v>
      </c>
      <c r="H5" s="161">
        <v>170</v>
      </c>
      <c r="I5" s="161">
        <v>119</v>
      </c>
      <c r="J5" s="161">
        <v>50</v>
      </c>
      <c r="K5" s="161">
        <v>29</v>
      </c>
      <c r="L5" s="161">
        <v>40</v>
      </c>
      <c r="M5" s="161">
        <v>49</v>
      </c>
      <c r="N5" s="231">
        <v>21.6666666666667</v>
      </c>
      <c r="O5" s="232">
        <v>18.692307692307665</v>
      </c>
      <c r="P5" s="232">
        <v>1.8461538461538434</v>
      </c>
      <c r="Q5" s="232">
        <v>2.2615384615384579</v>
      </c>
      <c r="R5" s="232">
        <v>4.1076923076923011</v>
      </c>
    </row>
    <row r="6" spans="1:18" ht="18" customHeight="1">
      <c r="A6" s="8" t="s">
        <v>36</v>
      </c>
      <c r="B6" s="218">
        <f t="shared" si="0"/>
        <v>42</v>
      </c>
      <c r="C6" s="219">
        <f t="shared" si="1"/>
        <v>20</v>
      </c>
      <c r="D6" s="219">
        <f t="shared" si="2"/>
        <v>38</v>
      </c>
      <c r="E6" s="219">
        <f t="shared" si="3"/>
        <v>38</v>
      </c>
      <c r="F6" s="219">
        <f t="shared" si="4"/>
        <v>23</v>
      </c>
      <c r="G6" s="229">
        <f t="shared" si="5"/>
        <v>31</v>
      </c>
      <c r="H6" s="161">
        <v>94</v>
      </c>
      <c r="I6" s="161">
        <v>64</v>
      </c>
      <c r="J6" s="161">
        <v>22</v>
      </c>
      <c r="K6" s="161">
        <v>11</v>
      </c>
      <c r="L6" s="161">
        <v>31</v>
      </c>
      <c r="M6" s="161">
        <v>28</v>
      </c>
      <c r="N6" s="231">
        <v>11.666666599999999</v>
      </c>
      <c r="O6" s="232">
        <v>20.057142971755106</v>
      </c>
      <c r="P6" s="232">
        <v>2.6571428723265309</v>
      </c>
      <c r="Q6" s="232">
        <v>2.4000000137142861</v>
      </c>
      <c r="R6" s="232">
        <v>5.0571428860408165</v>
      </c>
    </row>
    <row r="7" spans="1:18" ht="18" customHeight="1">
      <c r="A7" s="8" t="s">
        <v>37</v>
      </c>
      <c r="B7" s="218">
        <f t="shared" si="0"/>
        <v>33</v>
      </c>
      <c r="C7" s="219">
        <f t="shared" si="1"/>
        <v>22</v>
      </c>
      <c r="D7" s="219">
        <f t="shared" si="2"/>
        <v>34</v>
      </c>
      <c r="E7" s="219">
        <f t="shared" si="3"/>
        <v>47</v>
      </c>
      <c r="F7" s="219">
        <f t="shared" si="4"/>
        <v>48</v>
      </c>
      <c r="G7" s="229">
        <f t="shared" si="5"/>
        <v>47</v>
      </c>
      <c r="H7" s="161">
        <v>60</v>
      </c>
      <c r="I7" s="161">
        <v>49</v>
      </c>
      <c r="J7" s="161">
        <v>19</v>
      </c>
      <c r="K7" s="161">
        <v>10</v>
      </c>
      <c r="L7" s="161">
        <v>20</v>
      </c>
      <c r="M7" s="161">
        <v>11</v>
      </c>
      <c r="N7" s="231">
        <v>9.3333333330000006</v>
      </c>
      <c r="O7" s="232">
        <v>18.321428572082908</v>
      </c>
      <c r="P7" s="232">
        <v>2.1428571429336731</v>
      </c>
      <c r="Q7" s="232">
        <v>1.1785714286135203</v>
      </c>
      <c r="R7" s="232">
        <v>3.3214285715471936</v>
      </c>
    </row>
    <row r="8" spans="1:18" ht="18" customHeight="1">
      <c r="A8" s="8" t="s">
        <v>40</v>
      </c>
      <c r="B8" s="218">
        <f t="shared" si="0"/>
        <v>26</v>
      </c>
      <c r="C8" s="219">
        <f t="shared" si="1"/>
        <v>13</v>
      </c>
      <c r="D8" s="219">
        <f t="shared" si="2"/>
        <v>45</v>
      </c>
      <c r="E8" s="219">
        <f t="shared" si="3"/>
        <v>33</v>
      </c>
      <c r="F8" s="219">
        <f t="shared" si="4"/>
        <v>29</v>
      </c>
      <c r="G8" s="229">
        <f t="shared" si="5"/>
        <v>32</v>
      </c>
      <c r="H8" s="161">
        <v>68</v>
      </c>
      <c r="I8" s="161">
        <v>53</v>
      </c>
      <c r="J8" s="161">
        <v>18</v>
      </c>
      <c r="K8" s="161">
        <v>13</v>
      </c>
      <c r="L8" s="161">
        <v>22</v>
      </c>
      <c r="M8" s="161">
        <v>14</v>
      </c>
      <c r="N8" s="231">
        <v>7.3333326660000004</v>
      </c>
      <c r="O8" s="232">
        <v>29.454548134909334</v>
      </c>
      <c r="P8" s="233">
        <v>3.0000002730000248</v>
      </c>
      <c r="Q8" s="232">
        <v>1.9090910828181975</v>
      </c>
      <c r="R8" s="232">
        <v>4.9090913558182221</v>
      </c>
    </row>
    <row r="15" spans="1:18" ht="12.95" customHeight="1">
      <c r="C15" s="217"/>
      <c r="D15" s="217"/>
      <c r="E15" s="217"/>
    </row>
  </sheetData>
  <mergeCells count="1">
    <mergeCell ref="A1:Q1"/>
  </mergeCells>
  <phoneticPr fontId="21" type="noConversion"/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R29"/>
  <sheetViews>
    <sheetView showGridLines="0" zoomScale="70" zoomScaleNormal="70" workbookViewId="0">
      <pane xSplit="1" ySplit="2" topLeftCell="B3" activePane="bottomRight" state="frozen"/>
      <selection activeCell="B3" sqref="B3"/>
      <selection pane="topRight" activeCell="B3" sqref="B3"/>
      <selection pane="bottomLeft" activeCell="B3" sqref="B3"/>
      <selection pane="bottomRight" activeCell="F36" sqref="F36"/>
    </sheetView>
  </sheetViews>
  <sheetFormatPr defaultColWidth="16.375" defaultRowHeight="12.95" customHeight="1"/>
  <cols>
    <col min="1" max="18" width="16.375" style="1" customWidth="1"/>
    <col min="19" max="16384" width="16.375" style="1"/>
  </cols>
  <sheetData>
    <row r="1" spans="1:18" ht="18.95" customHeight="1">
      <c r="A1" s="236" t="s">
        <v>121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</row>
    <row r="2" spans="1:18" ht="18" customHeight="1">
      <c r="A2" s="158" t="s">
        <v>2</v>
      </c>
      <c r="B2" s="159" t="s">
        <v>205</v>
      </c>
      <c r="C2" s="159" t="s">
        <v>206</v>
      </c>
      <c r="D2" s="159" t="s">
        <v>207</v>
      </c>
      <c r="E2" s="159" t="s">
        <v>209</v>
      </c>
      <c r="F2" s="159" t="s">
        <v>208</v>
      </c>
      <c r="G2" s="159" t="s">
        <v>232</v>
      </c>
      <c r="H2" s="159" t="s">
        <v>218</v>
      </c>
      <c r="I2" s="159" t="s">
        <v>233</v>
      </c>
      <c r="J2" s="159" t="s">
        <v>234</v>
      </c>
      <c r="K2" s="159" t="s">
        <v>235</v>
      </c>
      <c r="L2" s="159" t="s">
        <v>236</v>
      </c>
      <c r="M2" s="159" t="s">
        <v>237</v>
      </c>
      <c r="N2" s="159" t="s">
        <v>219</v>
      </c>
      <c r="O2" s="159" t="s">
        <v>220</v>
      </c>
      <c r="P2" s="159" t="s">
        <v>221</v>
      </c>
      <c r="Q2" s="159" t="s">
        <v>222</v>
      </c>
      <c r="R2" s="159" t="s">
        <v>223</v>
      </c>
    </row>
    <row r="3" spans="1:18" ht="18" customHeight="1">
      <c r="A3" s="8" t="s">
        <v>30</v>
      </c>
      <c r="B3" s="218">
        <f>ROUND(N3/MAX($N$3:$N$25)*100,0)</f>
        <v>100</v>
      </c>
      <c r="C3" s="219">
        <f>ROUND(O3/(MAX($O$3:$O$25))*100,0)</f>
        <v>100</v>
      </c>
      <c r="D3" s="219">
        <f>ROUND(P3/(MAX($P$3:$P$25))*100,0)</f>
        <v>92</v>
      </c>
      <c r="E3" s="219">
        <f>ROUND(Q3/(MAX($Q$3:$Q$25))*100,0)</f>
        <v>100</v>
      </c>
      <c r="F3" s="219">
        <f>ROUND(R3/(MAX($R$3:$R$25))*100,0)</f>
        <v>100</v>
      </c>
      <c r="G3" s="219">
        <f>ROUND(100-(L3/H3*100),0)</f>
        <v>93</v>
      </c>
      <c r="H3" s="220">
        <v>56</v>
      </c>
      <c r="I3" s="220">
        <v>46</v>
      </c>
      <c r="J3" s="220">
        <v>28</v>
      </c>
      <c r="K3" s="220">
        <v>18</v>
      </c>
      <c r="L3" s="220">
        <v>4</v>
      </c>
      <c r="M3" s="220">
        <v>7</v>
      </c>
      <c r="N3" s="222">
        <v>0.60869565217391308</v>
      </c>
      <c r="O3" s="160">
        <v>35</v>
      </c>
      <c r="P3" s="160">
        <v>22</v>
      </c>
      <c r="Q3" s="160">
        <v>29</v>
      </c>
      <c r="R3" s="222">
        <v>1.5380434782608696</v>
      </c>
    </row>
    <row r="4" spans="1:18" ht="18" customHeight="1">
      <c r="A4" s="8" t="s">
        <v>26</v>
      </c>
      <c r="B4" s="218">
        <f t="shared" ref="B4:B25" si="0">ROUND(N4/MAX($N$3:$N$25)*100,0)</f>
        <v>86</v>
      </c>
      <c r="C4" s="219">
        <f t="shared" ref="C4:C25" si="1">ROUND(O4/(MAX($O$3:$O$25))*100,0)</f>
        <v>74</v>
      </c>
      <c r="D4" s="219">
        <f t="shared" ref="D4:D25" si="2">ROUND(P4/(MAX($P$3:$P$25))*100,0)</f>
        <v>100</v>
      </c>
      <c r="E4" s="219">
        <f t="shared" ref="E4:E25" si="3">ROUND(Q4/(MAX($Q$3:$Q$25))*100,0)</f>
        <v>59</v>
      </c>
      <c r="F4" s="219">
        <f t="shared" ref="F4:F25" si="4">ROUND(R4/(MAX($R$3:$R$25))*100,0)</f>
        <v>94</v>
      </c>
      <c r="G4" s="219">
        <f t="shared" ref="G4:G25" si="5">ROUND(100-(L4/H4*100),0)</f>
        <v>95</v>
      </c>
      <c r="H4" s="221">
        <v>58</v>
      </c>
      <c r="I4" s="221">
        <v>48</v>
      </c>
      <c r="J4" s="221">
        <v>25</v>
      </c>
      <c r="K4" s="221">
        <v>23</v>
      </c>
      <c r="L4" s="221">
        <v>3</v>
      </c>
      <c r="M4" s="221">
        <v>7</v>
      </c>
      <c r="N4" s="223">
        <v>0.52083333333333337</v>
      </c>
      <c r="O4" s="161">
        <v>26</v>
      </c>
      <c r="P4" s="161">
        <v>24</v>
      </c>
      <c r="Q4" s="161">
        <v>17</v>
      </c>
      <c r="R4" s="223">
        <v>1.4475574712643677</v>
      </c>
    </row>
    <row r="5" spans="1:18" ht="18" customHeight="1">
      <c r="A5" s="8" t="s">
        <v>33</v>
      </c>
      <c r="B5" s="218">
        <f t="shared" si="0"/>
        <v>78</v>
      </c>
      <c r="C5" s="219">
        <f t="shared" si="1"/>
        <v>51</v>
      </c>
      <c r="D5" s="219">
        <f t="shared" si="2"/>
        <v>75</v>
      </c>
      <c r="E5" s="219">
        <f t="shared" si="3"/>
        <v>38</v>
      </c>
      <c r="F5" s="219">
        <f t="shared" si="4"/>
        <v>82</v>
      </c>
      <c r="G5" s="219">
        <f t="shared" si="5"/>
        <v>93</v>
      </c>
      <c r="H5" s="221">
        <v>42</v>
      </c>
      <c r="I5" s="221">
        <v>38</v>
      </c>
      <c r="J5" s="221">
        <v>18</v>
      </c>
      <c r="K5" s="221">
        <v>20</v>
      </c>
      <c r="L5" s="221">
        <v>3</v>
      </c>
      <c r="M5" s="221">
        <v>4</v>
      </c>
      <c r="N5" s="223">
        <v>0.47368421052631576</v>
      </c>
      <c r="O5" s="161">
        <v>18</v>
      </c>
      <c r="P5" s="161">
        <v>18</v>
      </c>
      <c r="Q5" s="161">
        <v>11</v>
      </c>
      <c r="R5" s="223">
        <v>1.2606516290726817</v>
      </c>
    </row>
    <row r="6" spans="1:18" ht="18" customHeight="1">
      <c r="A6" s="8" t="s">
        <v>24</v>
      </c>
      <c r="B6" s="218">
        <f t="shared" si="0"/>
        <v>77</v>
      </c>
      <c r="C6" s="219">
        <f t="shared" si="1"/>
        <v>20</v>
      </c>
      <c r="D6" s="219">
        <f t="shared" si="2"/>
        <v>21</v>
      </c>
      <c r="E6" s="219">
        <f t="shared" si="3"/>
        <v>28</v>
      </c>
      <c r="F6" s="219">
        <f t="shared" si="4"/>
        <v>78</v>
      </c>
      <c r="G6" s="219">
        <f t="shared" si="5"/>
        <v>70</v>
      </c>
      <c r="H6" s="221">
        <v>20</v>
      </c>
      <c r="I6" s="221">
        <v>17</v>
      </c>
      <c r="J6" s="221">
        <v>8</v>
      </c>
      <c r="K6" s="221">
        <v>9</v>
      </c>
      <c r="L6" s="221">
        <v>6</v>
      </c>
      <c r="M6" s="221">
        <v>3</v>
      </c>
      <c r="N6" s="223">
        <v>0.47058823529411764</v>
      </c>
      <c r="O6" s="161">
        <v>7</v>
      </c>
      <c r="P6" s="161">
        <v>5</v>
      </c>
      <c r="Q6" s="161">
        <v>8</v>
      </c>
      <c r="R6" s="223">
        <v>1.197058823529412</v>
      </c>
    </row>
    <row r="7" spans="1:18" ht="18" customHeight="1">
      <c r="A7" s="8" t="s">
        <v>29</v>
      </c>
      <c r="B7" s="218">
        <f t="shared" si="0"/>
        <v>76</v>
      </c>
      <c r="C7" s="219">
        <f t="shared" si="1"/>
        <v>17</v>
      </c>
      <c r="D7" s="219">
        <f t="shared" si="2"/>
        <v>13</v>
      </c>
      <c r="E7" s="219">
        <f t="shared" si="3"/>
        <v>7</v>
      </c>
      <c r="F7" s="219">
        <f t="shared" si="4"/>
        <v>63</v>
      </c>
      <c r="G7" s="219">
        <f t="shared" si="5"/>
        <v>88</v>
      </c>
      <c r="H7" s="221">
        <v>16</v>
      </c>
      <c r="I7" s="221">
        <v>13</v>
      </c>
      <c r="J7" s="221">
        <v>6</v>
      </c>
      <c r="K7" s="221">
        <v>7</v>
      </c>
      <c r="L7" s="221">
        <v>2</v>
      </c>
      <c r="M7" s="221">
        <v>2</v>
      </c>
      <c r="N7" s="223">
        <v>0.46153846153846156</v>
      </c>
      <c r="O7" s="161">
        <v>6</v>
      </c>
      <c r="P7" s="161">
        <v>3</v>
      </c>
      <c r="Q7" s="161">
        <v>2</v>
      </c>
      <c r="R7" s="223">
        <v>0.96153846153846156</v>
      </c>
    </row>
    <row r="8" spans="1:18" ht="18" customHeight="1">
      <c r="A8" s="8" t="s">
        <v>37</v>
      </c>
      <c r="B8" s="218">
        <f t="shared" si="0"/>
        <v>71</v>
      </c>
      <c r="C8" s="219">
        <f t="shared" si="1"/>
        <v>29</v>
      </c>
      <c r="D8" s="219">
        <f t="shared" si="2"/>
        <v>29</v>
      </c>
      <c r="E8" s="219">
        <f t="shared" si="3"/>
        <v>55</v>
      </c>
      <c r="F8" s="219">
        <f t="shared" si="4"/>
        <v>71</v>
      </c>
      <c r="G8" s="219">
        <f t="shared" si="5"/>
        <v>77</v>
      </c>
      <c r="H8" s="221">
        <v>30</v>
      </c>
      <c r="I8" s="221">
        <v>23</v>
      </c>
      <c r="J8" s="221">
        <v>10</v>
      </c>
      <c r="K8" s="221">
        <v>13</v>
      </c>
      <c r="L8" s="221">
        <v>7</v>
      </c>
      <c r="M8" s="221">
        <v>6</v>
      </c>
      <c r="N8" s="223">
        <v>0.43478260869565216</v>
      </c>
      <c r="O8" s="161">
        <v>10</v>
      </c>
      <c r="P8" s="161">
        <v>7</v>
      </c>
      <c r="Q8" s="161">
        <v>16</v>
      </c>
      <c r="R8" s="223">
        <v>1.0985507246376811</v>
      </c>
    </row>
    <row r="9" spans="1:18" ht="18" customHeight="1">
      <c r="A9" s="8" t="s">
        <v>43</v>
      </c>
      <c r="B9" s="218">
        <f t="shared" si="0"/>
        <v>71</v>
      </c>
      <c r="C9" s="219">
        <f t="shared" si="1"/>
        <v>43</v>
      </c>
      <c r="D9" s="219">
        <f t="shared" si="2"/>
        <v>79</v>
      </c>
      <c r="E9" s="219">
        <f t="shared" si="3"/>
        <v>62</v>
      </c>
      <c r="F9" s="219">
        <f t="shared" si="4"/>
        <v>69</v>
      </c>
      <c r="G9" s="219">
        <f t="shared" si="5"/>
        <v>95</v>
      </c>
      <c r="H9" s="221">
        <v>62</v>
      </c>
      <c r="I9" s="221">
        <v>51</v>
      </c>
      <c r="J9" s="221">
        <v>22</v>
      </c>
      <c r="K9" s="221">
        <v>29</v>
      </c>
      <c r="L9" s="221">
        <v>3</v>
      </c>
      <c r="M9" s="221">
        <v>11</v>
      </c>
      <c r="N9" s="223">
        <v>0.43137254901960786</v>
      </c>
      <c r="O9" s="161">
        <v>15</v>
      </c>
      <c r="P9" s="161">
        <v>19</v>
      </c>
      <c r="Q9" s="161">
        <v>18</v>
      </c>
      <c r="R9" s="223">
        <v>1.0616698292220113</v>
      </c>
    </row>
    <row r="10" spans="1:18" ht="18" customHeight="1">
      <c r="A10" s="8" t="s">
        <v>28</v>
      </c>
      <c r="B10" s="218">
        <f t="shared" si="0"/>
        <v>70</v>
      </c>
      <c r="C10" s="219">
        <f t="shared" si="1"/>
        <v>46</v>
      </c>
      <c r="D10" s="219">
        <f t="shared" si="2"/>
        <v>33</v>
      </c>
      <c r="E10" s="219">
        <f t="shared" si="3"/>
        <v>55</v>
      </c>
      <c r="F10" s="219">
        <f t="shared" si="4"/>
        <v>86</v>
      </c>
      <c r="G10" s="219">
        <f t="shared" si="5"/>
        <v>86</v>
      </c>
      <c r="H10" s="221">
        <v>37</v>
      </c>
      <c r="I10" s="221">
        <v>21</v>
      </c>
      <c r="J10" s="221">
        <v>9</v>
      </c>
      <c r="K10" s="221">
        <v>12</v>
      </c>
      <c r="L10" s="221">
        <v>5</v>
      </c>
      <c r="M10" s="221">
        <v>15</v>
      </c>
      <c r="N10" s="223">
        <v>0.42857142857142855</v>
      </c>
      <c r="O10" s="161">
        <v>16</v>
      </c>
      <c r="P10" s="161">
        <v>8</v>
      </c>
      <c r="Q10" s="161">
        <v>16</v>
      </c>
      <c r="R10" s="223">
        <v>1.3153153153153152</v>
      </c>
    </row>
    <row r="11" spans="1:18" ht="18" customHeight="1">
      <c r="A11" s="8" t="s">
        <v>31</v>
      </c>
      <c r="B11" s="218">
        <f t="shared" si="0"/>
        <v>70</v>
      </c>
      <c r="C11" s="219">
        <f t="shared" si="1"/>
        <v>60</v>
      </c>
      <c r="D11" s="219">
        <f t="shared" si="2"/>
        <v>42</v>
      </c>
      <c r="E11" s="219">
        <f t="shared" si="3"/>
        <v>45</v>
      </c>
      <c r="F11" s="219">
        <f t="shared" si="4"/>
        <v>66</v>
      </c>
      <c r="G11" s="219">
        <f t="shared" si="5"/>
        <v>85</v>
      </c>
      <c r="H11" s="221">
        <v>52</v>
      </c>
      <c r="I11" s="221">
        <v>40</v>
      </c>
      <c r="J11" s="221">
        <v>17</v>
      </c>
      <c r="K11" s="221">
        <v>23</v>
      </c>
      <c r="L11" s="221">
        <v>8</v>
      </c>
      <c r="M11" s="221">
        <v>12</v>
      </c>
      <c r="N11" s="223">
        <v>0.42499999999999999</v>
      </c>
      <c r="O11" s="161">
        <v>21</v>
      </c>
      <c r="P11" s="161">
        <v>10</v>
      </c>
      <c r="Q11" s="161">
        <v>13</v>
      </c>
      <c r="R11" s="223">
        <v>1.0076923076923077</v>
      </c>
    </row>
    <row r="12" spans="1:18" ht="18" customHeight="1">
      <c r="A12" s="8" t="s">
        <v>40</v>
      </c>
      <c r="B12" s="218">
        <f t="shared" si="0"/>
        <v>68</v>
      </c>
      <c r="C12" s="219">
        <f t="shared" si="1"/>
        <v>14</v>
      </c>
      <c r="D12" s="219">
        <f t="shared" si="2"/>
        <v>25</v>
      </c>
      <c r="E12" s="219">
        <f t="shared" si="3"/>
        <v>14</v>
      </c>
      <c r="F12" s="219">
        <f t="shared" si="4"/>
        <v>78</v>
      </c>
      <c r="G12" s="219">
        <f t="shared" si="5"/>
        <v>87</v>
      </c>
      <c r="H12" s="221">
        <v>15</v>
      </c>
      <c r="I12" s="221">
        <v>12</v>
      </c>
      <c r="J12" s="221">
        <v>5</v>
      </c>
      <c r="K12" s="221">
        <v>7</v>
      </c>
      <c r="L12" s="221">
        <v>2</v>
      </c>
      <c r="M12" s="221">
        <v>3</v>
      </c>
      <c r="N12" s="223">
        <v>0.41666666666666669</v>
      </c>
      <c r="O12" s="161">
        <v>5</v>
      </c>
      <c r="P12" s="161">
        <v>6</v>
      </c>
      <c r="Q12" s="161">
        <v>4</v>
      </c>
      <c r="R12" s="223">
        <v>1.2</v>
      </c>
    </row>
    <row r="13" spans="1:18" ht="18" customHeight="1">
      <c r="A13" s="8" t="s">
        <v>70</v>
      </c>
      <c r="B13" s="218">
        <f t="shared" si="0"/>
        <v>68</v>
      </c>
      <c r="C13" s="219">
        <f t="shared" si="1"/>
        <v>14</v>
      </c>
      <c r="D13" s="219">
        <f t="shared" si="2"/>
        <v>38</v>
      </c>
      <c r="E13" s="219">
        <f t="shared" si="3"/>
        <v>10</v>
      </c>
      <c r="F13" s="219">
        <f t="shared" si="4"/>
        <v>63</v>
      </c>
      <c r="G13" s="219">
        <f t="shared" si="5"/>
        <v>95</v>
      </c>
      <c r="H13" s="221">
        <v>20</v>
      </c>
      <c r="I13" s="221">
        <v>17</v>
      </c>
      <c r="J13" s="221">
        <v>7</v>
      </c>
      <c r="K13" s="221">
        <v>10</v>
      </c>
      <c r="L13" s="221">
        <v>1</v>
      </c>
      <c r="M13" s="221">
        <v>3</v>
      </c>
      <c r="N13" s="223">
        <v>0.41176470588235292</v>
      </c>
      <c r="O13" s="161">
        <v>5</v>
      </c>
      <c r="P13" s="161">
        <v>9</v>
      </c>
      <c r="Q13" s="161">
        <v>3</v>
      </c>
      <c r="R13" s="223">
        <v>0.97058823529411764</v>
      </c>
    </row>
    <row r="14" spans="1:18" ht="18" customHeight="1">
      <c r="A14" s="8" t="s">
        <v>32</v>
      </c>
      <c r="B14" s="218">
        <f t="shared" si="0"/>
        <v>66</v>
      </c>
      <c r="C14" s="219">
        <f t="shared" si="1"/>
        <v>26</v>
      </c>
      <c r="D14" s="219">
        <f t="shared" si="2"/>
        <v>29</v>
      </c>
      <c r="E14" s="219">
        <f t="shared" si="3"/>
        <v>14</v>
      </c>
      <c r="F14" s="219">
        <f t="shared" si="4"/>
        <v>55</v>
      </c>
      <c r="G14" s="219">
        <f t="shared" si="5"/>
        <v>97</v>
      </c>
      <c r="H14" s="221">
        <v>29</v>
      </c>
      <c r="I14" s="221">
        <v>25</v>
      </c>
      <c r="J14" s="221">
        <v>10</v>
      </c>
      <c r="K14" s="221">
        <v>15</v>
      </c>
      <c r="L14" s="221">
        <v>1</v>
      </c>
      <c r="M14" s="221">
        <v>3</v>
      </c>
      <c r="N14" s="223">
        <v>0.4</v>
      </c>
      <c r="O14" s="161">
        <v>9</v>
      </c>
      <c r="P14" s="161">
        <v>7</v>
      </c>
      <c r="Q14" s="161">
        <v>4</v>
      </c>
      <c r="R14" s="223">
        <v>0.84827586206896555</v>
      </c>
    </row>
    <row r="15" spans="1:18" ht="18" customHeight="1">
      <c r="A15" s="8" t="s">
        <v>38</v>
      </c>
      <c r="B15" s="218">
        <f t="shared" si="0"/>
        <v>60</v>
      </c>
      <c r="C15" s="219">
        <f t="shared" si="1"/>
        <v>20</v>
      </c>
      <c r="D15" s="219">
        <f t="shared" si="2"/>
        <v>13</v>
      </c>
      <c r="E15" s="219">
        <f t="shared" si="3"/>
        <v>10</v>
      </c>
      <c r="F15" s="219">
        <f t="shared" si="4"/>
        <v>72</v>
      </c>
      <c r="G15" s="219">
        <f t="shared" si="5"/>
        <v>100</v>
      </c>
      <c r="H15" s="221">
        <v>16</v>
      </c>
      <c r="I15" s="221">
        <v>11</v>
      </c>
      <c r="J15" s="221">
        <v>4</v>
      </c>
      <c r="K15" s="221">
        <v>7</v>
      </c>
      <c r="L15" s="221">
        <v>0</v>
      </c>
      <c r="M15" s="221">
        <v>5</v>
      </c>
      <c r="N15" s="223">
        <v>0.36363636363636365</v>
      </c>
      <c r="O15" s="161">
        <v>7</v>
      </c>
      <c r="P15" s="161">
        <v>3</v>
      </c>
      <c r="Q15" s="161">
        <v>3</v>
      </c>
      <c r="R15" s="223">
        <v>1.1079545454545454</v>
      </c>
    </row>
    <row r="16" spans="1:18" ht="18" customHeight="1">
      <c r="A16" s="8" t="s">
        <v>35</v>
      </c>
      <c r="B16" s="218">
        <f t="shared" si="0"/>
        <v>55</v>
      </c>
      <c r="C16" s="219">
        <f t="shared" si="1"/>
        <v>29</v>
      </c>
      <c r="D16" s="219">
        <f t="shared" si="2"/>
        <v>17</v>
      </c>
      <c r="E16" s="219">
        <f t="shared" si="3"/>
        <v>34</v>
      </c>
      <c r="F16" s="219">
        <f t="shared" si="4"/>
        <v>53</v>
      </c>
      <c r="G16" s="219">
        <f t="shared" si="5"/>
        <v>79</v>
      </c>
      <c r="H16" s="221">
        <v>29</v>
      </c>
      <c r="I16" s="221">
        <v>21</v>
      </c>
      <c r="J16" s="221">
        <v>7</v>
      </c>
      <c r="K16" s="221">
        <v>14</v>
      </c>
      <c r="L16" s="221">
        <v>6</v>
      </c>
      <c r="M16" s="221">
        <v>7</v>
      </c>
      <c r="N16" s="223">
        <v>0.33333333333333331</v>
      </c>
      <c r="O16" s="161">
        <v>10</v>
      </c>
      <c r="P16" s="161">
        <v>4</v>
      </c>
      <c r="Q16" s="161">
        <v>10</v>
      </c>
      <c r="R16" s="223">
        <v>0.81609195402298851</v>
      </c>
    </row>
    <row r="17" spans="1:18" ht="18" customHeight="1">
      <c r="A17" s="8" t="s">
        <v>39</v>
      </c>
      <c r="B17" s="218">
        <f t="shared" si="0"/>
        <v>55</v>
      </c>
      <c r="C17" s="219">
        <f t="shared" si="1"/>
        <v>17</v>
      </c>
      <c r="D17" s="219">
        <f t="shared" si="2"/>
        <v>25</v>
      </c>
      <c r="E17" s="219">
        <f t="shared" si="3"/>
        <v>10</v>
      </c>
      <c r="F17" s="219">
        <f t="shared" si="4"/>
        <v>49</v>
      </c>
      <c r="G17" s="219">
        <f t="shared" si="5"/>
        <v>83</v>
      </c>
      <c r="H17" s="221">
        <v>36</v>
      </c>
      <c r="I17" s="221">
        <v>30</v>
      </c>
      <c r="J17" s="221">
        <v>10</v>
      </c>
      <c r="K17" s="221">
        <v>20</v>
      </c>
      <c r="L17" s="221">
        <v>6</v>
      </c>
      <c r="M17" s="221">
        <v>4</v>
      </c>
      <c r="N17" s="223">
        <v>0.33333333333333331</v>
      </c>
      <c r="O17" s="161">
        <v>6</v>
      </c>
      <c r="P17" s="161">
        <v>6</v>
      </c>
      <c r="Q17" s="161">
        <v>3</v>
      </c>
      <c r="R17" s="223">
        <v>0.75555555555555554</v>
      </c>
    </row>
    <row r="18" spans="1:18" ht="18" customHeight="1">
      <c r="A18" s="8" t="s">
        <v>71</v>
      </c>
      <c r="B18" s="218">
        <f t="shared" si="0"/>
        <v>49</v>
      </c>
      <c r="C18" s="219">
        <f t="shared" si="1"/>
        <v>20</v>
      </c>
      <c r="D18" s="219">
        <f t="shared" si="2"/>
        <v>42</v>
      </c>
      <c r="E18" s="219">
        <f t="shared" si="3"/>
        <v>17</v>
      </c>
      <c r="F18" s="219">
        <f t="shared" si="4"/>
        <v>62</v>
      </c>
      <c r="G18" s="219">
        <f t="shared" si="5"/>
        <v>88</v>
      </c>
      <c r="H18" s="221">
        <v>25</v>
      </c>
      <c r="I18" s="221">
        <v>20</v>
      </c>
      <c r="J18" s="221">
        <v>6</v>
      </c>
      <c r="K18" s="221">
        <v>14</v>
      </c>
      <c r="L18" s="221">
        <v>3</v>
      </c>
      <c r="M18" s="221">
        <v>3</v>
      </c>
      <c r="N18" s="223">
        <v>0.3</v>
      </c>
      <c r="O18" s="161">
        <v>7</v>
      </c>
      <c r="P18" s="161">
        <v>10</v>
      </c>
      <c r="Q18" s="161">
        <v>5</v>
      </c>
      <c r="R18" s="223">
        <v>0.96</v>
      </c>
    </row>
    <row r="19" spans="1:18" ht="18" customHeight="1">
      <c r="A19" s="8" t="s">
        <v>36</v>
      </c>
      <c r="B19" s="218">
        <f t="shared" si="0"/>
        <v>48</v>
      </c>
      <c r="C19" s="219">
        <f t="shared" si="1"/>
        <v>11</v>
      </c>
      <c r="D19" s="219">
        <f t="shared" si="2"/>
        <v>8</v>
      </c>
      <c r="E19" s="219">
        <f t="shared" si="3"/>
        <v>10</v>
      </c>
      <c r="F19" s="219">
        <f t="shared" si="4"/>
        <v>42</v>
      </c>
      <c r="G19" s="219">
        <f t="shared" si="5"/>
        <v>90</v>
      </c>
      <c r="H19" s="221">
        <v>20</v>
      </c>
      <c r="I19" s="221">
        <v>17</v>
      </c>
      <c r="J19" s="221">
        <v>5</v>
      </c>
      <c r="K19" s="221">
        <v>12</v>
      </c>
      <c r="L19" s="221">
        <v>2</v>
      </c>
      <c r="M19" s="221">
        <v>2</v>
      </c>
      <c r="N19" s="223">
        <v>0.29411764705882354</v>
      </c>
      <c r="O19" s="161">
        <v>4</v>
      </c>
      <c r="P19" s="161">
        <v>2</v>
      </c>
      <c r="Q19" s="161">
        <v>3</v>
      </c>
      <c r="R19" s="223">
        <v>0.64411764705882346</v>
      </c>
    </row>
    <row r="20" spans="1:18" ht="18" customHeight="1">
      <c r="A20" s="8" t="s">
        <v>44</v>
      </c>
      <c r="B20" s="218">
        <f t="shared" si="0"/>
        <v>46</v>
      </c>
      <c r="C20" s="219">
        <f t="shared" si="1"/>
        <v>40</v>
      </c>
      <c r="D20" s="219">
        <f t="shared" si="2"/>
        <v>46</v>
      </c>
      <c r="E20" s="219">
        <f t="shared" si="3"/>
        <v>38</v>
      </c>
      <c r="F20" s="219">
        <f t="shared" si="4"/>
        <v>52</v>
      </c>
      <c r="G20" s="219">
        <f t="shared" si="5"/>
        <v>87</v>
      </c>
      <c r="H20" s="221">
        <v>47</v>
      </c>
      <c r="I20" s="221">
        <v>36</v>
      </c>
      <c r="J20" s="221">
        <v>10</v>
      </c>
      <c r="K20" s="221">
        <v>26</v>
      </c>
      <c r="L20" s="221">
        <v>6</v>
      </c>
      <c r="M20" s="221">
        <v>8</v>
      </c>
      <c r="N20" s="223">
        <v>0.27777777777777779</v>
      </c>
      <c r="O20" s="161">
        <v>14</v>
      </c>
      <c r="P20" s="161">
        <v>11</v>
      </c>
      <c r="Q20" s="161">
        <v>11</v>
      </c>
      <c r="R20" s="223">
        <v>0.79964539007092195</v>
      </c>
    </row>
    <row r="21" spans="1:18" ht="18" customHeight="1">
      <c r="A21" s="8" t="s">
        <v>69</v>
      </c>
      <c r="B21" s="218">
        <f t="shared" si="0"/>
        <v>45</v>
      </c>
      <c r="C21" s="219">
        <f t="shared" si="1"/>
        <v>11</v>
      </c>
      <c r="D21" s="219">
        <f t="shared" si="2"/>
        <v>17</v>
      </c>
      <c r="E21" s="219">
        <f t="shared" si="3"/>
        <v>21</v>
      </c>
      <c r="F21" s="219">
        <f t="shared" si="4"/>
        <v>50</v>
      </c>
      <c r="G21" s="219">
        <f t="shared" si="5"/>
        <v>69</v>
      </c>
      <c r="H21" s="221">
        <v>16</v>
      </c>
      <c r="I21" s="221">
        <v>11</v>
      </c>
      <c r="J21" s="221">
        <v>3</v>
      </c>
      <c r="K21" s="221">
        <v>8</v>
      </c>
      <c r="L21" s="221">
        <v>5</v>
      </c>
      <c r="M21" s="221">
        <v>5</v>
      </c>
      <c r="N21" s="223">
        <v>0.27272727272727271</v>
      </c>
      <c r="O21" s="161">
        <v>4</v>
      </c>
      <c r="P21" s="161">
        <v>4</v>
      </c>
      <c r="Q21" s="161">
        <v>6</v>
      </c>
      <c r="R21" s="223">
        <v>0.77272727272727271</v>
      </c>
    </row>
    <row r="22" spans="1:18" ht="18" customHeight="1">
      <c r="A22" s="8" t="s">
        <v>42</v>
      </c>
      <c r="B22" s="218">
        <f t="shared" si="0"/>
        <v>33</v>
      </c>
      <c r="C22" s="219">
        <f t="shared" si="1"/>
        <v>6</v>
      </c>
      <c r="D22" s="219">
        <f t="shared" si="2"/>
        <v>0</v>
      </c>
      <c r="E22" s="219">
        <f t="shared" si="3"/>
        <v>3</v>
      </c>
      <c r="F22" s="219">
        <f t="shared" si="4"/>
        <v>50</v>
      </c>
      <c r="G22" s="219">
        <f t="shared" si="5"/>
        <v>73</v>
      </c>
      <c r="H22" s="221">
        <v>15</v>
      </c>
      <c r="I22" s="221">
        <v>10</v>
      </c>
      <c r="J22" s="221">
        <v>2</v>
      </c>
      <c r="K22" s="221">
        <v>8</v>
      </c>
      <c r="L22" s="221">
        <v>4</v>
      </c>
      <c r="M22" s="221">
        <v>5</v>
      </c>
      <c r="N22" s="223">
        <v>0.2</v>
      </c>
      <c r="O22" s="161">
        <v>2</v>
      </c>
      <c r="P22" s="161">
        <v>0</v>
      </c>
      <c r="Q22" s="161">
        <v>1</v>
      </c>
      <c r="R22" s="223">
        <v>0.76666666666666661</v>
      </c>
    </row>
    <row r="23" spans="1:18" ht="18" customHeight="1">
      <c r="A23" s="8" t="s">
        <v>25</v>
      </c>
      <c r="B23" s="218">
        <f t="shared" si="0"/>
        <v>18</v>
      </c>
      <c r="C23" s="219">
        <f t="shared" si="1"/>
        <v>9</v>
      </c>
      <c r="D23" s="219">
        <f t="shared" si="2"/>
        <v>4</v>
      </c>
      <c r="E23" s="219">
        <f t="shared" si="3"/>
        <v>3</v>
      </c>
      <c r="F23" s="219">
        <f t="shared" si="4"/>
        <v>40</v>
      </c>
      <c r="G23" s="219">
        <f t="shared" si="5"/>
        <v>63</v>
      </c>
      <c r="H23" s="221">
        <v>16</v>
      </c>
      <c r="I23" s="221">
        <v>9</v>
      </c>
      <c r="J23" s="221">
        <v>1</v>
      </c>
      <c r="K23" s="221">
        <v>8</v>
      </c>
      <c r="L23" s="221">
        <v>6</v>
      </c>
      <c r="M23" s="221">
        <v>7</v>
      </c>
      <c r="N23" s="223">
        <v>0.1111111111111111</v>
      </c>
      <c r="O23" s="161">
        <v>3</v>
      </c>
      <c r="P23" s="161">
        <v>1</v>
      </c>
      <c r="Q23" s="161">
        <v>1</v>
      </c>
      <c r="R23" s="223">
        <v>0.61111111111111116</v>
      </c>
    </row>
    <row r="24" spans="1:18" ht="18" customHeight="1">
      <c r="A24" s="8" t="s">
        <v>27</v>
      </c>
      <c r="B24" s="218">
        <f t="shared" si="0"/>
        <v>0</v>
      </c>
      <c r="C24" s="219">
        <f t="shared" si="1"/>
        <v>0</v>
      </c>
      <c r="D24" s="219">
        <f t="shared" si="2"/>
        <v>0</v>
      </c>
      <c r="E24" s="219">
        <f t="shared" si="3"/>
        <v>0</v>
      </c>
      <c r="F24" s="219">
        <f t="shared" si="4"/>
        <v>0</v>
      </c>
      <c r="G24" s="219">
        <f t="shared" si="5"/>
        <v>50</v>
      </c>
      <c r="H24" s="221">
        <v>2</v>
      </c>
      <c r="I24" s="221">
        <v>2</v>
      </c>
      <c r="J24" s="221">
        <v>0</v>
      </c>
      <c r="K24" s="221">
        <v>2</v>
      </c>
      <c r="L24" s="221">
        <v>1</v>
      </c>
      <c r="M24" s="221">
        <v>0</v>
      </c>
      <c r="N24" s="223">
        <v>0</v>
      </c>
      <c r="O24" s="161">
        <v>0</v>
      </c>
      <c r="P24" s="161">
        <v>0</v>
      </c>
      <c r="Q24" s="161">
        <v>0</v>
      </c>
      <c r="R24" s="223">
        <v>0</v>
      </c>
    </row>
    <row r="25" spans="1:18" ht="18" customHeight="1">
      <c r="A25" s="8" t="s">
        <v>41</v>
      </c>
      <c r="B25" s="218">
        <f t="shared" si="0"/>
        <v>0</v>
      </c>
      <c r="C25" s="219">
        <f t="shared" si="1"/>
        <v>0</v>
      </c>
      <c r="D25" s="219">
        <f t="shared" si="2"/>
        <v>0</v>
      </c>
      <c r="E25" s="219">
        <f t="shared" si="3"/>
        <v>7</v>
      </c>
      <c r="F25" s="219">
        <f t="shared" si="4"/>
        <v>16</v>
      </c>
      <c r="G25" s="219">
        <f t="shared" si="5"/>
        <v>100</v>
      </c>
      <c r="H25" s="221">
        <v>4</v>
      </c>
      <c r="I25" s="221">
        <v>3</v>
      </c>
      <c r="J25" s="221">
        <v>0</v>
      </c>
      <c r="K25" s="221">
        <v>3</v>
      </c>
      <c r="L25" s="221">
        <v>0</v>
      </c>
      <c r="M25" s="221">
        <v>1</v>
      </c>
      <c r="N25" s="223">
        <v>0</v>
      </c>
      <c r="O25" s="161">
        <v>0</v>
      </c>
      <c r="P25" s="161">
        <v>0</v>
      </c>
      <c r="Q25" s="161">
        <v>2</v>
      </c>
      <c r="R25" s="223">
        <v>0.25</v>
      </c>
    </row>
    <row r="29" spans="1:18" ht="12.95" customHeight="1">
      <c r="C29" s="217"/>
      <c r="D29" s="217"/>
      <c r="E29" s="217"/>
      <c r="F29" s="217"/>
      <c r="G29" s="217"/>
      <c r="H29" s="217"/>
      <c r="I29" s="217"/>
      <c r="J29" s="217"/>
      <c r="K29" s="217"/>
      <c r="L29" s="217"/>
      <c r="M29" s="217"/>
      <c r="N29" s="217"/>
    </row>
  </sheetData>
  <mergeCells count="1">
    <mergeCell ref="A1:R1"/>
  </mergeCells>
  <phoneticPr fontId="21" type="noConversion"/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J25"/>
  <sheetViews>
    <sheetView showGridLines="0" workbookViewId="0">
      <pane xSplit="1" ySplit="2" topLeftCell="B3" activePane="bottomRight" state="frozen"/>
      <selection activeCell="B3" sqref="B3"/>
      <selection pane="topRight" activeCell="B3" sqref="B3"/>
      <selection pane="bottomLeft" activeCell="B3" sqref="B3"/>
      <selection pane="bottomRight" activeCell="K12" sqref="K12"/>
    </sheetView>
  </sheetViews>
  <sheetFormatPr defaultColWidth="16.375" defaultRowHeight="12.95" customHeight="1"/>
  <cols>
    <col min="1" max="1" width="18.125" style="1" customWidth="1"/>
    <col min="2" max="2" width="5.125" style="1" customWidth="1"/>
    <col min="3" max="3" width="17.875" style="1" customWidth="1"/>
    <col min="4" max="4" width="10.625" style="1" bestFit="1" customWidth="1"/>
    <col min="5" max="5" width="46.5" style="1" customWidth="1"/>
    <col min="6" max="6" width="38" style="1" customWidth="1"/>
    <col min="7" max="7" width="16.375" style="1" customWidth="1"/>
    <col min="8" max="10" width="8.25" style="1" customWidth="1"/>
    <col min="11" max="11" width="16.375" style="1" customWidth="1"/>
    <col min="12" max="16384" width="16.375" style="1"/>
  </cols>
  <sheetData>
    <row r="1" spans="1:10" ht="18.95" customHeight="1">
      <c r="A1" s="236" t="s">
        <v>121</v>
      </c>
      <c r="B1" s="236"/>
      <c r="C1" s="236"/>
      <c r="D1" s="236"/>
      <c r="E1" s="236"/>
      <c r="F1" s="236"/>
      <c r="G1" s="236"/>
      <c r="H1" s="236"/>
      <c r="I1" s="236"/>
      <c r="J1" s="236"/>
    </row>
    <row r="2" spans="1:10" ht="15.75" customHeight="1">
      <c r="A2" s="162" t="s">
        <v>2</v>
      </c>
      <c r="B2" s="162" t="s">
        <v>125</v>
      </c>
      <c r="C2" s="162" t="s">
        <v>126</v>
      </c>
      <c r="D2" s="162" t="s">
        <v>127</v>
      </c>
      <c r="E2" s="162" t="s">
        <v>128</v>
      </c>
      <c r="F2" s="162" t="s">
        <v>129</v>
      </c>
      <c r="G2" s="162" t="s">
        <v>130</v>
      </c>
      <c r="H2" s="162" t="s">
        <v>131</v>
      </c>
      <c r="I2" s="162" t="s">
        <v>132</v>
      </c>
      <c r="J2" s="163"/>
    </row>
    <row r="3" spans="1:10" ht="41.1" customHeight="1">
      <c r="A3" s="8" t="s">
        <v>24</v>
      </c>
      <c r="B3" s="164">
        <v>29</v>
      </c>
      <c r="C3" s="165" t="s">
        <v>133</v>
      </c>
      <c r="D3" s="166"/>
      <c r="E3" s="167" t="str" cm="1">
        <f t="array" ref="E3">IF(ISNUMBER('25 上코모도(6-BB)(''25)'!B4),"2025 Comodo League 6-B"&amp;"\n","")&amp;IF(ISNUMBER('24 下코모도(6-C)(''25)'!B4),"2025 Comodo League 6-C"&amp;"\n","")</f>
        <v>2025 Comodo League 6-B\n2025 Comodo League 6-C\n</v>
      </c>
      <c r="F3" s="168"/>
      <c r="G3" s="167"/>
      <c r="H3" s="167" t="s">
        <v>210</v>
      </c>
      <c r="I3" s="167" t="s">
        <v>212</v>
      </c>
      <c r="J3" s="167"/>
    </row>
    <row r="4" spans="1:10" ht="18" customHeight="1">
      <c r="A4" s="8" t="s">
        <v>25</v>
      </c>
      <c r="B4" s="164">
        <v>10</v>
      </c>
      <c r="C4" s="165" t="s">
        <v>135</v>
      </c>
      <c r="D4" s="166"/>
      <c r="E4" s="167" t="str" cm="1">
        <f t="array" ref="E4">IF(ISNUMBER('25 上코모도(6-BB)(''25)'!B5),"2025 Comodo League 6-B"&amp;"\n","")&amp;IF(ISNUMBER('24 下코모도(6-C)(''25)'!B5),"2025 Comodo League 6-C"&amp;"\n","")</f>
        <v>2025 Comodo League 6-B\n2025 Comodo League 6-C\n</v>
      </c>
      <c r="F4" s="167"/>
      <c r="G4" s="167"/>
      <c r="H4" s="167" t="s">
        <v>210</v>
      </c>
      <c r="I4" s="167" t="s">
        <v>212</v>
      </c>
      <c r="J4" s="167"/>
    </row>
    <row r="5" spans="1:10" ht="18" customHeight="1">
      <c r="A5" s="8" t="s">
        <v>26</v>
      </c>
      <c r="B5" s="164">
        <v>50</v>
      </c>
      <c r="C5" s="165" t="s">
        <v>136</v>
      </c>
      <c r="D5" s="173" t="s">
        <v>217</v>
      </c>
      <c r="E5" s="167" t="str" cm="1">
        <f t="array" ref="E5">IF(ISNUMBER('25 上코모도(6-BB)(''25)'!B6),"2025 Comodo League 6-B"&amp;"\n","")&amp;IF(ISNUMBER('24 下코모도(6-C)(''25)'!B6),"2025 Comodo League 6-C"&amp;"\n","")</f>
        <v>2025 Comodo League 6-B\n</v>
      </c>
      <c r="F5" s="167"/>
      <c r="G5" s="167"/>
      <c r="H5" s="167" t="s">
        <v>210</v>
      </c>
      <c r="I5" s="167" t="s">
        <v>212</v>
      </c>
      <c r="J5" s="167"/>
    </row>
    <row r="6" spans="1:10" ht="18" customHeight="1">
      <c r="A6" s="8" t="s">
        <v>27</v>
      </c>
      <c r="B6" s="164">
        <v>12</v>
      </c>
      <c r="C6" s="165" t="s">
        <v>137</v>
      </c>
      <c r="D6" s="166"/>
      <c r="E6" s="167" t="str" cm="1">
        <f t="array" ref="E6">IF(ISNUMBER('25 上코모도(6-BB)(''25)'!B7),"2025 Comodo League 6-B"&amp;"\n","")&amp;IF(ISNUMBER('24 下코모도(6-C)(''25)'!B7),"2025 Comodo League 6-C"&amp;"\n","")</f>
        <v>2025 Comodo League 6-C\n</v>
      </c>
      <c r="F6" s="167"/>
      <c r="G6" s="167"/>
      <c r="H6" s="167" t="s">
        <v>211</v>
      </c>
      <c r="I6" s="167" t="s">
        <v>213</v>
      </c>
      <c r="J6" s="167"/>
    </row>
    <row r="7" spans="1:10" ht="18" customHeight="1">
      <c r="A7" s="8" t="s">
        <v>28</v>
      </c>
      <c r="B7" s="164">
        <v>46</v>
      </c>
      <c r="C7" s="165" t="s">
        <v>138</v>
      </c>
      <c r="D7" s="169"/>
      <c r="E7" s="167" t="str" cm="1">
        <f t="array" ref="E7">IF(ISNUMBER('25 上코모도(6-BB)(''25)'!B8),"2025 Comodo League 6-B"&amp;"\n","")&amp;IF(ISNUMBER('24 下코모도(6-C)(''25)'!B8),"2025 Comodo League 6-C"&amp;"\n","")</f>
        <v>2025 Comodo League 6-B\n2025 Comodo League 6-C\n</v>
      </c>
      <c r="F7" s="170" t="s">
        <v>139</v>
      </c>
      <c r="G7" s="167"/>
      <c r="H7" s="167" t="s">
        <v>211</v>
      </c>
      <c r="I7" s="167" t="s">
        <v>213</v>
      </c>
      <c r="J7" s="167"/>
    </row>
    <row r="8" spans="1:10" ht="18" customHeight="1">
      <c r="A8" s="8" t="s">
        <v>29</v>
      </c>
      <c r="B8" s="164">
        <v>91</v>
      </c>
      <c r="C8" s="165" t="s">
        <v>140</v>
      </c>
      <c r="D8" s="166"/>
      <c r="E8" s="167" t="str" cm="1">
        <f t="array" ref="E8">IF(ISNUMBER('25 上코모도(6-BB)(''25)'!B9),"2025 Comodo League 6-B"&amp;"\n","")&amp;IF(ISNUMBER('24 下코모도(6-C)(''25)'!B9),"2025 Comodo League 6-C"&amp;"\n","")</f>
        <v>2025 Comodo League 6-B\n2025 Comodo League 6-C\n</v>
      </c>
      <c r="F8" s="171" t="s">
        <v>141</v>
      </c>
      <c r="G8" s="167"/>
      <c r="H8" s="167" t="s">
        <v>210</v>
      </c>
      <c r="I8" s="167" t="s">
        <v>212</v>
      </c>
      <c r="J8" s="167"/>
    </row>
    <row r="9" spans="1:10" ht="18" customHeight="1">
      <c r="A9" s="8" t="s">
        <v>69</v>
      </c>
      <c r="B9" s="48">
        <v>39</v>
      </c>
      <c r="C9" s="234" t="s">
        <v>231</v>
      </c>
      <c r="D9" s="172"/>
      <c r="E9" s="167" t="str" cm="1">
        <f t="array" ref="E9">IF(ISNUMBER('25 上코모도(6-BB)(''25)'!B10),"2025 Comodo League 6-B"&amp;"\n","")&amp;IF(ISNUMBER('24 下코모도(6-C)(''25)'!B10),"2025 Comodo League 6-C"&amp;"\n","")</f>
        <v>2025 Comodo League 6-B\n2025 Comodo League 6-C\n</v>
      </c>
      <c r="F9" s="167"/>
      <c r="G9" s="167"/>
      <c r="H9" s="167" t="s">
        <v>210</v>
      </c>
      <c r="I9" s="167" t="s">
        <v>212</v>
      </c>
      <c r="J9" s="167"/>
    </row>
    <row r="10" spans="1:10" ht="54">
      <c r="A10" s="8" t="s">
        <v>30</v>
      </c>
      <c r="B10" s="164">
        <v>3</v>
      </c>
      <c r="C10" s="165" t="s">
        <v>142</v>
      </c>
      <c r="D10" s="173" t="s">
        <v>143</v>
      </c>
      <c r="E10" s="167" t="str">
        <f>IF(ISNUMBER('25 上코모도(6-BB)(''25)'!B11),"2025 Comodo League 6-B"&amp;"\n","")&amp;IF(ISNUMBER('24 下코모도(6-C)(''25)'!B11),"2025 Comodo League 6-C"&amp;"\n","")</f>
        <v>2025 Comodo League 6-B\n</v>
      </c>
      <c r="F10" s="168" t="s">
        <v>134</v>
      </c>
      <c r="G10" s="167"/>
      <c r="H10" s="167" t="s">
        <v>210</v>
      </c>
      <c r="I10" s="167" t="s">
        <v>212</v>
      </c>
      <c r="J10" s="167"/>
    </row>
    <row r="11" spans="1:10" ht="18" customHeight="1">
      <c r="A11" s="8" t="s">
        <v>31</v>
      </c>
      <c r="B11" s="164">
        <v>27</v>
      </c>
      <c r="C11" s="165" t="s">
        <v>144</v>
      </c>
      <c r="D11" s="166"/>
      <c r="E11" s="167" t="str" cm="1">
        <f t="array" ref="E11">IF(ISNUMBER('25 上코모도(6-BB)(''25)'!B12),"2025 Comodo League 6-B"&amp;"\n","")&amp;IF(ISNUMBER('24 下코모도(6-C)(''25)'!B12),"2025 Comodo League 6-C"&amp;"\n","")</f>
        <v>2025 Comodo League 6-B\n2025 Comodo League 6-C\n</v>
      </c>
      <c r="F11" s="167"/>
      <c r="G11" s="167"/>
      <c r="H11" s="167" t="s">
        <v>210</v>
      </c>
      <c r="I11" s="167" t="s">
        <v>212</v>
      </c>
      <c r="J11" s="167"/>
    </row>
    <row r="12" spans="1:10" ht="18" customHeight="1">
      <c r="A12" s="8" t="s">
        <v>32</v>
      </c>
      <c r="B12" s="164">
        <v>13</v>
      </c>
      <c r="C12" s="165" t="s">
        <v>145</v>
      </c>
      <c r="D12" s="172"/>
      <c r="E12" s="167" t="str" cm="1">
        <f t="array" ref="E12">IF(ISNUMBER('25 上코모도(6-BB)(''25)'!B13),"2025 Comodo League 6-B"&amp;"\n","")&amp;IF(ISNUMBER('24 下코모도(6-C)(''25)'!B13),"2025 Comodo League 6-C"&amp;"\n","")</f>
        <v>2025 Comodo League 6-B\n2025 Comodo League 6-C\n</v>
      </c>
      <c r="F12" s="167"/>
      <c r="G12" s="167"/>
      <c r="H12" s="167" t="s">
        <v>210</v>
      </c>
      <c r="I12" s="167" t="s">
        <v>212</v>
      </c>
      <c r="J12" s="167"/>
    </row>
    <row r="13" spans="1:10" ht="18" customHeight="1">
      <c r="A13" s="8" t="s">
        <v>33</v>
      </c>
      <c r="B13" s="164">
        <v>25</v>
      </c>
      <c r="C13" s="165" t="s">
        <v>146</v>
      </c>
      <c r="D13" s="173" t="s">
        <v>217</v>
      </c>
      <c r="E13" s="167" t="str" cm="1">
        <f t="array" ref="E13">IF(ISNUMBER('25 上코모도(6-BB)(''25)'!B14),"2025 Comodo League 6-B"&amp;"\n","")&amp;IF(ISNUMBER('24 下코모도(6-C)(''25)'!B14),"2025 Comodo League 6-C"&amp;"\n","")</f>
        <v>2025 Comodo League 6-B\n</v>
      </c>
      <c r="F13" s="170" t="s">
        <v>147</v>
      </c>
      <c r="G13" s="167"/>
      <c r="H13" s="167" t="s">
        <v>210</v>
      </c>
      <c r="I13" s="167" t="s">
        <v>212</v>
      </c>
      <c r="J13" s="167"/>
    </row>
    <row r="14" spans="1:10" ht="18" customHeight="1">
      <c r="A14" s="8" t="s">
        <v>35</v>
      </c>
      <c r="B14" s="164">
        <v>55</v>
      </c>
      <c r="C14" s="165" t="s">
        <v>148</v>
      </c>
      <c r="D14" s="166"/>
      <c r="E14" s="167" t="str" cm="1">
        <f t="array" ref="E14">IF(ISNUMBER('25 上코모도(6-BB)(''25)'!B15),"2025 Comodo League 6-B"&amp;"\n","")&amp;IF(ISNUMBER('24 下코모도(6-C)(''25)'!B15),"2025 Comodo League 6-C"&amp;"\n","")</f>
        <v>2025 Comodo League 6-B\n2025 Comodo League 6-C\n</v>
      </c>
      <c r="F14" s="167"/>
      <c r="G14" s="167"/>
      <c r="H14" s="167" t="s">
        <v>210</v>
      </c>
      <c r="I14" s="167" t="s">
        <v>214</v>
      </c>
      <c r="J14" s="167"/>
    </row>
    <row r="15" spans="1:10" ht="18" customHeight="1">
      <c r="A15" s="8" t="s">
        <v>36</v>
      </c>
      <c r="B15" s="164">
        <v>88</v>
      </c>
      <c r="C15" s="165" t="s">
        <v>149</v>
      </c>
      <c r="D15" s="166"/>
      <c r="E15" s="167" t="str" cm="1">
        <f t="array" ref="E15">IF(ISNUMBER('25 上코모도(6-BB)(''25)'!B16),"2025 Comodo League 6-B"&amp;"\n","")&amp;IF(ISNUMBER('24 下코모도(6-C)(''25)'!B16),"2025 Comodo League 6-C"&amp;"\n","")</f>
        <v>2025 Comodo League 6-C\n</v>
      </c>
      <c r="F15" s="167"/>
      <c r="G15" s="167"/>
      <c r="H15" s="167" t="s">
        <v>211</v>
      </c>
      <c r="I15" s="167" t="s">
        <v>213</v>
      </c>
      <c r="J15" s="167"/>
    </row>
    <row r="16" spans="1:10" ht="18" customHeight="1">
      <c r="A16" s="8" t="s">
        <v>37</v>
      </c>
      <c r="B16" s="164">
        <v>0</v>
      </c>
      <c r="C16" s="165" t="s">
        <v>150</v>
      </c>
      <c r="D16" s="166"/>
      <c r="E16" s="167" t="str" cm="1">
        <f t="array" ref="E16">IF(ISNUMBER('25 上코모도(6-BB)(''25)'!B17),"2025 Comodo League 6-B"&amp;"\n","")&amp;IF(ISNUMBER('24 下코모도(6-C)(''25)'!B17),"2025 Comodo League 6-C"&amp;"\n","")</f>
        <v>2025 Comodo League 6-B\n2025 Comodo League 6-C\n</v>
      </c>
      <c r="F16" s="167"/>
      <c r="G16" s="167"/>
      <c r="H16" s="167" t="s">
        <v>210</v>
      </c>
      <c r="I16" s="167" t="s">
        <v>214</v>
      </c>
      <c r="J16" s="167"/>
    </row>
    <row r="17" spans="1:10" ht="18" customHeight="1">
      <c r="A17" s="8" t="s">
        <v>38</v>
      </c>
      <c r="B17" s="164">
        <v>18</v>
      </c>
      <c r="C17" s="165" t="s">
        <v>151</v>
      </c>
      <c r="D17" s="169"/>
      <c r="E17" s="167" t="str" cm="1">
        <f t="array" ref="E17">IF(ISNUMBER('25 上코모도(6-BB)(''25)'!B18),"2025 Comodo League 6-B"&amp;"\n","")&amp;IF(ISNUMBER('24 下코모도(6-C)(''25)'!B18),"2025 Comodo League 6-C"&amp;"\n","")</f>
        <v>2025 Comodo League 6-B\n2025 Comodo League 6-C\n</v>
      </c>
      <c r="F17" s="167"/>
      <c r="G17" s="167"/>
      <c r="H17" s="167" t="s">
        <v>210</v>
      </c>
      <c r="I17" s="167" t="s">
        <v>212</v>
      </c>
      <c r="J17" s="167"/>
    </row>
    <row r="18" spans="1:10" ht="18" customHeight="1">
      <c r="A18" s="8" t="s">
        <v>39</v>
      </c>
      <c r="B18" s="164">
        <v>100</v>
      </c>
      <c r="C18" s="165" t="s">
        <v>152</v>
      </c>
      <c r="D18" s="166"/>
      <c r="E18" s="167" t="str" cm="1">
        <f t="array" ref="E18">IF(ISNUMBER('25 上코모도(6-BB)(''25)'!B19),"2025 Comodo League 6-B"&amp;"\n","")&amp;IF(ISNUMBER('24 下코모도(6-C)(''25)'!B19),"2025 Comodo League 6-C"&amp;"\n","")</f>
        <v>2025 Comodo League 6-B\n2025 Comodo League 6-C\n</v>
      </c>
      <c r="F18" s="167"/>
      <c r="G18" s="167"/>
      <c r="H18" s="167" t="s">
        <v>210</v>
      </c>
      <c r="I18" s="167" t="s">
        <v>212</v>
      </c>
      <c r="J18" s="167"/>
    </row>
    <row r="19" spans="1:10" ht="18" customHeight="1">
      <c r="A19" s="8" t="s">
        <v>70</v>
      </c>
      <c r="B19" s="48">
        <v>7</v>
      </c>
      <c r="C19" s="234" t="s">
        <v>230</v>
      </c>
      <c r="D19" s="166"/>
      <c r="E19" s="167" t="str" cm="1">
        <f t="array" ref="E19">IF(ISNUMBER('25 上코모도(6-BB)(''25)'!B20),"2025 Comodo League 6-B"&amp;"\n","")&amp;IF(ISNUMBER('24 下코모도(6-C)(''25)'!B20),"2025 Comodo League 6-C"&amp;"\n","")</f>
        <v>2025 Comodo League 6-B\n2025 Comodo League 6-C\n</v>
      </c>
      <c r="F19" s="167"/>
      <c r="G19" s="167"/>
      <c r="H19" s="167" t="s">
        <v>210</v>
      </c>
      <c r="I19" s="167" t="s">
        <v>212</v>
      </c>
      <c r="J19" s="167"/>
    </row>
    <row r="20" spans="1:10" ht="18" customHeight="1">
      <c r="A20" s="8" t="s">
        <v>40</v>
      </c>
      <c r="B20" s="164">
        <v>17</v>
      </c>
      <c r="C20" s="165" t="s">
        <v>153</v>
      </c>
      <c r="D20" s="166"/>
      <c r="E20" s="167" t="str" cm="1">
        <f t="array" ref="E20">IF(ISNUMBER('25 上코모도(6-BB)(''25)'!B21),"2025 Comodo League 6-B"&amp;"\n","")&amp;IF(ISNUMBER('24 下코모도(6-C)(''25)'!B21),"2025 Comodo League 6-C"&amp;"\n","")</f>
        <v>2025 Comodo League 6-B\n2025 Comodo League 6-C\n</v>
      </c>
      <c r="F20" s="167"/>
      <c r="G20" s="167"/>
      <c r="H20" s="167" t="s">
        <v>210</v>
      </c>
      <c r="I20" s="167" t="s">
        <v>212</v>
      </c>
      <c r="J20" s="167"/>
    </row>
    <row r="21" spans="1:10" ht="18" customHeight="1">
      <c r="A21" s="8" t="s">
        <v>41</v>
      </c>
      <c r="B21" s="164">
        <v>14</v>
      </c>
      <c r="C21" s="165" t="s">
        <v>154</v>
      </c>
      <c r="D21" s="166"/>
      <c r="E21" s="167" t="str" cm="1">
        <f t="array" ref="E21">IF(ISNUMBER('25 上코모도(6-BB)(''25)'!B22),"2025 Comodo League 6-B"&amp;"\n","")&amp;IF(ISNUMBER('24 下코모도(6-C)(''25)'!B22),"2025 Comodo League 6-C"&amp;"\n","")</f>
        <v>2025 Comodo League 6-B\n2025 Comodo League 6-C\n</v>
      </c>
      <c r="F21" s="167"/>
      <c r="G21" s="167"/>
      <c r="H21" s="167" t="s">
        <v>210</v>
      </c>
      <c r="I21" s="167" t="s">
        <v>212</v>
      </c>
      <c r="J21" s="167"/>
    </row>
    <row r="22" spans="1:10" ht="18" customHeight="1">
      <c r="A22" s="8" t="s">
        <v>42</v>
      </c>
      <c r="B22" s="164">
        <v>56</v>
      </c>
      <c r="C22" s="165" t="s">
        <v>155</v>
      </c>
      <c r="D22" s="166"/>
      <c r="E22" s="167" t="str" cm="1">
        <f t="array" ref="E22">IF(ISNUMBER('25 上코모도(6-BB)(''25)'!B23),"2025 Comodo League 6-B"&amp;"\n","")&amp;IF(ISNUMBER('24 下코모도(6-C)(''25)'!B23),"2025 Comodo League 6-C"&amp;"\n","")</f>
        <v>2025 Comodo League 6-B\n2025 Comodo League 6-C\n</v>
      </c>
      <c r="F22" s="167"/>
      <c r="G22" s="167"/>
      <c r="H22" s="167" t="s">
        <v>210</v>
      </c>
      <c r="I22" s="167" t="s">
        <v>212</v>
      </c>
      <c r="J22" s="167"/>
    </row>
    <row r="23" spans="1:10" ht="18" customHeight="1">
      <c r="A23" s="8" t="s">
        <v>43</v>
      </c>
      <c r="B23" s="164">
        <v>1</v>
      </c>
      <c r="C23" s="165" t="s">
        <v>156</v>
      </c>
      <c r="D23" s="166"/>
      <c r="E23" s="167" t="str" cm="1">
        <f t="array" ref="E23">IF(ISNUMBER('25 上코모도(6-BB)(''25)'!B24),"2025 Comodo League 6-B"&amp;"\n","")&amp;IF(ISNUMBER('24 下코모도(6-C)(''25)'!B24),"2025 Comodo League 6-C"&amp;"\n","")</f>
        <v>2025 Comodo League 6-B\n2025 Comodo League 6-C\n</v>
      </c>
      <c r="F23" s="167"/>
      <c r="G23" s="167"/>
      <c r="H23" s="167" t="s">
        <v>210</v>
      </c>
      <c r="I23" s="167" t="s">
        <v>212</v>
      </c>
      <c r="J23" s="167"/>
    </row>
    <row r="24" spans="1:10" ht="18" customHeight="1">
      <c r="A24" s="8" t="s">
        <v>71</v>
      </c>
      <c r="B24" s="48">
        <v>8</v>
      </c>
      <c r="C24" s="235" t="s">
        <v>229</v>
      </c>
      <c r="D24" s="166"/>
      <c r="E24" s="167" t="str" cm="1">
        <f t="array" ref="E24">IF(ISNUMBER('25 上코모도(6-BB)(''25)'!B25),"2025 Comodo League 6-B"&amp;"\n","")&amp;IF(ISNUMBER('24 下코모도(6-C)(''25)'!B25),"2025 Comodo League 6-C"&amp;"\n","")</f>
        <v>2025 Comodo League 6-B\n</v>
      </c>
      <c r="F24" s="167"/>
      <c r="G24" s="167"/>
      <c r="H24" s="167" t="s">
        <v>210</v>
      </c>
      <c r="I24" s="167" t="s">
        <v>212</v>
      </c>
      <c r="J24" s="167"/>
    </row>
    <row r="25" spans="1:10" ht="18" customHeight="1">
      <c r="A25" s="8" t="s">
        <v>44</v>
      </c>
      <c r="B25" s="164">
        <v>20</v>
      </c>
      <c r="C25" s="165" t="s">
        <v>157</v>
      </c>
      <c r="D25" s="166"/>
      <c r="E25" s="167" t="str" cm="1">
        <f t="array" ref="E25">IF(ISNUMBER('25 上코모도(6-BB)(''25)'!B26),"2025 Comodo League 6-B"&amp;"\n","")&amp;IF(ISNUMBER('24 下코모도(6-C)(''25)'!B26),"2025 Comodo League 6-C"&amp;"\n","")</f>
        <v>2025 Comodo League 6-B\n2025 Comodo League 6-C\n</v>
      </c>
      <c r="F25" s="167"/>
      <c r="G25" s="167"/>
      <c r="H25" s="167" t="s">
        <v>210</v>
      </c>
      <c r="I25" s="167" t="s">
        <v>212</v>
      </c>
      <c r="J25" s="167"/>
    </row>
  </sheetData>
  <mergeCells count="1">
    <mergeCell ref="A1:J1"/>
  </mergeCells>
  <phoneticPr fontId="21" type="noConversion"/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37"/>
  <sheetViews>
    <sheetView showGridLines="0" zoomScale="70" zoomScaleNormal="70" workbookViewId="0">
      <selection activeCell="Z28" sqref="Z28"/>
    </sheetView>
  </sheetViews>
  <sheetFormatPr defaultColWidth="9" defaultRowHeight="16.5" customHeight="1"/>
  <cols>
    <col min="1" max="22" width="8.875" style="1" customWidth="1"/>
    <col min="23" max="24" width="9" style="1" customWidth="1"/>
    <col min="25" max="25" width="10" style="1" customWidth="1"/>
    <col min="26" max="26" width="9" style="1" customWidth="1"/>
    <col min="27" max="27" width="11.125" style="1" customWidth="1"/>
    <col min="28" max="36" width="9" style="1" customWidth="1"/>
    <col min="37" max="16384" width="9" style="1"/>
  </cols>
  <sheetData>
    <row r="1" spans="1:35" ht="26.2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</row>
    <row r="2" spans="1:35" ht="17.25" customHeight="1">
      <c r="A2" s="5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7"/>
      <c r="U2" s="6"/>
      <c r="V2" s="6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</row>
    <row r="3" spans="1:35" ht="34.5" customHeight="1">
      <c r="A3" s="8" t="s">
        <v>2</v>
      </c>
      <c r="B3" s="8" t="s">
        <v>3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10</v>
      </c>
      <c r="J3" s="8" t="s">
        <v>11</v>
      </c>
      <c r="K3" s="8" t="s">
        <v>12</v>
      </c>
      <c r="L3" s="8" t="s">
        <v>13</v>
      </c>
      <c r="M3" s="8" t="s">
        <v>14</v>
      </c>
      <c r="N3" s="8" t="s">
        <v>15</v>
      </c>
      <c r="O3" s="8" t="s">
        <v>16</v>
      </c>
      <c r="P3" s="8" t="s">
        <v>17</v>
      </c>
      <c r="Q3" s="8" t="s">
        <v>18</v>
      </c>
      <c r="R3" s="8" t="s">
        <v>19</v>
      </c>
      <c r="S3" s="8" t="s">
        <v>20</v>
      </c>
      <c r="T3" s="8" t="s">
        <v>21</v>
      </c>
      <c r="U3" s="8" t="s">
        <v>22</v>
      </c>
      <c r="V3" s="8" t="s">
        <v>23</v>
      </c>
      <c r="W3" s="9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</row>
    <row r="4" spans="1:35" ht="15" customHeight="1">
      <c r="A4" s="8" t="s">
        <v>24</v>
      </c>
      <c r="B4" s="10">
        <v>6</v>
      </c>
      <c r="C4" s="11" cm="1">
        <f t="array" ref="C4">F4/E4</f>
        <v>0</v>
      </c>
      <c r="D4" s="10">
        <v>1</v>
      </c>
      <c r="E4" s="10">
        <v>1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0</v>
      </c>
      <c r="M4" s="10">
        <v>1</v>
      </c>
      <c r="N4" s="10">
        <v>0</v>
      </c>
      <c r="O4" s="10">
        <v>1</v>
      </c>
      <c r="P4" s="12" cm="1">
        <f t="array" ref="P4">O4/D4</f>
        <v>1</v>
      </c>
      <c r="Q4" s="13" cm="1">
        <f t="array" ref="Q4">(G4*1+H4*2+I4*3+J4*4)/E4</f>
        <v>0</v>
      </c>
      <c r="R4" s="14" cm="1">
        <f t="array" ref="R4">(F4+N4)/D4</f>
        <v>0</v>
      </c>
      <c r="S4" s="15" cm="1">
        <f t="array" ref="S4">R4+Q4</f>
        <v>0</v>
      </c>
      <c r="T4" s="16" cm="1">
        <f t="array" ref="T4">O4/(D4-(F4+N4))</f>
        <v>1</v>
      </c>
      <c r="U4" s="17" cm="1">
        <f t="array" ref="U4">RANK(R4,$R$4:$R$24)</f>
        <v>20</v>
      </c>
      <c r="V4" s="18" cm="1">
        <f t="array" ref="V4">RANK(S4,$S$4:$S$24)</f>
        <v>20</v>
      </c>
      <c r="W4" s="9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</row>
    <row r="5" spans="1:35" ht="17.25" customHeight="1">
      <c r="A5" s="8" t="s">
        <v>25</v>
      </c>
      <c r="B5" s="10">
        <v>19</v>
      </c>
      <c r="C5" s="11" cm="1">
        <f t="array" ref="C5">F5/E5</f>
        <v>0.23529411764705882</v>
      </c>
      <c r="D5" s="10">
        <v>34</v>
      </c>
      <c r="E5" s="10">
        <v>17</v>
      </c>
      <c r="F5" s="10">
        <v>4</v>
      </c>
      <c r="G5" s="10">
        <v>4</v>
      </c>
      <c r="H5" s="10">
        <v>0</v>
      </c>
      <c r="I5" s="10">
        <v>0</v>
      </c>
      <c r="J5" s="10">
        <v>0</v>
      </c>
      <c r="K5" s="10">
        <v>6</v>
      </c>
      <c r="L5" s="10">
        <v>6</v>
      </c>
      <c r="M5" s="10">
        <v>3</v>
      </c>
      <c r="N5" s="10">
        <v>16</v>
      </c>
      <c r="O5" s="10">
        <v>7</v>
      </c>
      <c r="P5" s="19" cm="1">
        <f t="array" ref="P5">O5/D5</f>
        <v>0.20588235294117646</v>
      </c>
      <c r="Q5" s="13" cm="1">
        <f t="array" ref="Q5">(G5*1+H5*2+I5*3+J5*4)/E5</f>
        <v>0.23529411764705882</v>
      </c>
      <c r="R5" s="14" cm="1">
        <f t="array" ref="R5">(F5+N5)/D5</f>
        <v>0.58823529411764708</v>
      </c>
      <c r="S5" s="15" cm="1">
        <f t="array" ref="S5">R5+Q5</f>
        <v>0.82352941176470584</v>
      </c>
      <c r="T5" s="20" cm="1">
        <f t="array" ref="T5">O5/(D5-(F5+N5))</f>
        <v>0.5</v>
      </c>
      <c r="U5" s="17" cm="1">
        <f t="array" ref="U5">RANK(R5,$R$4:$R$24)</f>
        <v>2</v>
      </c>
      <c r="V5" s="18" cm="1">
        <f t="array" ref="V5">RANK(S5,$S$4:$S$24)</f>
        <v>10</v>
      </c>
      <c r="W5" s="9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</row>
    <row r="6" spans="1:35" ht="17.25" customHeight="1">
      <c r="A6" s="8" t="s">
        <v>26</v>
      </c>
      <c r="B6" s="10">
        <v>29</v>
      </c>
      <c r="C6" s="11" cm="1">
        <f t="array" ref="C6">F6/E6</f>
        <v>0.55000000000000004</v>
      </c>
      <c r="D6" s="10">
        <v>78</v>
      </c>
      <c r="E6" s="10">
        <v>60</v>
      </c>
      <c r="F6" s="10">
        <v>33</v>
      </c>
      <c r="G6" s="10">
        <v>24</v>
      </c>
      <c r="H6" s="10">
        <v>7</v>
      </c>
      <c r="I6" s="10">
        <v>2</v>
      </c>
      <c r="J6" s="10">
        <v>0</v>
      </c>
      <c r="K6" s="10">
        <v>35</v>
      </c>
      <c r="L6" s="10">
        <v>30</v>
      </c>
      <c r="M6" s="10">
        <v>24</v>
      </c>
      <c r="N6" s="10">
        <v>16</v>
      </c>
      <c r="O6" s="10">
        <v>5</v>
      </c>
      <c r="P6" s="19" cm="1">
        <f t="array" ref="P6">O6/D6</f>
        <v>6.4102564102564097E-2</v>
      </c>
      <c r="Q6" s="13" cm="1">
        <f t="array" ref="Q6">(G6*1+H6*2+I6*3+J6*4)/E6</f>
        <v>0.73333333333333328</v>
      </c>
      <c r="R6" s="14" cm="1">
        <f t="array" ref="R6">(F6+N6)/D6</f>
        <v>0.62820512820512819</v>
      </c>
      <c r="S6" s="15" cm="1">
        <f t="array" ref="S6">R6+Q6</f>
        <v>1.3615384615384616</v>
      </c>
      <c r="T6" s="21" cm="1">
        <f t="array" ref="T6">O6/(D6-(F6+N6))</f>
        <v>0.17241379310344829</v>
      </c>
      <c r="U6" s="17" cm="1">
        <f t="array" ref="U6">RANK(R6,$R$4:$R$24)</f>
        <v>1</v>
      </c>
      <c r="V6" s="18" cm="1">
        <f t="array" ref="V6">RANK(S6,$S$4:$S$24)</f>
        <v>2</v>
      </c>
      <c r="W6" s="9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</row>
    <row r="7" spans="1:35" ht="17.25" customHeight="1">
      <c r="A7" s="8" t="s">
        <v>27</v>
      </c>
      <c r="B7" s="10">
        <v>1</v>
      </c>
      <c r="C7" s="11" cm="1">
        <f t="array" ref="C7">F7/E7</f>
        <v>0</v>
      </c>
      <c r="D7" s="10">
        <v>4</v>
      </c>
      <c r="E7" s="10">
        <v>4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3</v>
      </c>
      <c r="M7" s="10">
        <v>0</v>
      </c>
      <c r="N7" s="10">
        <v>0</v>
      </c>
      <c r="O7" s="10">
        <v>0</v>
      </c>
      <c r="P7" s="19" cm="1">
        <f t="array" ref="P7">O7/D7</f>
        <v>0</v>
      </c>
      <c r="Q7" s="13" cm="1">
        <f t="array" ref="Q7">(G7*1+H7*2+I7*3+J7*4)/E7</f>
        <v>0</v>
      </c>
      <c r="R7" s="14" cm="1">
        <f t="array" ref="R7">(F7+N7)/D7</f>
        <v>0</v>
      </c>
      <c r="S7" s="15" cm="1">
        <f t="array" ref="S7">R7+Q7</f>
        <v>0</v>
      </c>
      <c r="T7" s="22" cm="1">
        <f t="array" ref="T7">O7/(D7-(F7+N7))</f>
        <v>0</v>
      </c>
      <c r="U7" s="17" cm="1">
        <f t="array" ref="U7">RANK(R7,$R$4:$R$24)</f>
        <v>20</v>
      </c>
      <c r="V7" s="18" cm="1">
        <f t="array" ref="V7">RANK(S7,$S$4:$S$24)</f>
        <v>20</v>
      </c>
      <c r="W7" s="9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</row>
    <row r="8" spans="1:35" ht="17.25" customHeight="1">
      <c r="A8" s="8" t="s">
        <v>28</v>
      </c>
      <c r="B8" s="10">
        <v>30</v>
      </c>
      <c r="C8" s="11" cm="1">
        <f t="array" ref="C8">F8/E8</f>
        <v>0.36666666666666664</v>
      </c>
      <c r="D8" s="10">
        <v>75</v>
      </c>
      <c r="E8" s="10">
        <v>60</v>
      </c>
      <c r="F8" s="10">
        <v>22</v>
      </c>
      <c r="G8" s="10">
        <v>14</v>
      </c>
      <c r="H8" s="10">
        <v>5</v>
      </c>
      <c r="I8" s="10">
        <v>3</v>
      </c>
      <c r="J8" s="10">
        <v>0</v>
      </c>
      <c r="K8" s="10">
        <v>22</v>
      </c>
      <c r="L8" s="10">
        <v>24</v>
      </c>
      <c r="M8" s="10">
        <v>13</v>
      </c>
      <c r="N8" s="10">
        <v>14</v>
      </c>
      <c r="O8" s="10">
        <v>14</v>
      </c>
      <c r="P8" s="19" cm="1">
        <f t="array" ref="P8">O8/D8</f>
        <v>0.18666666666666668</v>
      </c>
      <c r="Q8" s="13" cm="1">
        <f t="array" ref="Q8">(G8*1+H8*2+I8*3+J8*4)/E8</f>
        <v>0.55000000000000004</v>
      </c>
      <c r="R8" s="14" cm="1">
        <f t="array" ref="R8">(F8+N8)/D8</f>
        <v>0.48</v>
      </c>
      <c r="S8" s="15" cm="1">
        <f t="array" ref="S8">R8+Q8</f>
        <v>1.03</v>
      </c>
      <c r="T8" s="20" cm="1">
        <f t="array" ref="T8">O8/(D8-(F8+N8))</f>
        <v>0.35897435897435898</v>
      </c>
      <c r="U8" s="17" cm="1">
        <f t="array" ref="U8">RANK(R8,$R$4:$R$24)</f>
        <v>8</v>
      </c>
      <c r="V8" s="18" cm="1">
        <f t="array" ref="V8">RANK(S8,$S$4:$S$24)</f>
        <v>6</v>
      </c>
      <c r="W8" s="9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</row>
    <row r="9" spans="1:35" ht="17.25" customHeight="1">
      <c r="A9" s="8" t="s">
        <v>29</v>
      </c>
      <c r="B9" s="10">
        <v>17</v>
      </c>
      <c r="C9" s="11" cm="1">
        <f t="array" ref="C9">F9/E9</f>
        <v>0.22580645161290322</v>
      </c>
      <c r="D9" s="10">
        <v>38</v>
      </c>
      <c r="E9" s="10">
        <v>31</v>
      </c>
      <c r="F9" s="10">
        <v>7</v>
      </c>
      <c r="G9" s="10">
        <v>6</v>
      </c>
      <c r="H9" s="10">
        <v>1</v>
      </c>
      <c r="I9" s="10">
        <v>0</v>
      </c>
      <c r="J9" s="10">
        <v>0</v>
      </c>
      <c r="K9" s="10">
        <v>7</v>
      </c>
      <c r="L9" s="10">
        <v>4</v>
      </c>
      <c r="M9" s="10">
        <v>7</v>
      </c>
      <c r="N9" s="10">
        <v>7</v>
      </c>
      <c r="O9" s="10">
        <v>15</v>
      </c>
      <c r="P9" s="12" cm="1">
        <f t="array" ref="P9">O9/D9</f>
        <v>0.39473684210526316</v>
      </c>
      <c r="Q9" s="13" cm="1">
        <f t="array" ref="Q9">(G9*1+H9*2+I9*3+J9*4)/E9</f>
        <v>0.25806451612903225</v>
      </c>
      <c r="R9" s="14" cm="1">
        <f t="array" ref="R9">(F9+N9)/D9</f>
        <v>0.36842105263157893</v>
      </c>
      <c r="S9" s="15" cm="1">
        <f t="array" ref="S9">R9+Q9</f>
        <v>0.62648556876061123</v>
      </c>
      <c r="T9" s="20" cm="1">
        <f t="array" ref="T9">O9/(D9-(F9+N9))</f>
        <v>0.625</v>
      </c>
      <c r="U9" s="17" cm="1">
        <f t="array" ref="U9">RANK(R9,$R$4:$R$24)</f>
        <v>15</v>
      </c>
      <c r="V9" s="18" cm="1">
        <f t="array" ref="V9">RANK(S9,$S$4:$S$24)</f>
        <v>16</v>
      </c>
      <c r="W9" s="9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</row>
    <row r="10" spans="1:35" ht="17.25" customHeight="1">
      <c r="A10" s="8" t="s">
        <v>30</v>
      </c>
      <c r="B10" s="10">
        <v>29</v>
      </c>
      <c r="C10" s="11" cm="1">
        <f t="array" ref="C10">F10/E10</f>
        <v>0.51315789473684215</v>
      </c>
      <c r="D10" s="10">
        <v>94</v>
      </c>
      <c r="E10" s="10">
        <v>76</v>
      </c>
      <c r="F10" s="10">
        <v>39</v>
      </c>
      <c r="G10" s="10">
        <v>28</v>
      </c>
      <c r="H10" s="10">
        <v>7</v>
      </c>
      <c r="I10" s="10">
        <v>3</v>
      </c>
      <c r="J10" s="10">
        <v>1</v>
      </c>
      <c r="K10" s="10">
        <v>40</v>
      </c>
      <c r="L10" s="10">
        <v>27</v>
      </c>
      <c r="M10" s="10">
        <v>47</v>
      </c>
      <c r="N10" s="10">
        <v>16</v>
      </c>
      <c r="O10" s="10">
        <v>8</v>
      </c>
      <c r="P10" s="19" cm="1">
        <f t="array" ref="P10">O10/D10</f>
        <v>8.5106382978723402E-2</v>
      </c>
      <c r="Q10" s="13" cm="1">
        <f t="array" ref="Q10">(G10*1+H10*2+I10*3+J10*4)/E10</f>
        <v>0.72368421052631582</v>
      </c>
      <c r="R10" s="14" cm="1">
        <f t="array" ref="R10">(F10+N10)/D10</f>
        <v>0.58510638297872342</v>
      </c>
      <c r="S10" s="15" cm="1">
        <f t="array" ref="S10">R10+Q10</f>
        <v>1.3087905935050392</v>
      </c>
      <c r="T10" s="21" cm="1">
        <f t="array" ref="T10">O10/(D10-(F10+N10))</f>
        <v>0.20512820512820512</v>
      </c>
      <c r="U10" s="17" cm="1">
        <f t="array" ref="U10">RANK(R10,$R$4:$R$24)</f>
        <v>3</v>
      </c>
      <c r="V10" s="18" cm="1">
        <f t="array" ref="V10">RANK(S10,$S$4:$S$24)</f>
        <v>3</v>
      </c>
      <c r="W10" s="9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</row>
    <row r="11" spans="1:35" ht="17.25" customHeight="1">
      <c r="A11" s="8" t="s">
        <v>31</v>
      </c>
      <c r="B11" s="10">
        <v>16</v>
      </c>
      <c r="C11" s="11" cm="1">
        <f t="array" ref="C11">F11/E11</f>
        <v>0.28125</v>
      </c>
      <c r="D11" s="10">
        <v>36</v>
      </c>
      <c r="E11" s="10">
        <v>32</v>
      </c>
      <c r="F11" s="10">
        <v>9</v>
      </c>
      <c r="G11" s="10">
        <v>8</v>
      </c>
      <c r="H11" s="10">
        <v>1</v>
      </c>
      <c r="I11" s="10">
        <v>0</v>
      </c>
      <c r="J11" s="10">
        <v>0</v>
      </c>
      <c r="K11" s="10">
        <v>10</v>
      </c>
      <c r="L11" s="10">
        <v>9</v>
      </c>
      <c r="M11" s="10">
        <v>8</v>
      </c>
      <c r="N11" s="10">
        <v>4</v>
      </c>
      <c r="O11" s="10">
        <v>8</v>
      </c>
      <c r="P11" s="19" cm="1">
        <f t="array" ref="P11">O11/D11</f>
        <v>0.22222222222222221</v>
      </c>
      <c r="Q11" s="13" cm="1">
        <f t="array" ref="Q11">(G11*1+H11*2+I11*3+J11*4)/E11</f>
        <v>0.3125</v>
      </c>
      <c r="R11" s="14" cm="1">
        <f t="array" ref="R11">(F11+N11)/D11</f>
        <v>0.3611111111111111</v>
      </c>
      <c r="S11" s="15" cm="1">
        <f t="array" ref="S11">R11+Q11</f>
        <v>0.67361111111111116</v>
      </c>
      <c r="T11" s="20" cm="1">
        <f t="array" ref="T11">O11/(D11-(F11+N11))</f>
        <v>0.34782608695652173</v>
      </c>
      <c r="U11" s="17" cm="1">
        <f t="array" ref="U11">RANK(R11,$R$4:$R$24)</f>
        <v>16</v>
      </c>
      <c r="V11" s="18" cm="1">
        <f t="array" ref="V11">RANK(S11,$S$4:$S$24)</f>
        <v>13</v>
      </c>
      <c r="W11" s="9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</row>
    <row r="12" spans="1:35" ht="17.25" customHeight="1">
      <c r="A12" s="8" t="s">
        <v>32</v>
      </c>
      <c r="B12" s="10">
        <v>5</v>
      </c>
      <c r="C12" s="11" cm="1">
        <f t="array" ref="C12">F12/E12</f>
        <v>0.16666666666666666</v>
      </c>
      <c r="D12" s="10">
        <v>9</v>
      </c>
      <c r="E12" s="10">
        <v>6</v>
      </c>
      <c r="F12" s="10">
        <v>1</v>
      </c>
      <c r="G12" s="10">
        <v>1</v>
      </c>
      <c r="H12" s="10">
        <v>0</v>
      </c>
      <c r="I12" s="10">
        <v>0</v>
      </c>
      <c r="J12" s="10">
        <v>0</v>
      </c>
      <c r="K12" s="10">
        <v>1</v>
      </c>
      <c r="L12" s="10">
        <v>1</v>
      </c>
      <c r="M12" s="10">
        <v>1</v>
      </c>
      <c r="N12" s="10">
        <v>0</v>
      </c>
      <c r="O12" s="10">
        <v>1</v>
      </c>
      <c r="P12" s="19" cm="1">
        <f t="array" ref="P12">O12/D12</f>
        <v>0.1111111111111111</v>
      </c>
      <c r="Q12" s="13" cm="1">
        <f t="array" ref="Q12">(G12*1+H12*2+I12*3+J12*4)/E12</f>
        <v>0.16666666666666666</v>
      </c>
      <c r="R12" s="14" cm="1">
        <f t="array" ref="R12">(F12+N12)/D12</f>
        <v>0.1111111111111111</v>
      </c>
      <c r="S12" s="15" cm="1">
        <f t="array" ref="S12">R12+Q12</f>
        <v>0.27777777777777779</v>
      </c>
      <c r="T12" s="22" cm="1">
        <f t="array" ref="T12">O12/(D12-(F12+N12))</f>
        <v>0.125</v>
      </c>
      <c r="U12" s="17" cm="1">
        <f t="array" ref="U12">RANK(R12,$R$4:$R$24)</f>
        <v>19</v>
      </c>
      <c r="V12" s="18" cm="1">
        <f t="array" ref="V12">RANK(S12,$S$4:$S$24)</f>
        <v>19</v>
      </c>
      <c r="W12" s="9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</row>
    <row r="13" spans="1:35" ht="17.25" customHeight="1">
      <c r="A13" s="8" t="s">
        <v>33</v>
      </c>
      <c r="B13" s="10">
        <v>24</v>
      </c>
      <c r="C13" s="11" cm="1">
        <f t="array" ref="C13">F13/E13</f>
        <v>0.51923076923076927</v>
      </c>
      <c r="D13" s="10">
        <v>58</v>
      </c>
      <c r="E13" s="10">
        <v>52</v>
      </c>
      <c r="F13" s="10">
        <v>27</v>
      </c>
      <c r="G13" s="10">
        <v>12</v>
      </c>
      <c r="H13" s="10">
        <v>13</v>
      </c>
      <c r="I13" s="10">
        <v>1</v>
      </c>
      <c r="J13" s="10">
        <v>1</v>
      </c>
      <c r="K13" s="10">
        <v>18</v>
      </c>
      <c r="L13" s="10">
        <v>23</v>
      </c>
      <c r="M13" s="10">
        <v>8</v>
      </c>
      <c r="N13" s="10">
        <v>5</v>
      </c>
      <c r="O13" s="10">
        <v>5</v>
      </c>
      <c r="P13" s="19" cm="1">
        <f t="array" ref="P13">O13/D13</f>
        <v>8.6206896551724144E-2</v>
      </c>
      <c r="Q13" s="13" cm="1">
        <f t="array" ref="Q13">(G13*1+H13*2+I13*3+J13*4)/E13</f>
        <v>0.86538461538461542</v>
      </c>
      <c r="R13" s="14" cm="1">
        <f t="array" ref="R13">(F13+N13)/D13</f>
        <v>0.55172413793103448</v>
      </c>
      <c r="S13" s="15" cm="1">
        <f t="array" ref="S13">R13+Q13</f>
        <v>1.4171087533156499</v>
      </c>
      <c r="T13" s="23" cm="1">
        <f t="array" ref="T13">O13/(D13-(F13+N13))</f>
        <v>0.19230769230769232</v>
      </c>
      <c r="U13" s="17" cm="1">
        <f t="array" ref="U13">RANK(R13,$R$4:$R$24)</f>
        <v>5</v>
      </c>
      <c r="V13" s="18" cm="1">
        <f t="array" ref="V13">RANK(S13,$S$4:$S$24)</f>
        <v>1</v>
      </c>
      <c r="W13" s="9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</row>
    <row r="14" spans="1:35" ht="17.25" customHeight="1">
      <c r="A14" s="8" t="s">
        <v>34</v>
      </c>
      <c r="B14" s="10">
        <v>14</v>
      </c>
      <c r="C14" s="11" cm="1">
        <f t="array" ref="C14">F14/E14</f>
        <v>0.16666666666666666</v>
      </c>
      <c r="D14" s="10">
        <v>33</v>
      </c>
      <c r="E14" s="10">
        <v>24</v>
      </c>
      <c r="F14" s="10">
        <v>4</v>
      </c>
      <c r="G14" s="10">
        <v>3</v>
      </c>
      <c r="H14" s="10">
        <v>0</v>
      </c>
      <c r="I14" s="10">
        <v>1</v>
      </c>
      <c r="J14" s="10">
        <v>0</v>
      </c>
      <c r="K14" s="10">
        <v>10</v>
      </c>
      <c r="L14" s="10">
        <v>2</v>
      </c>
      <c r="M14" s="10">
        <v>5</v>
      </c>
      <c r="N14" s="10">
        <v>9</v>
      </c>
      <c r="O14" s="10">
        <v>11</v>
      </c>
      <c r="P14" s="12" cm="1">
        <f t="array" ref="P14">O14/D14</f>
        <v>0.33333333333333331</v>
      </c>
      <c r="Q14" s="13" cm="1">
        <f t="array" ref="Q14">(G14*1+H14*2+I14*3+J14*4)/E14</f>
        <v>0.25</v>
      </c>
      <c r="R14" s="14" cm="1">
        <f t="array" ref="R14">(F14+N14)/D14</f>
        <v>0.39393939393939392</v>
      </c>
      <c r="S14" s="15" cm="1">
        <f t="array" ref="S14">R14+Q14</f>
        <v>0.64393939393939392</v>
      </c>
      <c r="T14" s="24" cm="1">
        <f t="array" ref="T14">O14/(D14-(F14+N14))</f>
        <v>0.55000000000000004</v>
      </c>
      <c r="U14" s="17" cm="1">
        <f t="array" ref="U14">RANK(R14,$R$4:$R$24)</f>
        <v>13</v>
      </c>
      <c r="V14" s="18" cm="1">
        <f t="array" ref="V14">RANK(S14,$S$4:$S$24)</f>
        <v>14</v>
      </c>
      <c r="W14" s="9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</row>
    <row r="15" spans="1:35" ht="17.25" customHeight="1">
      <c r="A15" s="8" t="s">
        <v>35</v>
      </c>
      <c r="B15" s="10">
        <v>8</v>
      </c>
      <c r="C15" s="11" cm="1">
        <f t="array" ref="C15">F15/E15</f>
        <v>0.15384615384615385</v>
      </c>
      <c r="D15" s="10">
        <v>20</v>
      </c>
      <c r="E15" s="10">
        <v>13</v>
      </c>
      <c r="F15" s="10">
        <v>2</v>
      </c>
      <c r="G15" s="10">
        <v>2</v>
      </c>
      <c r="H15" s="10">
        <v>0</v>
      </c>
      <c r="I15" s="10">
        <v>0</v>
      </c>
      <c r="J15" s="10">
        <v>0</v>
      </c>
      <c r="K15" s="10">
        <v>3</v>
      </c>
      <c r="L15" s="10">
        <v>4</v>
      </c>
      <c r="M15" s="10">
        <v>1</v>
      </c>
      <c r="N15" s="10">
        <v>4</v>
      </c>
      <c r="O15" s="10">
        <v>7</v>
      </c>
      <c r="P15" s="12" cm="1">
        <f t="array" ref="P15">O15/D15</f>
        <v>0.35</v>
      </c>
      <c r="Q15" s="13" cm="1">
        <f t="array" ref="Q15">(G15*1+H15*2+I15*3+J15*4)/E15</f>
        <v>0.15384615384615385</v>
      </c>
      <c r="R15" s="14" cm="1">
        <f t="array" ref="R15">(F15+N15)/D15</f>
        <v>0.3</v>
      </c>
      <c r="S15" s="15" cm="1">
        <f t="array" ref="S15">R15+Q15</f>
        <v>0.45384615384615384</v>
      </c>
      <c r="T15" s="16" cm="1">
        <f t="array" ref="T15">O15/(D15-(F15+N15))</f>
        <v>0.5</v>
      </c>
      <c r="U15" s="17" cm="1">
        <f t="array" ref="U15">RANK(R15,$R$4:$R$24)</f>
        <v>17</v>
      </c>
      <c r="V15" s="18" cm="1">
        <f t="array" ref="V15">RANK(S15,$S$4:$S$24)</f>
        <v>17</v>
      </c>
      <c r="W15" s="9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</row>
    <row r="16" spans="1:35" ht="17.25" customHeight="1">
      <c r="A16" s="8" t="s">
        <v>36</v>
      </c>
      <c r="B16" s="10">
        <v>15</v>
      </c>
      <c r="C16" s="11" cm="1">
        <f t="array" ref="C16">F16/E16</f>
        <v>0.375</v>
      </c>
      <c r="D16" s="10">
        <v>21</v>
      </c>
      <c r="E16" s="10">
        <v>16</v>
      </c>
      <c r="F16" s="10">
        <v>6</v>
      </c>
      <c r="G16" s="10">
        <v>4</v>
      </c>
      <c r="H16" s="10">
        <v>2</v>
      </c>
      <c r="I16" s="10">
        <v>0</v>
      </c>
      <c r="J16" s="10">
        <v>0</v>
      </c>
      <c r="K16" s="10">
        <v>4</v>
      </c>
      <c r="L16" s="10">
        <v>6</v>
      </c>
      <c r="M16" s="10">
        <v>5</v>
      </c>
      <c r="N16" s="10">
        <v>5</v>
      </c>
      <c r="O16" s="10">
        <v>3</v>
      </c>
      <c r="P16" s="19" cm="1">
        <f t="array" ref="P16">O16/D16</f>
        <v>0.14285714285714285</v>
      </c>
      <c r="Q16" s="13" cm="1">
        <f t="array" ref="Q16">(G16*1+H16*2+I16*3+J16*4)/E16</f>
        <v>0.5</v>
      </c>
      <c r="R16" s="14" cm="1">
        <f t="array" ref="R16">(F16+N16)/D16</f>
        <v>0.52380952380952384</v>
      </c>
      <c r="S16" s="15" cm="1">
        <f t="array" ref="S16">R16+Q16</f>
        <v>1.0238095238095237</v>
      </c>
      <c r="T16" s="16" cm="1">
        <f t="array" ref="T16">O16/(D16-(F16+N16))</f>
        <v>0.3</v>
      </c>
      <c r="U16" s="17" cm="1">
        <f t="array" ref="U16">RANK(R16,$R$4:$R$24)</f>
        <v>6</v>
      </c>
      <c r="V16" s="18" cm="1">
        <f t="array" ref="V16">RANK(S16,$S$4:$S$24)</f>
        <v>7</v>
      </c>
      <c r="W16" s="9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</row>
    <row r="17" spans="1:35" ht="17.25" customHeight="1">
      <c r="A17" s="8" t="s">
        <v>37</v>
      </c>
      <c r="B17" s="10">
        <v>4</v>
      </c>
      <c r="C17" s="11" cm="1">
        <f t="array" ref="C17">F17/E17</f>
        <v>0.3</v>
      </c>
      <c r="D17" s="10">
        <v>12</v>
      </c>
      <c r="E17" s="10">
        <v>10</v>
      </c>
      <c r="F17" s="10">
        <v>3</v>
      </c>
      <c r="G17" s="10">
        <v>2</v>
      </c>
      <c r="H17" s="10">
        <v>1</v>
      </c>
      <c r="I17" s="10">
        <v>0</v>
      </c>
      <c r="J17" s="10">
        <v>0</v>
      </c>
      <c r="K17" s="10">
        <v>3</v>
      </c>
      <c r="L17" s="10">
        <v>2</v>
      </c>
      <c r="M17" s="10">
        <v>2</v>
      </c>
      <c r="N17" s="10">
        <v>2</v>
      </c>
      <c r="O17" s="10">
        <v>4</v>
      </c>
      <c r="P17" s="12" cm="1">
        <f t="array" ref="P17">O17/D17</f>
        <v>0.33333333333333331</v>
      </c>
      <c r="Q17" s="13" cm="1">
        <f t="array" ref="Q17">(G17*1+H17*2+I17*3+J17*4)/E17</f>
        <v>0.4</v>
      </c>
      <c r="R17" s="14" cm="1">
        <f t="array" ref="R17">(F17+N17)/D17</f>
        <v>0.41666666666666669</v>
      </c>
      <c r="S17" s="15" cm="1">
        <f t="array" ref="S17">R17+Q17</f>
        <v>0.81666666666666665</v>
      </c>
      <c r="T17" s="16" cm="1">
        <f t="array" ref="T17">O17/(D17-(F17+N17))</f>
        <v>0.5714285714285714</v>
      </c>
      <c r="U17" s="17" cm="1">
        <f t="array" ref="U17">RANK(R17,$R$4:$R$24)</f>
        <v>11</v>
      </c>
      <c r="V17" s="18" cm="1">
        <f t="array" ref="V17">RANK(S17,$S$4:$S$24)</f>
        <v>11</v>
      </c>
      <c r="W17" s="9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</row>
    <row r="18" spans="1:35" ht="17.25" customHeight="1">
      <c r="A18" s="8" t="s">
        <v>38</v>
      </c>
      <c r="B18" s="10">
        <v>16</v>
      </c>
      <c r="C18" s="11" cm="1">
        <f t="array" ref="C18">F18/E18</f>
        <v>0.5161290322580645</v>
      </c>
      <c r="D18" s="10">
        <v>37</v>
      </c>
      <c r="E18" s="10">
        <v>31</v>
      </c>
      <c r="F18" s="10">
        <v>16</v>
      </c>
      <c r="G18" s="10">
        <v>14</v>
      </c>
      <c r="H18" s="10">
        <v>0</v>
      </c>
      <c r="I18" s="10">
        <v>1</v>
      </c>
      <c r="J18" s="10">
        <v>1</v>
      </c>
      <c r="K18" s="10">
        <v>10</v>
      </c>
      <c r="L18" s="10">
        <v>9</v>
      </c>
      <c r="M18" s="10">
        <v>6</v>
      </c>
      <c r="N18" s="10">
        <v>5</v>
      </c>
      <c r="O18" s="10">
        <v>6</v>
      </c>
      <c r="P18" s="19" cm="1">
        <f t="array" ref="P18">O18/D18</f>
        <v>0.16216216216216217</v>
      </c>
      <c r="Q18" s="13" cm="1">
        <f t="array" ref="Q18">(G18*1+H18*2+I18*3+J18*4)/E18</f>
        <v>0.67741935483870963</v>
      </c>
      <c r="R18" s="14" cm="1">
        <f t="array" ref="R18">(F18+N18)/D18</f>
        <v>0.56756756756756754</v>
      </c>
      <c r="S18" s="15" cm="1">
        <f t="array" ref="S18">R18+Q18</f>
        <v>1.2449869224062771</v>
      </c>
      <c r="T18" s="20" cm="1">
        <f t="array" ref="T18">O18/(D18-(F18+N18))</f>
        <v>0.375</v>
      </c>
      <c r="U18" s="17" cm="1">
        <f t="array" ref="U18">RANK(R18,$R$4:$R$24)</f>
        <v>4</v>
      </c>
      <c r="V18" s="18" cm="1">
        <f t="array" ref="V18">RANK(S18,$S$4:$S$24)</f>
        <v>4</v>
      </c>
      <c r="W18" s="9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</row>
    <row r="19" spans="1:35" ht="17.25" customHeight="1">
      <c r="A19" s="8" t="s">
        <v>39</v>
      </c>
      <c r="B19" s="10">
        <v>16</v>
      </c>
      <c r="C19" s="11" cm="1">
        <f t="array" ref="C19">F19/E19</f>
        <v>0.38235294117647056</v>
      </c>
      <c r="D19" s="10">
        <v>40</v>
      </c>
      <c r="E19" s="10">
        <v>34</v>
      </c>
      <c r="F19" s="10">
        <v>13</v>
      </c>
      <c r="G19" s="10">
        <v>13</v>
      </c>
      <c r="H19" s="10">
        <v>0</v>
      </c>
      <c r="I19" s="10">
        <v>0</v>
      </c>
      <c r="J19" s="10">
        <v>0</v>
      </c>
      <c r="K19" s="10">
        <v>11</v>
      </c>
      <c r="L19" s="10">
        <v>11</v>
      </c>
      <c r="M19" s="10">
        <v>7</v>
      </c>
      <c r="N19" s="10">
        <v>5</v>
      </c>
      <c r="O19" s="10">
        <v>4</v>
      </c>
      <c r="P19" s="19" cm="1">
        <f t="array" ref="P19">O19/D19</f>
        <v>0.1</v>
      </c>
      <c r="Q19" s="13" cm="1">
        <f t="array" ref="Q19">(G19*1+H19*2+I19*3+J19*4)/E19</f>
        <v>0.38235294117647056</v>
      </c>
      <c r="R19" s="14" cm="1">
        <f t="array" ref="R19">(F19+N19)/D19</f>
        <v>0.45</v>
      </c>
      <c r="S19" s="15" cm="1">
        <f t="array" ref="S19">R19+Q19</f>
        <v>0.83235294117647052</v>
      </c>
      <c r="T19" s="21" cm="1">
        <f t="array" ref="T19">O19/(D19-(F19+N19))</f>
        <v>0.18181818181818182</v>
      </c>
      <c r="U19" s="17" cm="1">
        <f t="array" ref="U19">RANK(R19,$R$4:$R$24)</f>
        <v>10</v>
      </c>
      <c r="V19" s="18" cm="1">
        <f t="array" ref="V19">RANK(S19,$S$4:$S$24)</f>
        <v>9</v>
      </c>
      <c r="W19" s="9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</row>
    <row r="20" spans="1:35" ht="17.25" customHeight="1">
      <c r="A20" s="8" t="s">
        <v>40</v>
      </c>
      <c r="B20" s="10">
        <v>24</v>
      </c>
      <c r="C20" s="11" cm="1">
        <f t="array" ref="C20">F20/E20</f>
        <v>0.19444444444444445</v>
      </c>
      <c r="D20" s="10">
        <v>47</v>
      </c>
      <c r="E20" s="10">
        <v>36</v>
      </c>
      <c r="F20" s="10">
        <v>7</v>
      </c>
      <c r="G20" s="10">
        <v>5</v>
      </c>
      <c r="H20" s="10">
        <v>2</v>
      </c>
      <c r="I20" s="10">
        <v>0</v>
      </c>
      <c r="J20" s="10">
        <v>0</v>
      </c>
      <c r="K20" s="10">
        <v>9</v>
      </c>
      <c r="L20" s="10">
        <v>14</v>
      </c>
      <c r="M20" s="10">
        <v>12</v>
      </c>
      <c r="N20" s="10">
        <v>11</v>
      </c>
      <c r="O20" s="10">
        <v>17</v>
      </c>
      <c r="P20" s="12" cm="1">
        <f t="array" ref="P20">O20/D20</f>
        <v>0.36170212765957449</v>
      </c>
      <c r="Q20" s="13" cm="1">
        <f t="array" ref="Q20">(G20*1+H20*2+I20*3+J20*4)/E20</f>
        <v>0.25</v>
      </c>
      <c r="R20" s="14" cm="1">
        <f t="array" ref="R20">(F20+N20)/D20</f>
        <v>0.38297872340425532</v>
      </c>
      <c r="S20" s="15" cm="1">
        <f t="array" ref="S20">R20+Q20</f>
        <v>0.63297872340425532</v>
      </c>
      <c r="T20" s="20" cm="1">
        <f t="array" ref="T20">O20/(D20-(F20+N20))</f>
        <v>0.58620689655172409</v>
      </c>
      <c r="U20" s="17" cm="1">
        <f t="array" ref="U20">RANK(R20,$R$4:$R$24)</f>
        <v>14</v>
      </c>
      <c r="V20" s="18" cm="1">
        <f t="array" ref="V20">RANK(S20,$S$4:$S$24)</f>
        <v>15</v>
      </c>
      <c r="W20" s="9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</row>
    <row r="21" spans="1:35" ht="17.25" customHeight="1">
      <c r="A21" s="8" t="s">
        <v>41</v>
      </c>
      <c r="B21" s="10">
        <v>28</v>
      </c>
      <c r="C21" s="11" cm="1">
        <f t="array" ref="C21">F21/E21</f>
        <v>0.42857142857142855</v>
      </c>
      <c r="D21" s="10">
        <v>71</v>
      </c>
      <c r="E21" s="10">
        <v>63</v>
      </c>
      <c r="F21" s="10">
        <v>27</v>
      </c>
      <c r="G21" s="10">
        <v>22</v>
      </c>
      <c r="H21" s="10">
        <v>4</v>
      </c>
      <c r="I21" s="10">
        <v>0</v>
      </c>
      <c r="J21" s="10">
        <v>1</v>
      </c>
      <c r="K21" s="10">
        <v>22</v>
      </c>
      <c r="L21" s="10">
        <v>17</v>
      </c>
      <c r="M21" s="10">
        <v>13</v>
      </c>
      <c r="N21" s="10">
        <v>8</v>
      </c>
      <c r="O21" s="10">
        <v>10</v>
      </c>
      <c r="P21" s="19" cm="1">
        <f t="array" ref="P21">O21/D21</f>
        <v>0.14084507042253522</v>
      </c>
      <c r="Q21" s="13" cm="1">
        <f t="array" ref="Q21">(G21*1+H21*2+I21*3+J21*4)/E21</f>
        <v>0.53968253968253965</v>
      </c>
      <c r="R21" s="14" cm="1">
        <f t="array" ref="R21">(F21+N21)/D21</f>
        <v>0.49295774647887325</v>
      </c>
      <c r="S21" s="15" cm="1">
        <f t="array" ref="S21">R21+Q21</f>
        <v>1.032640286161413</v>
      </c>
      <c r="T21" s="25" cm="1">
        <f t="array" ref="T21">O21/(D21-(F21+N21))</f>
        <v>0.27777777777777779</v>
      </c>
      <c r="U21" s="17" cm="1">
        <f t="array" ref="U21">RANK(R21,$R$4:$R$24)</f>
        <v>7</v>
      </c>
      <c r="V21" s="18" cm="1">
        <f t="array" ref="V21">RANK(S21,$S$4:$S$24)</f>
        <v>5</v>
      </c>
      <c r="W21" s="9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</row>
    <row r="22" spans="1:35" ht="17.25" customHeight="1">
      <c r="A22" s="8" t="s">
        <v>42</v>
      </c>
      <c r="B22" s="10">
        <v>13</v>
      </c>
      <c r="C22" s="11" cm="1">
        <f t="array" ref="C22">F22/E22</f>
        <v>0.31578947368421051</v>
      </c>
      <c r="D22" s="10">
        <v>24</v>
      </c>
      <c r="E22" s="10">
        <v>19</v>
      </c>
      <c r="F22" s="10">
        <v>6</v>
      </c>
      <c r="G22" s="10">
        <v>6</v>
      </c>
      <c r="H22" s="10">
        <v>0</v>
      </c>
      <c r="I22" s="10">
        <v>0</v>
      </c>
      <c r="J22" s="10">
        <v>0</v>
      </c>
      <c r="K22" s="10">
        <v>10</v>
      </c>
      <c r="L22" s="10">
        <v>2</v>
      </c>
      <c r="M22" s="10">
        <v>10</v>
      </c>
      <c r="N22" s="10">
        <v>4</v>
      </c>
      <c r="O22" s="10">
        <v>5</v>
      </c>
      <c r="P22" s="19" cm="1">
        <f t="array" ref="P22">O22/D22</f>
        <v>0.20833333333333334</v>
      </c>
      <c r="Q22" s="13" cm="1">
        <f t="array" ref="Q22">(G22*1+H22*2+I22*3+J22*4)/E22</f>
        <v>0.31578947368421051</v>
      </c>
      <c r="R22" s="14" cm="1">
        <f t="array" ref="R22">(F22+N22)/D22</f>
        <v>0.41666666666666669</v>
      </c>
      <c r="S22" s="15" cm="1">
        <f t="array" ref="S22">R22+Q22</f>
        <v>0.73245614035087714</v>
      </c>
      <c r="T22" s="26" cm="1">
        <f t="array" ref="T22">O22/(D22-(F22+N22))</f>
        <v>0.35714285714285715</v>
      </c>
      <c r="U22" s="17" cm="1">
        <f t="array" ref="U22">RANK(R22,$R$4:$R$24)</f>
        <v>11</v>
      </c>
      <c r="V22" s="18" cm="1">
        <f t="array" ref="V22">RANK(S22,$S$4:$S$24)</f>
        <v>12</v>
      </c>
      <c r="W22" s="9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</row>
    <row r="23" spans="1:35" ht="17.25" customHeight="1">
      <c r="A23" s="8" t="s">
        <v>43</v>
      </c>
      <c r="B23" s="10">
        <v>23</v>
      </c>
      <c r="C23" s="11" cm="1">
        <f t="array" ref="C23">F23/E23</f>
        <v>0.36538461538461536</v>
      </c>
      <c r="D23" s="10">
        <v>62</v>
      </c>
      <c r="E23" s="10">
        <v>52</v>
      </c>
      <c r="F23" s="10">
        <v>19</v>
      </c>
      <c r="G23" s="10">
        <v>12</v>
      </c>
      <c r="H23" s="10">
        <v>6</v>
      </c>
      <c r="I23" s="10">
        <v>1</v>
      </c>
      <c r="J23" s="10">
        <v>0</v>
      </c>
      <c r="K23" s="10">
        <v>15</v>
      </c>
      <c r="L23" s="10">
        <v>13</v>
      </c>
      <c r="M23" s="10">
        <v>8</v>
      </c>
      <c r="N23" s="10">
        <v>10</v>
      </c>
      <c r="O23" s="10">
        <v>12</v>
      </c>
      <c r="P23" s="19" cm="1">
        <f t="array" ref="P23">O23/D23</f>
        <v>0.19354838709677419</v>
      </c>
      <c r="Q23" s="13" cm="1">
        <f t="array" ref="Q23">(G23*1+H23*2+I23*3+J23*4)/E23</f>
        <v>0.51923076923076927</v>
      </c>
      <c r="R23" s="14" cm="1">
        <f t="array" ref="R23">(F23+N23)/D23</f>
        <v>0.46774193548387094</v>
      </c>
      <c r="S23" s="15" cm="1">
        <f t="array" ref="S23">R23+Q23</f>
        <v>0.98697270471464016</v>
      </c>
      <c r="T23" s="27" cm="1">
        <f t="array" ref="T23">O23/(D23-(F23+N23))</f>
        <v>0.36363636363636365</v>
      </c>
      <c r="U23" s="17" cm="1">
        <f t="array" ref="U23">RANK(R23,$R$4:$R$24)</f>
        <v>9</v>
      </c>
      <c r="V23" s="18" cm="1">
        <f t="array" ref="V23">RANK(S23,$S$4:$S$24)</f>
        <v>8</v>
      </c>
      <c r="W23" s="9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</row>
    <row r="24" spans="1:35" ht="17.25" customHeight="1">
      <c r="A24" s="8" t="s">
        <v>44</v>
      </c>
      <c r="B24" s="10">
        <v>7</v>
      </c>
      <c r="C24" s="11" cm="1">
        <f t="array" ref="C24">F24/E24</f>
        <v>9.0909090909090912E-2</v>
      </c>
      <c r="D24" s="10">
        <v>16</v>
      </c>
      <c r="E24" s="10">
        <v>11</v>
      </c>
      <c r="F24" s="10">
        <v>1</v>
      </c>
      <c r="G24" s="10">
        <v>1</v>
      </c>
      <c r="H24" s="10">
        <v>0</v>
      </c>
      <c r="I24" s="10">
        <v>0</v>
      </c>
      <c r="J24" s="10">
        <v>0</v>
      </c>
      <c r="K24" s="10">
        <v>3</v>
      </c>
      <c r="L24" s="10">
        <v>0</v>
      </c>
      <c r="M24" s="10">
        <v>2</v>
      </c>
      <c r="N24" s="10">
        <v>2</v>
      </c>
      <c r="O24" s="10">
        <v>3</v>
      </c>
      <c r="P24" s="19" cm="1">
        <f t="array" ref="P24">O24/D24</f>
        <v>0.1875</v>
      </c>
      <c r="Q24" s="13" cm="1">
        <f t="array" ref="Q24">(G24*1+H24*2+I24*3+J24*4)/E24</f>
        <v>9.0909090909090912E-2</v>
      </c>
      <c r="R24" s="14" cm="1">
        <f t="array" ref="R24">(F24+N24)/D24</f>
        <v>0.1875</v>
      </c>
      <c r="S24" s="15" cm="1">
        <f t="array" ref="S24">R24+Q24</f>
        <v>0.27840909090909094</v>
      </c>
      <c r="T24" s="28" cm="1">
        <f t="array" ref="T24">O24/(D24-(F24+N24))</f>
        <v>0.23076923076923078</v>
      </c>
      <c r="U24" s="17" cm="1">
        <f t="array" ref="U24">RANK(R24,$R$4:$R$24)</f>
        <v>18</v>
      </c>
      <c r="V24" s="18" cm="1">
        <f t="array" ref="V24">RANK(S24,$S$4:$S$24)</f>
        <v>18</v>
      </c>
      <c r="W24" s="9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</row>
    <row r="25" spans="1:35" ht="17.25" customHeight="1">
      <c r="A25" s="29" t="s">
        <v>45</v>
      </c>
      <c r="B25" s="30"/>
      <c r="C25" s="31" cm="1">
        <f t="array" ref="C25">F25/E25</f>
        <v>0.37962962962962965</v>
      </c>
      <c r="D25" s="32" cm="1">
        <f t="array" ref="D25">SUM(D4:D24)</f>
        <v>810</v>
      </c>
      <c r="E25" s="32" cm="1">
        <f t="array" ref="E25">SUM(E4:E24)</f>
        <v>648</v>
      </c>
      <c r="F25" s="32" cm="1">
        <f t="array" ref="F25">SUM(F4:F24)</f>
        <v>246</v>
      </c>
      <c r="G25" s="32" cm="1">
        <f t="array" ref="G25">SUM(G4:G24)</f>
        <v>181</v>
      </c>
      <c r="H25" s="32" cm="1">
        <f t="array" ref="H25">SUM(H4:H24)</f>
        <v>49</v>
      </c>
      <c r="I25" s="32" cm="1">
        <f t="array" ref="I25">SUM(I4:I24)</f>
        <v>12</v>
      </c>
      <c r="J25" s="32" cm="1">
        <f t="array" ref="J25">SUM(J4:J24)</f>
        <v>4</v>
      </c>
      <c r="K25" s="32" cm="1">
        <f t="array" ref="K25">SUM(K4:K24)</f>
        <v>239</v>
      </c>
      <c r="L25" s="32" cm="1">
        <f t="array" ref="L25">SUM(L4:L24)</f>
        <v>207</v>
      </c>
      <c r="M25" s="32" cm="1">
        <f t="array" ref="M25">SUM(M4:M24)</f>
        <v>183</v>
      </c>
      <c r="N25" s="32" cm="1">
        <f t="array" ref="N25">SUM(N4:N24)</f>
        <v>143</v>
      </c>
      <c r="O25" s="32" cm="1">
        <f t="array" ref="O25">SUM(O4:O24)</f>
        <v>146</v>
      </c>
      <c r="P25" s="33" cm="1">
        <f t="array" ref="P25">O25/D25</f>
        <v>0.18024691358024691</v>
      </c>
      <c r="Q25" s="31" cm="1">
        <f t="array" ref="Q25">(G25*1+H25*2+I25*3+J25*4)/E25</f>
        <v>0.51080246913580252</v>
      </c>
      <c r="R25" s="31" cm="1">
        <f t="array" ref="R25">(F25+N25)/D25</f>
        <v>0.4802469135802469</v>
      </c>
      <c r="S25" s="31" cm="1">
        <f t="array" ref="S25">R25+Q25</f>
        <v>0.99104938271604937</v>
      </c>
      <c r="T25" s="31"/>
      <c r="U25" s="31"/>
      <c r="V25" s="31"/>
      <c r="W25" s="9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</row>
    <row r="26" spans="1:35" ht="16.5" customHeight="1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5"/>
      <c r="U26" s="34"/>
      <c r="V26" s="34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</row>
    <row r="27" spans="1:35" ht="17.25" customHeight="1">
      <c r="A27" s="5" t="s">
        <v>46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7"/>
      <c r="U27" s="36"/>
      <c r="V27" s="36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</row>
    <row r="28" spans="1:35" ht="34.5" customHeight="1">
      <c r="A28" s="8" t="s">
        <v>2</v>
      </c>
      <c r="B28" s="8" t="s">
        <v>3</v>
      </c>
      <c r="C28" s="8" t="s">
        <v>47</v>
      </c>
      <c r="D28" s="8" t="s">
        <v>48</v>
      </c>
      <c r="E28" s="8" t="s">
        <v>49</v>
      </c>
      <c r="F28" s="8" t="s">
        <v>50</v>
      </c>
      <c r="G28" s="8" t="s">
        <v>6</v>
      </c>
      <c r="H28" s="8" t="s">
        <v>51</v>
      </c>
      <c r="I28" s="8" t="s">
        <v>52</v>
      </c>
      <c r="J28" s="8" t="s">
        <v>53</v>
      </c>
      <c r="K28" s="8" t="s">
        <v>54</v>
      </c>
      <c r="L28" s="8" t="s">
        <v>55</v>
      </c>
      <c r="M28" s="8" t="s">
        <v>56</v>
      </c>
      <c r="N28" s="8" t="s">
        <v>57</v>
      </c>
      <c r="O28" s="8" t="s">
        <v>58</v>
      </c>
      <c r="P28" s="8" t="s">
        <v>59</v>
      </c>
      <c r="Q28" s="8" t="s">
        <v>60</v>
      </c>
      <c r="R28" s="8" t="s">
        <v>61</v>
      </c>
      <c r="S28" s="8" t="s">
        <v>62</v>
      </c>
      <c r="T28" s="8" t="s">
        <v>63</v>
      </c>
      <c r="U28" s="8" t="s">
        <v>64</v>
      </c>
      <c r="V28" s="8" t="s">
        <v>65</v>
      </c>
      <c r="W28" s="9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</row>
    <row r="29" spans="1:35" ht="17.25" customHeight="1">
      <c r="A29" s="38" t="s">
        <v>24</v>
      </c>
      <c r="B29" s="10">
        <v>14</v>
      </c>
      <c r="C29" s="10">
        <v>1</v>
      </c>
      <c r="D29" s="10">
        <v>2</v>
      </c>
      <c r="E29" s="10">
        <v>0</v>
      </c>
      <c r="F29" s="10">
        <v>75</v>
      </c>
      <c r="G29" s="10">
        <v>40</v>
      </c>
      <c r="H29" s="39">
        <v>6.7</v>
      </c>
      <c r="I29" s="10">
        <v>15</v>
      </c>
      <c r="J29" s="10">
        <v>0</v>
      </c>
      <c r="K29" s="10">
        <v>31</v>
      </c>
      <c r="L29" s="10">
        <v>4</v>
      </c>
      <c r="M29" s="10">
        <v>4</v>
      </c>
      <c r="N29" s="10">
        <v>35</v>
      </c>
      <c r="O29" s="10">
        <v>19</v>
      </c>
      <c r="P29" s="40" cm="1">
        <f t="array" ref="P29">O29*9/H29</f>
        <v>25.522388059701491</v>
      </c>
      <c r="Q29" s="41" cm="1">
        <f t="array" ref="Q29">(K29+L29)/H29</f>
        <v>5.2238805970149249</v>
      </c>
      <c r="R29" s="42" cm="1">
        <f t="array" ref="R29">I29/H29</f>
        <v>2.2388059701492535</v>
      </c>
      <c r="S29" s="42" cm="1">
        <f t="array" ref="S29">H29/B29</f>
        <v>0.47857142857142859</v>
      </c>
      <c r="T29" s="43" cm="1">
        <f t="array" ref="T29">M29/H29</f>
        <v>0.59701492537313428</v>
      </c>
      <c r="U29" s="44" cm="1">
        <f t="array" ref="U29">O29/N29</f>
        <v>0.54285714285714282</v>
      </c>
      <c r="V29" s="41" cm="1">
        <f t="array" ref="V29">(I29+K29+L29)/H29</f>
        <v>7.4626865671641793</v>
      </c>
      <c r="W29" s="9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</row>
    <row r="30" spans="1:35" ht="17.25" customHeight="1">
      <c r="A30" s="38" t="s">
        <v>27</v>
      </c>
      <c r="B30" s="10">
        <v>1</v>
      </c>
      <c r="C30" s="10">
        <v>0</v>
      </c>
      <c r="D30" s="10">
        <v>0</v>
      </c>
      <c r="E30" s="10">
        <v>0</v>
      </c>
      <c r="F30" s="10">
        <v>1</v>
      </c>
      <c r="G30" s="10">
        <v>0</v>
      </c>
      <c r="H30" s="39">
        <v>0</v>
      </c>
      <c r="I30" s="10">
        <v>0</v>
      </c>
      <c r="J30" s="10">
        <v>0</v>
      </c>
      <c r="K30" s="10">
        <v>1</v>
      </c>
      <c r="L30" s="10">
        <v>0</v>
      </c>
      <c r="M30" s="10">
        <v>0</v>
      </c>
      <c r="N30" s="10">
        <v>0</v>
      </c>
      <c r="O30" s="10">
        <v>0</v>
      </c>
      <c r="P30" s="40">
        <v>0</v>
      </c>
      <c r="Q30" s="45" t="s">
        <v>66</v>
      </c>
      <c r="R30" s="45" t="s">
        <v>66</v>
      </c>
      <c r="S30" s="42" cm="1">
        <f t="array" ref="S30">H30/B30</f>
        <v>0</v>
      </c>
      <c r="T30" s="46" t="s">
        <v>66</v>
      </c>
      <c r="U30" s="45" t="s">
        <v>66</v>
      </c>
      <c r="V30" s="45" t="s">
        <v>66</v>
      </c>
      <c r="W30" s="9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</row>
    <row r="31" spans="1:35" ht="17.25" customHeight="1">
      <c r="A31" s="38" t="s">
        <v>29</v>
      </c>
      <c r="B31" s="10">
        <v>9</v>
      </c>
      <c r="C31" s="10">
        <v>1</v>
      </c>
      <c r="D31" s="10">
        <v>2</v>
      </c>
      <c r="E31" s="10">
        <v>0</v>
      </c>
      <c r="F31" s="10">
        <v>113</v>
      </c>
      <c r="G31" s="10">
        <v>85</v>
      </c>
      <c r="H31" s="39">
        <v>13</v>
      </c>
      <c r="I31" s="10">
        <v>33</v>
      </c>
      <c r="J31" s="10">
        <v>3</v>
      </c>
      <c r="K31" s="10">
        <v>23</v>
      </c>
      <c r="L31" s="10">
        <v>5</v>
      </c>
      <c r="M31" s="10">
        <v>11</v>
      </c>
      <c r="N31" s="10">
        <v>48</v>
      </c>
      <c r="O31" s="10">
        <v>32</v>
      </c>
      <c r="P31" s="40" cm="1">
        <f t="array" ref="P31">O31*9/H31</f>
        <v>22.153846153846153</v>
      </c>
      <c r="Q31" s="41" cm="1">
        <f t="array" ref="Q31">(K31+L31)/H31</f>
        <v>2.1538461538461537</v>
      </c>
      <c r="R31" s="42" cm="1">
        <f t="array" ref="R31">I31/H31</f>
        <v>2.5384615384615383</v>
      </c>
      <c r="S31" s="42" cm="1">
        <f t="array" ref="S31">H31/B31</f>
        <v>1.4444444444444444</v>
      </c>
      <c r="T31" s="43" cm="1">
        <f t="array" ref="T31">M31/H31</f>
        <v>0.84615384615384615</v>
      </c>
      <c r="U31" s="44" cm="1">
        <f t="array" ref="U31">O31/N31</f>
        <v>0.66666666666666663</v>
      </c>
      <c r="V31" s="41" cm="1">
        <f t="array" ref="V31">(I31+K31+L31)/H31</f>
        <v>4.6923076923076925</v>
      </c>
      <c r="W31" s="9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</row>
    <row r="32" spans="1:35" ht="17.25" customHeight="1">
      <c r="A32" s="38" t="s">
        <v>33</v>
      </c>
      <c r="B32" s="10">
        <v>19</v>
      </c>
      <c r="C32" s="10">
        <v>3</v>
      </c>
      <c r="D32" s="10">
        <v>3</v>
      </c>
      <c r="E32" s="10">
        <v>1</v>
      </c>
      <c r="F32" s="10">
        <v>151</v>
      </c>
      <c r="G32" s="10">
        <v>127</v>
      </c>
      <c r="H32" s="39">
        <v>27.332999999999998</v>
      </c>
      <c r="I32" s="10">
        <v>39</v>
      </c>
      <c r="J32" s="10">
        <v>0</v>
      </c>
      <c r="K32" s="10">
        <v>20</v>
      </c>
      <c r="L32" s="10">
        <v>4</v>
      </c>
      <c r="M32" s="10">
        <v>39</v>
      </c>
      <c r="N32" s="10">
        <v>36</v>
      </c>
      <c r="O32" s="10">
        <v>19</v>
      </c>
      <c r="P32" s="40" cm="1">
        <f t="array" ref="P32">O32*9/H32</f>
        <v>6.2561738557787292</v>
      </c>
      <c r="Q32" s="41" cm="1">
        <f t="array" ref="Q32">(K32+L32)/H32</f>
        <v>0.87805948853034799</v>
      </c>
      <c r="R32" s="42" cm="1">
        <f t="array" ref="R32">I32/H32</f>
        <v>1.4268466688618155</v>
      </c>
      <c r="S32" s="42" cm="1">
        <f t="array" ref="S32">H32/B32</f>
        <v>1.438578947368421</v>
      </c>
      <c r="T32" s="43" cm="1">
        <f t="array" ref="T32">M32/H32</f>
        <v>1.4268466688618155</v>
      </c>
      <c r="U32" s="44" cm="1">
        <f t="array" ref="U32">O32/N32</f>
        <v>0.52777777777777779</v>
      </c>
      <c r="V32" s="41" cm="1">
        <f t="array" ref="V32">(I32+K32+L32)/H32</f>
        <v>2.3049061573921636</v>
      </c>
      <c r="W32" s="9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</row>
    <row r="33" spans="1:35" ht="17.25" customHeight="1">
      <c r="A33" s="38" t="s">
        <v>36</v>
      </c>
      <c r="B33" s="10">
        <v>12</v>
      </c>
      <c r="C33" s="10">
        <v>0</v>
      </c>
      <c r="D33" s="10">
        <v>3</v>
      </c>
      <c r="E33" s="10">
        <v>0</v>
      </c>
      <c r="F33" s="10">
        <v>143</v>
      </c>
      <c r="G33" s="10">
        <v>101</v>
      </c>
      <c r="H33" s="39">
        <v>19</v>
      </c>
      <c r="I33" s="10">
        <v>41</v>
      </c>
      <c r="J33" s="10">
        <v>2</v>
      </c>
      <c r="K33" s="10">
        <v>38</v>
      </c>
      <c r="L33" s="10">
        <v>3</v>
      </c>
      <c r="M33" s="10">
        <v>21</v>
      </c>
      <c r="N33" s="10">
        <v>58</v>
      </c>
      <c r="O33" s="10">
        <v>41</v>
      </c>
      <c r="P33" s="40" cm="1">
        <f t="array" ref="P33">O33*9/H33</f>
        <v>19.421052631578949</v>
      </c>
      <c r="Q33" s="41" cm="1">
        <f t="array" ref="Q33">(K33+L33)/H33</f>
        <v>2.1578947368421053</v>
      </c>
      <c r="R33" s="42" cm="1">
        <f t="array" ref="R33">I33/H33</f>
        <v>2.1578947368421053</v>
      </c>
      <c r="S33" s="42" cm="1">
        <f t="array" ref="S33">H33/B33</f>
        <v>1.5833333333333333</v>
      </c>
      <c r="T33" s="43" cm="1">
        <f t="array" ref="T33">M33/H33</f>
        <v>1.1052631578947369</v>
      </c>
      <c r="U33" s="44" cm="1">
        <f t="array" ref="U33">O33/N33</f>
        <v>0.7068965517241379</v>
      </c>
      <c r="V33" s="41" cm="1">
        <f t="array" ref="V33">(I33+K33+L33)/H33</f>
        <v>4.3157894736842106</v>
      </c>
      <c r="W33" s="9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</row>
    <row r="34" spans="1:35" ht="17.25" customHeight="1">
      <c r="A34" s="38" t="s">
        <v>37</v>
      </c>
      <c r="B34" s="10">
        <v>1</v>
      </c>
      <c r="C34" s="10">
        <v>0</v>
      </c>
      <c r="D34" s="10">
        <v>0</v>
      </c>
      <c r="E34" s="10">
        <v>0</v>
      </c>
      <c r="F34" s="10">
        <v>3</v>
      </c>
      <c r="G34" s="10">
        <v>2</v>
      </c>
      <c r="H34" s="39">
        <v>1</v>
      </c>
      <c r="I34" s="10">
        <v>1</v>
      </c>
      <c r="J34" s="10">
        <v>0</v>
      </c>
      <c r="K34" s="10">
        <v>1</v>
      </c>
      <c r="L34" s="10">
        <v>0</v>
      </c>
      <c r="M34" s="10">
        <v>1</v>
      </c>
      <c r="N34" s="10">
        <v>0</v>
      </c>
      <c r="O34" s="10">
        <v>0</v>
      </c>
      <c r="P34" s="40">
        <v>0</v>
      </c>
      <c r="Q34" s="41" cm="1">
        <f t="array" ref="Q34">(K34+L34)/H34</f>
        <v>1</v>
      </c>
      <c r="R34" s="42" cm="1">
        <f t="array" ref="R34">I34/H34</f>
        <v>1</v>
      </c>
      <c r="S34" s="42" cm="1">
        <f t="array" ref="S34">H34/B34</f>
        <v>1</v>
      </c>
      <c r="T34" s="47" cm="1">
        <f t="array" ref="T34">M34/H34</f>
        <v>1</v>
      </c>
      <c r="U34" s="45" t="s">
        <v>66</v>
      </c>
      <c r="V34" s="48" cm="1">
        <f t="array" ref="V34">(I34+K34+L34)/H34</f>
        <v>2</v>
      </c>
      <c r="W34" s="9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</row>
    <row r="35" spans="1:35" ht="17.25" customHeight="1">
      <c r="A35" s="38" t="s">
        <v>42</v>
      </c>
      <c r="B35" s="10">
        <v>6</v>
      </c>
      <c r="C35" s="10">
        <v>2</v>
      </c>
      <c r="D35" s="10">
        <v>2</v>
      </c>
      <c r="E35" s="10">
        <v>0</v>
      </c>
      <c r="F35" s="10">
        <v>97</v>
      </c>
      <c r="G35" s="10">
        <v>53</v>
      </c>
      <c r="H35" s="39">
        <v>12.999966666600001</v>
      </c>
      <c r="I35" s="10">
        <v>16</v>
      </c>
      <c r="J35" s="10">
        <v>1</v>
      </c>
      <c r="K35" s="10">
        <v>43</v>
      </c>
      <c r="L35" s="10">
        <v>0</v>
      </c>
      <c r="M35" s="10">
        <v>13</v>
      </c>
      <c r="N35" s="10">
        <v>35</v>
      </c>
      <c r="O35" s="10">
        <v>21</v>
      </c>
      <c r="P35" s="40" cm="1">
        <f t="array" ref="P35">O35*9/H35</f>
        <v>14.538498816738189</v>
      </c>
      <c r="Q35" s="41" cm="1">
        <f t="array" ref="Q35">(K35+L35)/H35</f>
        <v>3.3077007889933445</v>
      </c>
      <c r="R35" s="42" cm="1">
        <f t="array" ref="R35">I35/H35</f>
        <v>1.2307723866021747</v>
      </c>
      <c r="S35" s="42" cm="1">
        <f t="array" ref="S35">H35/B35</f>
        <v>2.1666611111000003</v>
      </c>
      <c r="T35" s="43" cm="1">
        <f t="array" ref="T35">M35/H35</f>
        <v>1.0000025641142669</v>
      </c>
      <c r="U35" s="44" cm="1">
        <f t="array" ref="U35">O35/N35</f>
        <v>0.6</v>
      </c>
      <c r="V35" s="41" cm="1">
        <f t="array" ref="V35">(I35+K35+L35)/H35</f>
        <v>4.5384731755955192</v>
      </c>
      <c r="W35" s="9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</row>
    <row r="36" spans="1:35" ht="17.25" customHeight="1">
      <c r="A36" s="38" t="s">
        <v>43</v>
      </c>
      <c r="B36" s="10">
        <v>24</v>
      </c>
      <c r="C36" s="10">
        <v>5</v>
      </c>
      <c r="D36" s="10">
        <v>8</v>
      </c>
      <c r="E36" s="10">
        <v>3</v>
      </c>
      <c r="F36" s="10">
        <v>390</v>
      </c>
      <c r="G36" s="10">
        <v>284</v>
      </c>
      <c r="H36" s="39">
        <v>54.999966663000002</v>
      </c>
      <c r="I36" s="10">
        <v>102</v>
      </c>
      <c r="J36" s="10">
        <v>1</v>
      </c>
      <c r="K36" s="10">
        <v>90</v>
      </c>
      <c r="L36" s="10">
        <v>15</v>
      </c>
      <c r="M36" s="10">
        <v>86</v>
      </c>
      <c r="N36" s="10">
        <v>141</v>
      </c>
      <c r="O36" s="10">
        <v>95</v>
      </c>
      <c r="P36" s="40" cm="1">
        <f t="array" ref="P36">O36*9/H36</f>
        <v>15.545463967984222</v>
      </c>
      <c r="Q36" s="41" cm="1">
        <f t="array" ref="Q36">(K36+L36)/H36</f>
        <v>1.9090920662436766</v>
      </c>
      <c r="R36" s="42" cm="1">
        <f t="array" ref="R36">I36/H36</f>
        <v>1.8545465786367143</v>
      </c>
      <c r="S36" s="42" cm="1">
        <f t="array" ref="S36">H36/B36</f>
        <v>2.2916652776249999</v>
      </c>
      <c r="T36" s="43" cm="1">
        <f t="array" ref="T36">M36/H36</f>
        <v>1.5636373113995827</v>
      </c>
      <c r="U36" s="44" cm="1">
        <f t="array" ref="U36">O36/N36</f>
        <v>0.67375886524822692</v>
      </c>
      <c r="V36" s="41" cm="1">
        <f t="array" ref="V36">(I36+K36+L36)/H36</f>
        <v>3.7636386448803907</v>
      </c>
      <c r="W36" s="9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</row>
    <row r="37" spans="1:35" ht="17.25" customHeight="1">
      <c r="A37" s="29" t="s">
        <v>45</v>
      </c>
      <c r="B37" s="49" cm="1">
        <f t="array" ref="B37">SUM(B29:B36)</f>
        <v>86</v>
      </c>
      <c r="C37" s="49" cm="1">
        <f t="array" ref="C37">SUM(C29:C36)</f>
        <v>12</v>
      </c>
      <c r="D37" s="49" cm="1">
        <f t="array" ref="D37">SUM(D29:D36)</f>
        <v>20</v>
      </c>
      <c r="E37" s="49" cm="1">
        <f t="array" ref="E37">SUM(E29:E36)</f>
        <v>4</v>
      </c>
      <c r="F37" s="49" cm="1">
        <f t="array" ref="F37">SUM(F29:F36)</f>
        <v>973</v>
      </c>
      <c r="G37" s="49" cm="1">
        <f t="array" ref="G37">SUM(G29:G36)</f>
        <v>692</v>
      </c>
      <c r="H37" s="50" cm="1">
        <f t="array" ref="H37">SUM(H29:H36)</f>
        <v>135.03293332960001</v>
      </c>
      <c r="I37" s="49" cm="1">
        <f t="array" ref="I37">SUM(I29:I36)</f>
        <v>247</v>
      </c>
      <c r="J37" s="49" cm="1">
        <f t="array" ref="J37">SUM(J29:J36)</f>
        <v>7</v>
      </c>
      <c r="K37" s="49" cm="1">
        <f t="array" ref="K37">SUM(K29:K36)</f>
        <v>247</v>
      </c>
      <c r="L37" s="49" cm="1">
        <f t="array" ref="L37">SUM(L29:L36)</f>
        <v>31</v>
      </c>
      <c r="M37" s="49" cm="1">
        <f t="array" ref="M37">SUM(M29:M36)</f>
        <v>175</v>
      </c>
      <c r="N37" s="49" cm="1">
        <f t="array" ref="N37">SUM(N29:N36)</f>
        <v>353</v>
      </c>
      <c r="O37" s="49" cm="1">
        <f t="array" ref="O37">SUM(O29:O36)</f>
        <v>227</v>
      </c>
      <c r="P37" s="51" cm="1">
        <f t="array" ref="P37">O37*9/H37</f>
        <v>15.129642448137224</v>
      </c>
      <c r="Q37" s="52" cm="1">
        <f t="array" ref="Q37">(K37+L37)/H37</f>
        <v>2.0587570242692843</v>
      </c>
      <c r="R37" s="53" cm="1">
        <f t="array" ref="R37">I37/H37</f>
        <v>1.8291833992608391</v>
      </c>
      <c r="S37" s="53" cm="1">
        <f t="array" ref="S37">H37/B37</f>
        <v>1.5701503875534886</v>
      </c>
      <c r="T37" s="54" cm="1">
        <f t="array" ref="T37">M37/H37</f>
        <v>1.2959801411767078</v>
      </c>
      <c r="U37" s="55" cm="1">
        <f t="array" ref="U37">O37/N37</f>
        <v>0.64305949008498586</v>
      </c>
      <c r="V37" s="52" cm="1">
        <f t="array" ref="V37">(I37+K37+L37)/H37</f>
        <v>3.8879404235301234</v>
      </c>
      <c r="W37" s="9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</row>
  </sheetData>
  <phoneticPr fontId="21" type="noConversion"/>
  <pageMargins left="0.69972199999999996" right="0.69972199999999996" top="0.75" bottom="0.75" header="0.3" footer="0.3"/>
  <pageSetup orientation="portrait"/>
  <headerFooter>
    <oddFooter>&amp;C&amp;"Helvetica Neue,Regular"&amp;12&amp;K000000&amp;P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29"/>
  <sheetViews>
    <sheetView showGridLines="0" workbookViewId="0">
      <selection activeCell="Z28" sqref="Z28"/>
    </sheetView>
  </sheetViews>
  <sheetFormatPr defaultColWidth="9" defaultRowHeight="16.5" customHeight="1"/>
  <cols>
    <col min="1" max="8" width="11.375" style="1" customWidth="1"/>
    <col min="9" max="12" width="11.875" style="1" customWidth="1"/>
    <col min="13" max="13" width="8.875" style="1" customWidth="1"/>
    <col min="14" max="15" width="11.375" style="1" customWidth="1"/>
    <col min="16" max="32" width="9" style="1" customWidth="1"/>
    <col min="33" max="16384" width="9" style="1"/>
  </cols>
  <sheetData>
    <row r="1" spans="1:31" ht="26.25" customHeight="1">
      <c r="A1" s="2" t="s">
        <v>80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 spans="1:31" ht="17.25" customHeight="1">
      <c r="A2" s="5" t="s">
        <v>81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</row>
    <row r="3" spans="1:31" ht="17.25" customHeight="1">
      <c r="A3" s="246" t="s">
        <v>2</v>
      </c>
      <c r="B3" s="80" t="s">
        <v>76</v>
      </c>
      <c r="C3" s="246" t="s">
        <v>77</v>
      </c>
      <c r="D3" s="248"/>
      <c r="E3" s="248"/>
      <c r="F3" s="246" t="s">
        <v>78</v>
      </c>
      <c r="G3" s="248"/>
      <c r="H3" s="248"/>
      <c r="I3" s="248"/>
      <c r="J3" s="241" t="s">
        <v>82</v>
      </c>
      <c r="K3" s="242"/>
      <c r="L3" s="243"/>
      <c r="M3" s="9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 spans="1:31" ht="35.25" customHeight="1">
      <c r="A4" s="247"/>
      <c r="B4" s="81" t="s">
        <v>83</v>
      </c>
      <c r="C4" s="81" t="s">
        <v>84</v>
      </c>
      <c r="D4" s="81" t="s">
        <v>85</v>
      </c>
      <c r="E4" s="81" t="s">
        <v>86</v>
      </c>
      <c r="F4" s="81" t="s">
        <v>87</v>
      </c>
      <c r="G4" s="81" t="s">
        <v>88</v>
      </c>
      <c r="H4" s="81" t="s">
        <v>89</v>
      </c>
      <c r="I4" s="81" t="s">
        <v>86</v>
      </c>
      <c r="J4" s="81" t="s">
        <v>90</v>
      </c>
      <c r="K4" s="81" t="s">
        <v>91</v>
      </c>
      <c r="L4" s="81" t="s">
        <v>92</v>
      </c>
      <c r="M4" s="9"/>
      <c r="N4" s="57"/>
      <c r="O4" s="57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</row>
    <row r="5" spans="1:31" ht="25.5" customHeight="1">
      <c r="A5" s="82" t="s">
        <v>24</v>
      </c>
      <c r="B5" s="83"/>
      <c r="C5" s="83"/>
      <c r="D5" s="83"/>
      <c r="E5" s="83"/>
      <c r="F5" s="84">
        <v>0.25</v>
      </c>
      <c r="G5" s="83"/>
      <c r="H5" s="83"/>
      <c r="I5" s="84">
        <v>9.0909090909090898E-2</v>
      </c>
      <c r="J5" s="84">
        <v>0.54545454545454497</v>
      </c>
      <c r="K5" s="84">
        <v>0.33333333333333298</v>
      </c>
      <c r="L5" s="85"/>
      <c r="M5" s="59"/>
      <c r="N5" s="244" t="s">
        <v>93</v>
      </c>
      <c r="O5" s="245"/>
      <c r="P5" s="61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</row>
    <row r="6" spans="1:31" ht="25.5" customHeight="1">
      <c r="A6" s="82" t="s">
        <v>25</v>
      </c>
      <c r="B6" s="86">
        <v>0</v>
      </c>
      <c r="C6" s="84">
        <v>0.5</v>
      </c>
      <c r="D6" s="86">
        <v>0</v>
      </c>
      <c r="E6" s="83"/>
      <c r="F6" s="84">
        <v>0.25</v>
      </c>
      <c r="G6" s="83"/>
      <c r="H6" s="83"/>
      <c r="I6" s="86">
        <v>0</v>
      </c>
      <c r="J6" s="84">
        <v>0.11111111111111099</v>
      </c>
      <c r="K6" s="83"/>
      <c r="L6" s="85"/>
      <c r="M6" s="59"/>
      <c r="N6" s="249" t="s">
        <v>94</v>
      </c>
      <c r="O6" s="250"/>
      <c r="P6" s="61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</row>
    <row r="7" spans="1:31" ht="25.5" customHeight="1">
      <c r="A7" s="82" t="s">
        <v>26</v>
      </c>
      <c r="B7" s="84">
        <v>0.75</v>
      </c>
      <c r="C7" s="84">
        <v>0.41699999999999998</v>
      </c>
      <c r="D7" s="84">
        <v>0.47399999999999998</v>
      </c>
      <c r="E7" s="84">
        <v>0.44444444444444398</v>
      </c>
      <c r="F7" s="84">
        <v>0.61111111111111105</v>
      </c>
      <c r="G7" s="84">
        <v>0.46666666666666701</v>
      </c>
      <c r="H7" s="84">
        <v>0.6</v>
      </c>
      <c r="I7" s="84">
        <v>0.6</v>
      </c>
      <c r="J7" s="83">
        <v>0.61904761904761896</v>
      </c>
      <c r="K7" s="84">
        <v>0.44444444444444398</v>
      </c>
      <c r="L7" s="85"/>
      <c r="M7" s="59"/>
      <c r="N7" s="251" t="s">
        <v>95</v>
      </c>
      <c r="O7" s="252"/>
      <c r="P7" s="61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</row>
    <row r="8" spans="1:31" ht="25.5" customHeight="1">
      <c r="A8" s="82" t="s">
        <v>27</v>
      </c>
      <c r="B8" s="83"/>
      <c r="C8" s="83"/>
      <c r="D8" s="83"/>
      <c r="E8" s="83"/>
      <c r="F8" s="86">
        <v>0</v>
      </c>
      <c r="G8" s="83"/>
      <c r="H8" s="83"/>
      <c r="I8" s="83"/>
      <c r="J8" s="83"/>
      <c r="K8" s="83"/>
      <c r="L8" s="85"/>
      <c r="M8" s="59"/>
      <c r="N8" s="237" t="s">
        <v>96</v>
      </c>
      <c r="O8" s="238"/>
      <c r="P8" s="61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</row>
    <row r="9" spans="1:31" ht="25.5" customHeight="1">
      <c r="A9" s="82" t="s">
        <v>28</v>
      </c>
      <c r="B9" s="84">
        <v>0.45</v>
      </c>
      <c r="C9" s="84">
        <v>0.45500000000000002</v>
      </c>
      <c r="D9" s="84">
        <v>0.25</v>
      </c>
      <c r="E9" s="84">
        <v>0.33333333333333298</v>
      </c>
      <c r="F9" s="86">
        <v>0</v>
      </c>
      <c r="G9" s="84">
        <v>0.5</v>
      </c>
      <c r="H9" s="84">
        <v>0.16666666666666699</v>
      </c>
      <c r="I9" s="84">
        <v>0.5</v>
      </c>
      <c r="J9" s="84">
        <v>0.125</v>
      </c>
      <c r="K9" s="84">
        <v>0.61538461538461497</v>
      </c>
      <c r="L9" s="85"/>
      <c r="M9" s="9"/>
      <c r="N9" s="239" t="s">
        <v>97</v>
      </c>
      <c r="O9" s="240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</row>
    <row r="10" spans="1:31" ht="25.5" customHeight="1">
      <c r="A10" s="82" t="s">
        <v>29</v>
      </c>
      <c r="B10" s="84">
        <v>0.33300000000000002</v>
      </c>
      <c r="C10" s="84">
        <v>9.0999999999999998E-2</v>
      </c>
      <c r="D10" s="84">
        <v>0.2</v>
      </c>
      <c r="E10" s="83"/>
      <c r="F10" s="84">
        <v>0.25</v>
      </c>
      <c r="G10" s="83"/>
      <c r="H10" s="84">
        <v>0.5</v>
      </c>
      <c r="I10" s="84">
        <v>0.25</v>
      </c>
      <c r="J10" s="86">
        <v>0.41666666666666702</v>
      </c>
      <c r="K10" s="83"/>
      <c r="L10" s="87"/>
      <c r="M10" s="9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</row>
    <row r="11" spans="1:31" ht="25.5" customHeight="1">
      <c r="A11" s="82" t="s">
        <v>69</v>
      </c>
      <c r="B11" s="88"/>
      <c r="C11" s="88"/>
      <c r="D11" s="88"/>
      <c r="E11" s="88"/>
      <c r="F11" s="88"/>
      <c r="G11" s="88"/>
      <c r="H11" s="88"/>
      <c r="I11" s="88"/>
      <c r="J11" s="84">
        <v>0.22222222222222199</v>
      </c>
      <c r="K11" s="83"/>
      <c r="L11" s="85"/>
      <c r="M11" s="9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</row>
    <row r="12" spans="1:31" ht="25.5" customHeight="1">
      <c r="A12" s="82" t="s">
        <v>30</v>
      </c>
      <c r="B12" s="84">
        <v>0.35699999999999998</v>
      </c>
      <c r="C12" s="84">
        <v>0.75</v>
      </c>
      <c r="D12" s="84">
        <v>0.54200000000000004</v>
      </c>
      <c r="E12" s="84">
        <v>0.58333333333333304</v>
      </c>
      <c r="F12" s="84">
        <v>0.5</v>
      </c>
      <c r="G12" s="84">
        <v>0.7</v>
      </c>
      <c r="H12" s="84">
        <v>0.54838709677419395</v>
      </c>
      <c r="I12" s="84">
        <v>0.5</v>
      </c>
      <c r="J12" s="83">
        <v>0.54545454545454497</v>
      </c>
      <c r="K12" s="84">
        <v>0.66666666666666696</v>
      </c>
      <c r="L12" s="85"/>
      <c r="M12" s="9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</row>
    <row r="13" spans="1:31" ht="25.5" customHeight="1">
      <c r="A13" s="82" t="s">
        <v>31</v>
      </c>
      <c r="B13" s="84">
        <v>0.36399999999999999</v>
      </c>
      <c r="C13" s="84">
        <v>0.23100000000000001</v>
      </c>
      <c r="D13" s="84">
        <v>0.33300000000000002</v>
      </c>
      <c r="E13" s="83"/>
      <c r="F13" s="84">
        <v>0.25</v>
      </c>
      <c r="G13" s="84">
        <v>0.28571428571428598</v>
      </c>
      <c r="H13" s="84">
        <v>0.25</v>
      </c>
      <c r="I13" s="84">
        <v>0.3</v>
      </c>
      <c r="J13" s="84">
        <v>0.45833333333333298</v>
      </c>
      <c r="K13" s="84">
        <v>0.375</v>
      </c>
      <c r="L13" s="85"/>
      <c r="M13" s="9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</row>
    <row r="14" spans="1:31" ht="25.5" customHeight="1">
      <c r="A14" s="82" t="s">
        <v>32</v>
      </c>
      <c r="B14" s="88"/>
      <c r="C14" s="88"/>
      <c r="D14" s="84">
        <v>0.33300000000000002</v>
      </c>
      <c r="E14" s="86">
        <v>0</v>
      </c>
      <c r="F14" s="84">
        <v>0.66666666666666696</v>
      </c>
      <c r="G14" s="86">
        <v>0</v>
      </c>
      <c r="H14" s="84">
        <v>0.33333333333333298</v>
      </c>
      <c r="I14" s="84">
        <v>0.28571428571428598</v>
      </c>
      <c r="J14" s="84">
        <v>0.44444444444444398</v>
      </c>
      <c r="K14" s="84">
        <v>0.28571428571428598</v>
      </c>
      <c r="L14" s="85"/>
      <c r="M14" s="9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</row>
    <row r="15" spans="1:31" ht="25.5" customHeight="1">
      <c r="A15" s="82" t="s">
        <v>33</v>
      </c>
      <c r="B15" s="84">
        <v>0.25</v>
      </c>
      <c r="C15" s="84">
        <v>0.46200000000000002</v>
      </c>
      <c r="D15" s="84">
        <v>0.435</v>
      </c>
      <c r="E15" s="84">
        <v>0.83333333333333304</v>
      </c>
      <c r="F15" s="84">
        <v>0.375</v>
      </c>
      <c r="G15" s="84">
        <v>0.53333333333333299</v>
      </c>
      <c r="H15" s="84">
        <v>0.51851851851851805</v>
      </c>
      <c r="I15" s="83"/>
      <c r="J15" s="84">
        <v>0.55000000000000004</v>
      </c>
      <c r="K15" s="84">
        <v>0.38888888888888901</v>
      </c>
      <c r="L15" s="85"/>
      <c r="M15" s="9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</row>
    <row r="16" spans="1:31" ht="25.5" customHeight="1">
      <c r="A16" s="82" t="s">
        <v>35</v>
      </c>
      <c r="B16" s="88"/>
      <c r="C16" s="86">
        <v>0</v>
      </c>
      <c r="D16" s="84">
        <v>0.222</v>
      </c>
      <c r="E16" s="83"/>
      <c r="F16" s="84">
        <v>0.11111111111111099</v>
      </c>
      <c r="G16" s="84">
        <v>0.14285714285714299</v>
      </c>
      <c r="H16" s="84">
        <v>0.33333333333333298</v>
      </c>
      <c r="I16" s="84">
        <v>0.33333333333333298</v>
      </c>
      <c r="J16" s="84">
        <v>0.214285714285714</v>
      </c>
      <c r="K16" s="84">
        <v>0.57142857142857095</v>
      </c>
      <c r="L16" s="85"/>
      <c r="M16" s="9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</row>
    <row r="17" spans="1:31" ht="25.5" customHeight="1">
      <c r="A17" s="82" t="s">
        <v>36</v>
      </c>
      <c r="B17" s="84">
        <v>0.42899999999999999</v>
      </c>
      <c r="C17" s="84">
        <v>0.2</v>
      </c>
      <c r="D17" s="83"/>
      <c r="E17" s="84">
        <v>0.66666666666666696</v>
      </c>
      <c r="F17" s="84">
        <v>0.46153846153846201</v>
      </c>
      <c r="G17" s="84">
        <v>0.46153846153846201</v>
      </c>
      <c r="H17" s="84">
        <v>9.0909090909090898E-2</v>
      </c>
      <c r="I17" s="84">
        <v>0.28571428571428598</v>
      </c>
      <c r="J17" s="84">
        <v>0.29411764705882398</v>
      </c>
      <c r="K17" s="83"/>
      <c r="L17" s="85"/>
      <c r="M17" s="9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</row>
    <row r="18" spans="1:31" ht="25.5" customHeight="1">
      <c r="A18" s="82" t="s">
        <v>37</v>
      </c>
      <c r="B18" s="88"/>
      <c r="C18" s="88"/>
      <c r="D18" s="86">
        <v>0</v>
      </c>
      <c r="E18" s="84">
        <v>0.42857142857142899</v>
      </c>
      <c r="F18" s="84">
        <v>0.41666666666666702</v>
      </c>
      <c r="G18" s="84">
        <v>0.375</v>
      </c>
      <c r="H18" s="84">
        <v>0.31818181818181801</v>
      </c>
      <c r="I18" s="84">
        <v>0.625</v>
      </c>
      <c r="J18" s="84">
        <v>0.30769230769230799</v>
      </c>
      <c r="K18" s="84">
        <v>0.6</v>
      </c>
      <c r="L18" s="85"/>
      <c r="M18" s="9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</row>
    <row r="19" spans="1:31" ht="25.5" customHeight="1">
      <c r="A19" s="82" t="s">
        <v>38</v>
      </c>
      <c r="B19" s="83"/>
      <c r="C19" s="84">
        <v>0.42899999999999999</v>
      </c>
      <c r="D19" s="84">
        <v>0.61099999999999999</v>
      </c>
      <c r="E19" s="84">
        <v>0.4</v>
      </c>
      <c r="F19" s="84">
        <v>0.44444444444444398</v>
      </c>
      <c r="G19" s="84">
        <v>0.25</v>
      </c>
      <c r="H19" s="84">
        <v>0.33333333333333298</v>
      </c>
      <c r="I19" s="84">
        <v>0.41176470588235298</v>
      </c>
      <c r="J19" s="84">
        <v>0.25</v>
      </c>
      <c r="K19" s="84">
        <v>0.42857142857142899</v>
      </c>
      <c r="L19" s="85"/>
      <c r="M19" s="9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</row>
    <row r="20" spans="1:31" ht="25.5" customHeight="1">
      <c r="A20" s="82" t="s">
        <v>39</v>
      </c>
      <c r="B20" s="84">
        <v>0.42899999999999999</v>
      </c>
      <c r="C20" s="84">
        <v>0.5</v>
      </c>
      <c r="D20" s="84">
        <v>0.28599999999999998</v>
      </c>
      <c r="E20" s="84">
        <v>0.5</v>
      </c>
      <c r="F20" s="83"/>
      <c r="G20" s="84">
        <v>0.5</v>
      </c>
      <c r="H20" s="84">
        <v>0.3</v>
      </c>
      <c r="I20" s="84">
        <v>0.4</v>
      </c>
      <c r="J20" s="84">
        <v>0.35294117647058798</v>
      </c>
      <c r="K20" s="84">
        <v>0.30769230769230799</v>
      </c>
      <c r="L20" s="85"/>
      <c r="M20" s="9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</row>
    <row r="21" spans="1:31" ht="25.5" customHeight="1">
      <c r="A21" s="82" t="s">
        <v>70</v>
      </c>
      <c r="B21" s="88"/>
      <c r="C21" s="88"/>
      <c r="D21" s="88"/>
      <c r="E21" s="88"/>
      <c r="F21" s="88"/>
      <c r="G21" s="88"/>
      <c r="H21" s="88"/>
      <c r="I21" s="88"/>
      <c r="J21" s="84">
        <v>0.42857142857142899</v>
      </c>
      <c r="K21" s="84">
        <v>0.4</v>
      </c>
      <c r="L21" s="85"/>
      <c r="M21" s="9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</row>
    <row r="22" spans="1:31" ht="25.5" customHeight="1">
      <c r="A22" s="82" t="s">
        <v>40</v>
      </c>
      <c r="B22" s="84">
        <v>0.33300000000000002</v>
      </c>
      <c r="C22" s="84">
        <v>0.14299999999999999</v>
      </c>
      <c r="D22" s="84">
        <v>0.14299999999999999</v>
      </c>
      <c r="E22" s="86">
        <v>0</v>
      </c>
      <c r="F22" s="84">
        <v>0.5</v>
      </c>
      <c r="G22" s="83"/>
      <c r="H22" s="86">
        <v>0</v>
      </c>
      <c r="I22" s="83"/>
      <c r="J22" s="84">
        <v>0.5</v>
      </c>
      <c r="K22" s="83"/>
      <c r="L22" s="85"/>
      <c r="M22" s="9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</row>
    <row r="23" spans="1:31" ht="25.5" customHeight="1">
      <c r="A23" s="82" t="s">
        <v>41</v>
      </c>
      <c r="B23" s="84">
        <v>0.56000000000000005</v>
      </c>
      <c r="C23" s="84">
        <v>0.54500000000000004</v>
      </c>
      <c r="D23" s="84">
        <v>0.30399999999999999</v>
      </c>
      <c r="E23" s="83"/>
      <c r="F23" s="84">
        <v>0.45454545454545497</v>
      </c>
      <c r="G23" s="84">
        <v>0.46666666666666701</v>
      </c>
      <c r="H23" s="84">
        <v>0.58333333333333304</v>
      </c>
      <c r="I23" s="84">
        <v>0.75</v>
      </c>
      <c r="J23" s="83"/>
      <c r="K23" s="83"/>
      <c r="L23" s="85"/>
      <c r="M23" s="9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</row>
    <row r="24" spans="1:31" ht="25.5" customHeight="1">
      <c r="A24" s="82" t="s">
        <v>42</v>
      </c>
      <c r="B24" s="84">
        <v>0.25</v>
      </c>
      <c r="C24" s="84">
        <v>0.16700000000000001</v>
      </c>
      <c r="D24" s="84">
        <v>0.57099999999999995</v>
      </c>
      <c r="E24" s="83"/>
      <c r="F24" s="84">
        <v>0.4</v>
      </c>
      <c r="G24" s="84">
        <v>0.25</v>
      </c>
      <c r="H24" s="84">
        <v>0.18181818181818199</v>
      </c>
      <c r="I24" s="84">
        <v>0.57142857142857095</v>
      </c>
      <c r="J24" s="84">
        <v>0.28571428571428598</v>
      </c>
      <c r="K24" s="83"/>
      <c r="L24" s="85"/>
      <c r="M24" s="9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</row>
    <row r="25" spans="1:31" ht="25.5" customHeight="1">
      <c r="A25" s="82" t="s">
        <v>43</v>
      </c>
      <c r="B25" s="84">
        <v>0.5</v>
      </c>
      <c r="C25" s="84">
        <v>0.2</v>
      </c>
      <c r="D25" s="84">
        <v>0.4</v>
      </c>
      <c r="E25" s="84">
        <v>0.2</v>
      </c>
      <c r="F25" s="84">
        <v>0.22222222222222199</v>
      </c>
      <c r="G25" s="84">
        <v>0.36363636363636398</v>
      </c>
      <c r="H25" s="84">
        <v>0.28571428571428598</v>
      </c>
      <c r="I25" s="84">
        <v>0.375</v>
      </c>
      <c r="J25" s="84">
        <v>0.51612903225806495</v>
      </c>
      <c r="K25" s="84">
        <v>0.3</v>
      </c>
      <c r="L25" s="85"/>
      <c r="M25" s="9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</row>
    <row r="26" spans="1:31" ht="25.5" customHeight="1">
      <c r="A26" s="82" t="s">
        <v>71</v>
      </c>
      <c r="B26" s="88"/>
      <c r="C26" s="88"/>
      <c r="D26" s="88"/>
      <c r="E26" s="88"/>
      <c r="F26" s="88"/>
      <c r="G26" s="88"/>
      <c r="H26" s="88"/>
      <c r="I26" s="88"/>
      <c r="J26" s="88"/>
      <c r="K26" s="84">
        <v>0.3</v>
      </c>
      <c r="L26" s="85"/>
      <c r="M26" s="9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</row>
    <row r="27" spans="1:31" ht="25.5" customHeight="1">
      <c r="A27" s="82" t="s">
        <v>44</v>
      </c>
      <c r="B27" s="88"/>
      <c r="C27" s="88"/>
      <c r="D27" s="86">
        <v>0</v>
      </c>
      <c r="E27" s="84">
        <v>0.25</v>
      </c>
      <c r="F27" s="86">
        <v>0</v>
      </c>
      <c r="G27" s="86">
        <v>0</v>
      </c>
      <c r="H27" s="84">
        <v>0.5</v>
      </c>
      <c r="I27" s="84">
        <v>0.33333333333333298</v>
      </c>
      <c r="J27" s="84">
        <v>0.24</v>
      </c>
      <c r="K27" s="84">
        <v>0.36363636363636398</v>
      </c>
      <c r="L27" s="85"/>
      <c r="M27" s="9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</row>
    <row r="28" spans="1:31" ht="25.5" customHeight="1">
      <c r="A28" s="89" t="s">
        <v>45</v>
      </c>
      <c r="B28" s="90">
        <v>0.43283582089552203</v>
      </c>
      <c r="C28" s="90">
        <v>0.34285714285714303</v>
      </c>
      <c r="D28" s="91">
        <v>0.35748792270531399</v>
      </c>
      <c r="E28" s="91">
        <v>0.37</v>
      </c>
      <c r="F28" s="91">
        <v>0.386075949367089</v>
      </c>
      <c r="G28" s="91">
        <v>0.38732394366197198</v>
      </c>
      <c r="H28" s="91">
        <v>0.42439024390243901</v>
      </c>
      <c r="I28" s="91">
        <v>0.373417721518987</v>
      </c>
      <c r="J28" s="91">
        <v>0.40066225165562902</v>
      </c>
      <c r="K28" s="91"/>
      <c r="L28" s="91"/>
      <c r="M28" s="9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</row>
    <row r="29" spans="1:31" ht="16.5" customHeight="1">
      <c r="A29" s="92"/>
      <c r="B29" s="92"/>
      <c r="C29" s="92"/>
      <c r="D29" s="92"/>
      <c r="E29" s="92"/>
      <c r="F29" s="92"/>
      <c r="G29" s="92"/>
      <c r="H29" s="92"/>
      <c r="I29" s="92"/>
      <c r="J29" s="92"/>
      <c r="K29" s="92"/>
      <c r="L29" s="34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</row>
  </sheetData>
  <mergeCells count="9">
    <mergeCell ref="N8:O8"/>
    <mergeCell ref="N9:O9"/>
    <mergeCell ref="J3:L3"/>
    <mergeCell ref="N5:O5"/>
    <mergeCell ref="A3:A4"/>
    <mergeCell ref="C3:E3"/>
    <mergeCell ref="F3:I3"/>
    <mergeCell ref="N6:O6"/>
    <mergeCell ref="N7:O7"/>
  </mergeCells>
  <phoneticPr fontId="21" type="noConversion"/>
  <conditionalFormatting sqref="B5:J10 K5:L27 J11 B12:J20 J21 B22:J25 B27:J27">
    <cfRule type="cellIs" dxfId="12" priority="3" stopIfTrue="1" operator="greaterThan">
      <formula>0.699</formula>
    </cfRule>
    <cfRule type="cellIs" dxfId="11" priority="4" stopIfTrue="1" operator="greaterThanOrEqual">
      <formula>0.5</formula>
    </cfRule>
  </conditionalFormatting>
  <conditionalFormatting sqref="B5:L27">
    <cfRule type="cellIs" dxfId="10" priority="1" stopIfTrue="1" operator="between">
      <formula>0.3</formula>
      <formula>0.4999</formula>
    </cfRule>
    <cfRule type="cellIs" dxfId="9" priority="2" stopIfTrue="1" operator="between">
      <formula>0.00001</formula>
      <formula>0.2999</formula>
    </cfRule>
  </conditionalFormatting>
  <conditionalFormatting sqref="N9">
    <cfRule type="cellIs" dxfId="8" priority="7" stopIfTrue="1" operator="between">
      <formula>0.00001</formula>
      <formula>0.25</formula>
    </cfRule>
    <cfRule type="cellIs" dxfId="7" priority="7" stopIfTrue="1" operator="greaterThan">
      <formula>0.699</formula>
    </cfRule>
    <cfRule type="cellIs" dxfId="6" priority="7" stopIfTrue="1" operator="greaterThan">
      <formula>0.499</formula>
    </cfRule>
  </conditionalFormatting>
  <pageMargins left="0.69972199999999996" right="0.69972199999999996" top="0.75" bottom="0.75" header="0.3" footer="0.3"/>
  <pageSetup orientation="portrait"/>
  <headerFooter>
    <oddFooter>&amp;C&amp;"Helvetica Neue,Regular"&amp;12&amp;K000000&amp;P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37"/>
  <sheetViews>
    <sheetView showGridLines="0" workbookViewId="0">
      <selection activeCell="Z28" sqref="Z28"/>
    </sheetView>
  </sheetViews>
  <sheetFormatPr defaultColWidth="9" defaultRowHeight="16.5" customHeight="1"/>
  <cols>
    <col min="1" max="22" width="8.875" style="1" customWidth="1"/>
    <col min="23" max="23" width="9" style="1" customWidth="1"/>
    <col min="24" max="16384" width="9" style="1"/>
  </cols>
  <sheetData>
    <row r="1" spans="1:22" ht="26.25" customHeight="1">
      <c r="A1" s="2" t="s">
        <v>80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3"/>
      <c r="V1" s="3"/>
    </row>
    <row r="2" spans="1:22" ht="17.25" customHeight="1">
      <c r="A2" s="5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7"/>
      <c r="U2" s="6"/>
      <c r="V2" s="6"/>
    </row>
    <row r="3" spans="1:22" ht="34.5" customHeight="1">
      <c r="A3" s="8" t="s">
        <v>2</v>
      </c>
      <c r="B3" s="8" t="s">
        <v>3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10</v>
      </c>
      <c r="J3" s="8" t="s">
        <v>11</v>
      </c>
      <c r="K3" s="8" t="s">
        <v>12</v>
      </c>
      <c r="L3" s="8" t="s">
        <v>13</v>
      </c>
      <c r="M3" s="8" t="s">
        <v>14</v>
      </c>
      <c r="N3" s="8" t="s">
        <v>15</v>
      </c>
      <c r="O3" s="8" t="s">
        <v>16</v>
      </c>
      <c r="P3" s="8" t="s">
        <v>17</v>
      </c>
      <c r="Q3" s="8" t="s">
        <v>18</v>
      </c>
      <c r="R3" s="8" t="s">
        <v>19</v>
      </c>
      <c r="S3" s="8" t="s">
        <v>20</v>
      </c>
      <c r="T3" s="8" t="s">
        <v>21</v>
      </c>
      <c r="U3" s="8" t="s">
        <v>22</v>
      </c>
      <c r="V3" s="8" t="s">
        <v>23</v>
      </c>
    </row>
    <row r="4" spans="1:22" ht="15" customHeight="1">
      <c r="A4" s="8" t="s">
        <v>26</v>
      </c>
      <c r="B4" s="10">
        <v>52</v>
      </c>
      <c r="C4" s="62" cm="1">
        <f t="array" ref="C4">F4/E4</f>
        <v>0.56097560975609762</v>
      </c>
      <c r="D4" s="10">
        <v>150</v>
      </c>
      <c r="E4" s="10">
        <v>123</v>
      </c>
      <c r="F4" s="10">
        <v>69</v>
      </c>
      <c r="G4" s="10">
        <v>50</v>
      </c>
      <c r="H4" s="10">
        <v>14</v>
      </c>
      <c r="I4" s="10">
        <v>4</v>
      </c>
      <c r="J4" s="10">
        <v>1</v>
      </c>
      <c r="K4" s="10">
        <v>57</v>
      </c>
      <c r="L4" s="10">
        <v>62</v>
      </c>
      <c r="M4" s="10">
        <v>39</v>
      </c>
      <c r="N4" s="10">
        <v>25</v>
      </c>
      <c r="O4" s="10">
        <v>9</v>
      </c>
      <c r="P4" s="93" cm="1">
        <f t="array" ref="P4">O4/D4</f>
        <v>0.06</v>
      </c>
      <c r="Q4" s="13" cm="1">
        <f t="array" ref="Q4">(G4*1+H4*2+I4*3+J4*4)/E4</f>
        <v>0.76422764227642281</v>
      </c>
      <c r="R4" s="14" cm="1">
        <f t="array" ref="R4">(F4+N4)/D4</f>
        <v>0.62666666666666671</v>
      </c>
      <c r="S4" s="15" cm="1">
        <f t="array" ref="S4">R4+Q4</f>
        <v>1.3908943089430896</v>
      </c>
      <c r="T4" s="21" cm="1">
        <f t="array" ref="T4">O4/(D4-(F4+N4))</f>
        <v>0.16071428571428573</v>
      </c>
      <c r="U4" s="17" cm="1">
        <f t="array" ref="U4">RANK(R4,$R$4:$R$24)</f>
        <v>1</v>
      </c>
      <c r="V4" s="18" cm="1">
        <f t="array" ref="V4">RANK(S4,$S$4:$S$24)</f>
        <v>1</v>
      </c>
    </row>
    <row r="5" spans="1:22" ht="17.25" customHeight="1">
      <c r="A5" s="8" t="s">
        <v>30</v>
      </c>
      <c r="B5" s="10">
        <v>54</v>
      </c>
      <c r="C5" s="62" cm="1">
        <f t="array" ref="C5">F5/E5</f>
        <v>0.53191489361702127</v>
      </c>
      <c r="D5" s="10">
        <v>168</v>
      </c>
      <c r="E5" s="10">
        <v>141</v>
      </c>
      <c r="F5" s="10">
        <v>75</v>
      </c>
      <c r="G5" s="10">
        <v>54</v>
      </c>
      <c r="H5" s="10">
        <v>12</v>
      </c>
      <c r="I5" s="10">
        <v>8</v>
      </c>
      <c r="J5" s="10">
        <v>1</v>
      </c>
      <c r="K5" s="10">
        <v>69</v>
      </c>
      <c r="L5" s="10">
        <v>50</v>
      </c>
      <c r="M5" s="10">
        <v>79</v>
      </c>
      <c r="N5" s="10">
        <v>22</v>
      </c>
      <c r="O5" s="10">
        <v>12</v>
      </c>
      <c r="P5" s="93" cm="1">
        <f t="array" ref="P5">O5/D5</f>
        <v>7.1428571428571425E-2</v>
      </c>
      <c r="Q5" s="13" cm="1">
        <f t="array" ref="Q5">(G5*1+H5*2+I5*3+J5*4)/E5</f>
        <v>0.75177304964539005</v>
      </c>
      <c r="R5" s="14" cm="1">
        <f t="array" ref="R5">(F5+N5)/D5</f>
        <v>0.57738095238095233</v>
      </c>
      <c r="S5" s="15" cm="1">
        <f t="array" ref="S5">R5+Q5</f>
        <v>1.3291540020263424</v>
      </c>
      <c r="T5" s="21" cm="1">
        <f t="array" ref="T5">O5/(D5-(F5+N5))</f>
        <v>0.16901408450704225</v>
      </c>
      <c r="U5" s="17" cm="1">
        <f t="array" ref="U5">RANK(R5,$R$4:$R$24)</f>
        <v>2</v>
      </c>
      <c r="V5" s="18" cm="1">
        <f t="array" ref="V5">RANK(S5,$S$4:$S$24)</f>
        <v>3</v>
      </c>
    </row>
    <row r="6" spans="1:22" ht="17.25" customHeight="1">
      <c r="A6" s="8" t="s">
        <v>33</v>
      </c>
      <c r="B6" s="10">
        <v>47</v>
      </c>
      <c r="C6" s="62" cm="1">
        <f t="array" ref="C6">F6/E6</f>
        <v>0.5</v>
      </c>
      <c r="D6" s="10">
        <v>125</v>
      </c>
      <c r="E6" s="10">
        <v>104</v>
      </c>
      <c r="F6" s="10">
        <v>52</v>
      </c>
      <c r="G6" s="10">
        <v>29</v>
      </c>
      <c r="H6" s="10">
        <v>20</v>
      </c>
      <c r="I6" s="10">
        <v>2</v>
      </c>
      <c r="J6" s="10">
        <v>1</v>
      </c>
      <c r="K6" s="10">
        <v>40</v>
      </c>
      <c r="L6" s="10">
        <v>42</v>
      </c>
      <c r="M6" s="10">
        <v>19</v>
      </c>
      <c r="N6" s="10">
        <v>20</v>
      </c>
      <c r="O6" s="10">
        <v>5</v>
      </c>
      <c r="P6" s="93" cm="1">
        <f t="array" ref="P6">O6/D6</f>
        <v>0.04</v>
      </c>
      <c r="Q6" s="13" cm="1">
        <f t="array" ref="Q6">(G6*1+H6*2+I6*3+J6*4)/E6</f>
        <v>0.75961538461538458</v>
      </c>
      <c r="R6" s="14" cm="1">
        <f t="array" ref="R6">(F6+N6)/D6</f>
        <v>0.57599999999999996</v>
      </c>
      <c r="S6" s="15" cm="1">
        <f t="array" ref="S6">R6+Q6</f>
        <v>1.3356153846153846</v>
      </c>
      <c r="T6" s="21" cm="1">
        <f t="array" ref="T6">O6/(D6-(F6+N6))</f>
        <v>9.4339622641509441E-2</v>
      </c>
      <c r="U6" s="17" cm="1">
        <f t="array" ref="U6">RANK(R6,$R$4:$R$24)</f>
        <v>3</v>
      </c>
      <c r="V6" s="18" cm="1">
        <f t="array" ref="V6">RANK(S6,$S$4:$S$24)</f>
        <v>2</v>
      </c>
    </row>
    <row r="7" spans="1:22" ht="17.25" customHeight="1">
      <c r="A7" s="8" t="s">
        <v>38</v>
      </c>
      <c r="B7" s="10">
        <v>41</v>
      </c>
      <c r="C7" s="62" cm="1">
        <f t="array" ref="C7">F7/E7</f>
        <v>0.42857142857142855</v>
      </c>
      <c r="D7" s="10">
        <v>90</v>
      </c>
      <c r="E7" s="10">
        <v>77</v>
      </c>
      <c r="F7" s="10">
        <v>33</v>
      </c>
      <c r="G7" s="10">
        <v>26</v>
      </c>
      <c r="H7" s="10">
        <v>5</v>
      </c>
      <c r="I7" s="10">
        <v>1</v>
      </c>
      <c r="J7" s="10">
        <v>1</v>
      </c>
      <c r="K7" s="10">
        <v>23</v>
      </c>
      <c r="L7" s="10">
        <v>17</v>
      </c>
      <c r="M7" s="10">
        <v>12</v>
      </c>
      <c r="N7" s="10">
        <v>11</v>
      </c>
      <c r="O7" s="10">
        <v>13</v>
      </c>
      <c r="P7" s="93" cm="1">
        <f t="array" ref="P7">O7/D7</f>
        <v>0.14444444444444443</v>
      </c>
      <c r="Q7" s="13" cm="1">
        <f t="array" ref="Q7">(G7*1+H7*2+I7*3+J7*4)/E7</f>
        <v>0.55844155844155841</v>
      </c>
      <c r="R7" s="14" cm="1">
        <f t="array" ref="R7">(F7+N7)/D7</f>
        <v>0.48888888888888887</v>
      </c>
      <c r="S7" s="15" cm="1">
        <f t="array" ref="S7">R7+Q7</f>
        <v>1.0473304473304472</v>
      </c>
      <c r="T7" s="20" cm="1">
        <f t="array" ref="T7">O7/(D7-(F7+N7))</f>
        <v>0.28260869565217389</v>
      </c>
      <c r="U7" s="17" cm="1">
        <f t="array" ref="U7">RANK(R7,$R$4:$R$24)</f>
        <v>8</v>
      </c>
      <c r="V7" s="18" cm="1">
        <f t="array" ref="V7">RANK(S7,$S$4:$S$24)</f>
        <v>7</v>
      </c>
    </row>
    <row r="8" spans="1:22" ht="17.25" customHeight="1">
      <c r="A8" s="8" t="s">
        <v>41</v>
      </c>
      <c r="B8" s="10">
        <v>54</v>
      </c>
      <c r="C8" s="62" cm="1">
        <f t="array" ref="C8">F8/E8</f>
        <v>0.47863247863247865</v>
      </c>
      <c r="D8" s="10">
        <v>134</v>
      </c>
      <c r="E8" s="10">
        <v>117</v>
      </c>
      <c r="F8" s="10">
        <v>56</v>
      </c>
      <c r="G8" s="10">
        <v>41</v>
      </c>
      <c r="H8" s="10">
        <v>13</v>
      </c>
      <c r="I8" s="10">
        <v>0</v>
      </c>
      <c r="J8" s="10">
        <v>2</v>
      </c>
      <c r="K8" s="10">
        <v>47</v>
      </c>
      <c r="L8" s="10">
        <v>43</v>
      </c>
      <c r="M8" s="10">
        <v>20</v>
      </c>
      <c r="N8" s="10">
        <v>17</v>
      </c>
      <c r="O8" s="10">
        <v>14</v>
      </c>
      <c r="P8" s="93" cm="1">
        <f t="array" ref="P8">O8/D8</f>
        <v>0.1044776119402985</v>
      </c>
      <c r="Q8" s="13" cm="1">
        <f t="array" ref="Q8">(G8*1+H8*2+I8*3+J8*4)/E8</f>
        <v>0.64102564102564108</v>
      </c>
      <c r="R8" s="14" cm="1">
        <f t="array" ref="R8">(F8+N8)/D8</f>
        <v>0.54477611940298509</v>
      </c>
      <c r="S8" s="15" cm="1">
        <f t="array" ref="S8">R8+Q8</f>
        <v>1.1858017604286262</v>
      </c>
      <c r="T8" s="20" cm="1">
        <f t="array" ref="T8">O8/(D8-(F8+N8))</f>
        <v>0.22950819672131148</v>
      </c>
      <c r="U8" s="17" cm="1">
        <f t="array" ref="U8">RANK(R8,$R$4:$R$24)</f>
        <v>4</v>
      </c>
      <c r="V8" s="18" cm="1">
        <f t="array" ref="V8">RANK(S8,$S$4:$S$24)</f>
        <v>4</v>
      </c>
    </row>
    <row r="9" spans="1:22" ht="17.25" customHeight="1">
      <c r="A9" s="8" t="s">
        <v>36</v>
      </c>
      <c r="B9" s="10">
        <v>37</v>
      </c>
      <c r="C9" s="62" cm="1">
        <f t="array" ref="C9">F9/E9</f>
        <v>0.35</v>
      </c>
      <c r="D9" s="10">
        <v>68</v>
      </c>
      <c r="E9" s="10">
        <v>60</v>
      </c>
      <c r="F9" s="10">
        <v>21</v>
      </c>
      <c r="G9" s="10">
        <v>16</v>
      </c>
      <c r="H9" s="10">
        <v>5</v>
      </c>
      <c r="I9" s="10">
        <v>0</v>
      </c>
      <c r="J9" s="10">
        <v>0</v>
      </c>
      <c r="K9" s="10">
        <v>17</v>
      </c>
      <c r="L9" s="10">
        <v>22</v>
      </c>
      <c r="M9" s="10">
        <v>13</v>
      </c>
      <c r="N9" s="10">
        <v>7</v>
      </c>
      <c r="O9" s="10">
        <v>13</v>
      </c>
      <c r="P9" s="93" cm="1">
        <f t="array" ref="P9">O9/D9</f>
        <v>0.19117647058823528</v>
      </c>
      <c r="Q9" s="13" cm="1">
        <f t="array" ref="Q9">(G9*1+H9*2+I9*3+J9*4)/E9</f>
        <v>0.43333333333333335</v>
      </c>
      <c r="R9" s="14" cm="1">
        <f t="array" ref="R9">(F9+N9)/D9</f>
        <v>0.41176470588235292</v>
      </c>
      <c r="S9" s="15" cm="1">
        <f t="array" ref="S9">R9+Q9</f>
        <v>0.84509803921568627</v>
      </c>
      <c r="T9" s="16" cm="1">
        <f t="array" ref="T9">O9/(D9-(F9+N9))</f>
        <v>0.32500000000000001</v>
      </c>
      <c r="U9" s="17" cm="1">
        <f t="array" ref="U9">RANK(R9,$R$4:$R$24)</f>
        <v>13</v>
      </c>
      <c r="V9" s="18" cm="1">
        <f t="array" ref="V9">RANK(S9,$S$4:$S$24)</f>
        <v>11</v>
      </c>
    </row>
    <row r="10" spans="1:22" ht="17.25" customHeight="1">
      <c r="A10" s="8" t="s">
        <v>37</v>
      </c>
      <c r="B10" s="10">
        <v>28</v>
      </c>
      <c r="C10" s="62" cm="1">
        <f t="array" ref="C10">F10/E10</f>
        <v>0.38235294117647056</v>
      </c>
      <c r="D10" s="10">
        <v>88</v>
      </c>
      <c r="E10" s="10">
        <v>68</v>
      </c>
      <c r="F10" s="10">
        <v>26</v>
      </c>
      <c r="G10" s="10">
        <v>19</v>
      </c>
      <c r="H10" s="10">
        <v>3</v>
      </c>
      <c r="I10" s="10">
        <v>4</v>
      </c>
      <c r="J10" s="10">
        <v>0</v>
      </c>
      <c r="K10" s="10">
        <v>27</v>
      </c>
      <c r="L10" s="10">
        <v>14</v>
      </c>
      <c r="M10" s="10">
        <v>25</v>
      </c>
      <c r="N10" s="10">
        <v>19</v>
      </c>
      <c r="O10" s="10">
        <v>13</v>
      </c>
      <c r="P10" s="93" cm="1">
        <f t="array" ref="P10">O10/D10</f>
        <v>0.14772727272727273</v>
      </c>
      <c r="Q10" s="13" cm="1">
        <f t="array" ref="Q10">(G10*1+H10*2+I10*3+J10*4)/E10</f>
        <v>0.54411764705882348</v>
      </c>
      <c r="R10" s="14" cm="1">
        <f t="array" ref="R10">(F10+N10)/D10</f>
        <v>0.51136363636363635</v>
      </c>
      <c r="S10" s="15" cm="1">
        <f t="array" ref="S10">R10+Q10</f>
        <v>1.0554812834224598</v>
      </c>
      <c r="T10" s="16" cm="1">
        <f t="array" ref="T10">O10/(D10-(F10+N10))</f>
        <v>0.30232558139534882</v>
      </c>
      <c r="U10" s="17" cm="1">
        <f t="array" ref="U10">RANK(R10,$R$4:$R$24)</f>
        <v>6</v>
      </c>
      <c r="V10" s="18" cm="1">
        <f t="array" ref="V10">RANK(S10,$S$4:$S$24)</f>
        <v>6</v>
      </c>
    </row>
    <row r="11" spans="1:22" ht="17.25" customHeight="1">
      <c r="A11" s="8" t="s">
        <v>28</v>
      </c>
      <c r="B11" s="10">
        <v>44</v>
      </c>
      <c r="C11" s="62" cm="1">
        <f t="array" ref="C11">F11/E11</f>
        <v>0.36470588235294116</v>
      </c>
      <c r="D11" s="10">
        <v>112</v>
      </c>
      <c r="E11" s="10">
        <v>85</v>
      </c>
      <c r="F11" s="10">
        <v>31</v>
      </c>
      <c r="G11" s="10">
        <v>20</v>
      </c>
      <c r="H11" s="10">
        <v>7</v>
      </c>
      <c r="I11" s="10">
        <v>3</v>
      </c>
      <c r="J11" s="10">
        <v>1</v>
      </c>
      <c r="K11" s="10">
        <v>35</v>
      </c>
      <c r="L11" s="10">
        <v>33</v>
      </c>
      <c r="M11" s="10">
        <v>19</v>
      </c>
      <c r="N11" s="10">
        <v>26</v>
      </c>
      <c r="O11" s="10">
        <v>23</v>
      </c>
      <c r="P11" s="93" cm="1">
        <f t="array" ref="P11">O11/D11</f>
        <v>0.20535714285714285</v>
      </c>
      <c r="Q11" s="13" cm="1">
        <f t="array" ref="Q11">(G11*1+H11*2+I11*3+J11*4)/E11</f>
        <v>0.55294117647058827</v>
      </c>
      <c r="R11" s="14" cm="1">
        <f t="array" ref="R11">(F11+N11)/D11</f>
        <v>0.5089285714285714</v>
      </c>
      <c r="S11" s="15" cm="1">
        <f t="array" ref="S11">R11+Q11</f>
        <v>1.0618697478991597</v>
      </c>
      <c r="T11" s="20" cm="1">
        <f t="array" ref="T11">O11/(D11-(F11+N11))</f>
        <v>0.41818181818181815</v>
      </c>
      <c r="U11" s="17" cm="1">
        <f t="array" ref="U11">RANK(R11,$R$4:$R$24)</f>
        <v>7</v>
      </c>
      <c r="V11" s="18" cm="1">
        <f t="array" ref="V11">RANK(S11,$S$4:$S$24)</f>
        <v>5</v>
      </c>
    </row>
    <row r="12" spans="1:22" ht="17.25" customHeight="1">
      <c r="A12" s="8" t="s">
        <v>43</v>
      </c>
      <c r="B12" s="10">
        <v>44</v>
      </c>
      <c r="C12" s="62" cm="1">
        <f t="array" ref="C12">F12/E12</f>
        <v>0.34042553191489361</v>
      </c>
      <c r="D12" s="10">
        <v>115</v>
      </c>
      <c r="E12" s="10">
        <v>94</v>
      </c>
      <c r="F12" s="10">
        <v>32</v>
      </c>
      <c r="G12" s="10">
        <v>20</v>
      </c>
      <c r="H12" s="10">
        <v>10</v>
      </c>
      <c r="I12" s="10">
        <v>2</v>
      </c>
      <c r="J12" s="10">
        <v>0</v>
      </c>
      <c r="K12" s="10">
        <v>28</v>
      </c>
      <c r="L12" s="10">
        <v>25</v>
      </c>
      <c r="M12" s="10">
        <v>17</v>
      </c>
      <c r="N12" s="10">
        <v>20</v>
      </c>
      <c r="O12" s="10">
        <v>20</v>
      </c>
      <c r="P12" s="93" cm="1">
        <f t="array" ref="P12">O12/D12</f>
        <v>0.17391304347826086</v>
      </c>
      <c r="Q12" s="13" cm="1">
        <f t="array" ref="Q12">(G12*1+H12*2+I12*3+J12*4)/E12</f>
        <v>0.48936170212765956</v>
      </c>
      <c r="R12" s="14" cm="1">
        <f t="array" ref="R12">(F12+N12)/D12</f>
        <v>0.45217391304347826</v>
      </c>
      <c r="S12" s="15" cm="1">
        <f t="array" ref="S12">R12+Q12</f>
        <v>0.94153561517113782</v>
      </c>
      <c r="T12" s="20" cm="1">
        <f t="array" ref="T12">O12/(D12-(F12+N12))</f>
        <v>0.31746031746031744</v>
      </c>
      <c r="U12" s="17" cm="1">
        <f t="array" ref="U12">RANK(R12,$R$4:$R$24)</f>
        <v>10</v>
      </c>
      <c r="V12" s="18" cm="1">
        <f t="array" ref="V12">RANK(S12,$S$4:$S$24)</f>
        <v>8</v>
      </c>
    </row>
    <row r="13" spans="1:22" ht="17.25" customHeight="1">
      <c r="A13" s="8" t="s">
        <v>39</v>
      </c>
      <c r="B13" s="10">
        <v>31</v>
      </c>
      <c r="C13" s="62" cm="1">
        <f t="array" ref="C13">F13/E13</f>
        <v>0.35384615384615387</v>
      </c>
      <c r="D13" s="10">
        <v>80</v>
      </c>
      <c r="E13" s="10">
        <v>65</v>
      </c>
      <c r="F13" s="10">
        <v>23</v>
      </c>
      <c r="G13" s="10">
        <v>22</v>
      </c>
      <c r="H13" s="10">
        <v>0</v>
      </c>
      <c r="I13" s="10">
        <v>0</v>
      </c>
      <c r="J13" s="10">
        <v>1</v>
      </c>
      <c r="K13" s="10">
        <v>20</v>
      </c>
      <c r="L13" s="10">
        <v>22</v>
      </c>
      <c r="M13" s="10">
        <v>7</v>
      </c>
      <c r="N13" s="10">
        <v>13</v>
      </c>
      <c r="O13" s="10">
        <v>10</v>
      </c>
      <c r="P13" s="93" cm="1">
        <f t="array" ref="P13">O13/D13</f>
        <v>0.125</v>
      </c>
      <c r="Q13" s="13" cm="1">
        <f t="array" ref="Q13">(G13*1+H13*2+I13*3+J13*4)/E13</f>
        <v>0.4</v>
      </c>
      <c r="R13" s="14" cm="1">
        <f t="array" ref="R13">(F13+N13)/D13</f>
        <v>0.45</v>
      </c>
      <c r="S13" s="15" cm="1">
        <f t="array" ref="S13">R13+Q13</f>
        <v>0.85000000000000009</v>
      </c>
      <c r="T13" s="23" cm="1">
        <f t="array" ref="T13">O13/(D13-(F13+N13))</f>
        <v>0.22727272727272727</v>
      </c>
      <c r="U13" s="17" cm="1">
        <f t="array" ref="U13">RANK(R13,$R$4:$R$24)</f>
        <v>11</v>
      </c>
      <c r="V13" s="18" cm="1">
        <f t="array" ref="V13">RANK(S13,$S$4:$S$24)</f>
        <v>10</v>
      </c>
    </row>
    <row r="14" spans="1:22" ht="17.25" customHeight="1">
      <c r="A14" s="8" t="s">
        <v>42</v>
      </c>
      <c r="B14" s="10">
        <v>34</v>
      </c>
      <c r="C14" s="62" cm="1">
        <f t="array" ref="C14">F14/E14</f>
        <v>0.3392857142857143</v>
      </c>
      <c r="D14" s="10">
        <v>74</v>
      </c>
      <c r="E14" s="10">
        <v>56</v>
      </c>
      <c r="F14" s="10">
        <v>19</v>
      </c>
      <c r="G14" s="10">
        <v>15</v>
      </c>
      <c r="H14" s="10">
        <v>4</v>
      </c>
      <c r="I14" s="10">
        <v>0</v>
      </c>
      <c r="J14" s="10">
        <v>0</v>
      </c>
      <c r="K14" s="10">
        <v>22</v>
      </c>
      <c r="L14" s="10">
        <v>17</v>
      </c>
      <c r="M14" s="10">
        <v>16</v>
      </c>
      <c r="N14" s="10">
        <v>16</v>
      </c>
      <c r="O14" s="10">
        <v>18</v>
      </c>
      <c r="P14" s="93" cm="1">
        <f t="array" ref="P14">O14/D14</f>
        <v>0.24324324324324326</v>
      </c>
      <c r="Q14" s="13" cm="1">
        <f t="array" ref="Q14">(G14*1+H14*2+I14*3+J14*4)/E14</f>
        <v>0.4107142857142857</v>
      </c>
      <c r="R14" s="14" cm="1">
        <f t="array" ref="R14">(F14+N14)/D14</f>
        <v>0.47297297297297297</v>
      </c>
      <c r="S14" s="15" cm="1">
        <f t="array" ref="S14">R14+Q14</f>
        <v>0.88368725868725861</v>
      </c>
      <c r="T14" s="94" cm="1">
        <f t="array" ref="T14">O14/(D14-(F14+N14))</f>
        <v>0.46153846153846156</v>
      </c>
      <c r="U14" s="17" cm="1">
        <f t="array" ref="U14">RANK(R14,$R$4:$R$24)</f>
        <v>9</v>
      </c>
      <c r="V14" s="18" cm="1">
        <f t="array" ref="V14">RANK(S14,$S$4:$S$24)</f>
        <v>9</v>
      </c>
    </row>
    <row r="15" spans="1:22" ht="17.25" customHeight="1">
      <c r="A15" s="8" t="s">
        <v>32</v>
      </c>
      <c r="B15" s="10">
        <v>20</v>
      </c>
      <c r="C15" s="62" cm="1">
        <f t="array" ref="C15">F15/E15</f>
        <v>0.30769230769230771</v>
      </c>
      <c r="D15" s="10">
        <v>41</v>
      </c>
      <c r="E15" s="10">
        <v>26</v>
      </c>
      <c r="F15" s="10">
        <v>8</v>
      </c>
      <c r="G15" s="10">
        <v>7</v>
      </c>
      <c r="H15" s="10">
        <v>1</v>
      </c>
      <c r="I15" s="10">
        <v>0</v>
      </c>
      <c r="J15" s="10">
        <v>0</v>
      </c>
      <c r="K15" s="10">
        <v>16</v>
      </c>
      <c r="L15" s="10">
        <v>5</v>
      </c>
      <c r="M15" s="10">
        <v>11</v>
      </c>
      <c r="N15" s="10">
        <v>8</v>
      </c>
      <c r="O15" s="10">
        <v>2</v>
      </c>
      <c r="P15" s="93" cm="1">
        <f t="array" ref="P15">O15/D15</f>
        <v>4.878048780487805E-2</v>
      </c>
      <c r="Q15" s="13" cm="1">
        <f t="array" ref="Q15">(G15*1+H15*2+I15*3+J15*4)/E15</f>
        <v>0.34615384615384615</v>
      </c>
      <c r="R15" s="14" cm="1">
        <f t="array" ref="R15">(F15+N15)/D15</f>
        <v>0.3902439024390244</v>
      </c>
      <c r="S15" s="15" cm="1">
        <f t="array" ref="S15">R15+Q15</f>
        <v>0.73639774859287055</v>
      </c>
      <c r="T15" s="22" cm="1">
        <f t="array" ref="T15">O15/(D15-(F15+N15))</f>
        <v>0.08</v>
      </c>
      <c r="U15" s="17" cm="1">
        <f t="array" ref="U15">RANK(R15,$R$4:$R$24)</f>
        <v>16</v>
      </c>
      <c r="V15" s="18" cm="1">
        <f t="array" ref="V15">RANK(S15,$S$4:$S$24)</f>
        <v>13</v>
      </c>
    </row>
    <row r="16" spans="1:22" ht="17.25" customHeight="1">
      <c r="A16" s="8" t="s">
        <v>31</v>
      </c>
      <c r="B16" s="10">
        <v>34</v>
      </c>
      <c r="C16" s="62" cm="1">
        <f t="array" ref="C16">F16/E16</f>
        <v>0.27868852459016391</v>
      </c>
      <c r="D16" s="10">
        <v>69</v>
      </c>
      <c r="E16" s="10">
        <v>61</v>
      </c>
      <c r="F16" s="10">
        <v>17</v>
      </c>
      <c r="G16" s="10">
        <v>15</v>
      </c>
      <c r="H16" s="10">
        <v>2</v>
      </c>
      <c r="I16" s="10">
        <v>0</v>
      </c>
      <c r="J16" s="10">
        <v>0</v>
      </c>
      <c r="K16" s="10">
        <v>20</v>
      </c>
      <c r="L16" s="10">
        <v>15</v>
      </c>
      <c r="M16" s="10">
        <v>15</v>
      </c>
      <c r="N16" s="10">
        <v>8</v>
      </c>
      <c r="O16" s="10">
        <v>14</v>
      </c>
      <c r="P16" s="93" cm="1">
        <f t="array" ref="P16">O16/D16</f>
        <v>0.20289855072463769</v>
      </c>
      <c r="Q16" s="13" cm="1">
        <f t="array" ref="Q16">(G16*1+H16*2+I16*3+J16*4)/E16</f>
        <v>0.31147540983606559</v>
      </c>
      <c r="R16" s="14" cm="1">
        <f t="array" ref="R16">(F16+N16)/D16</f>
        <v>0.36231884057971014</v>
      </c>
      <c r="S16" s="15" cm="1">
        <f t="array" ref="S16">R16+Q16</f>
        <v>0.67379425041577568</v>
      </c>
      <c r="T16" s="20" cm="1">
        <f t="array" ref="T16">O16/(D16-(F16+N16))</f>
        <v>0.31818181818181818</v>
      </c>
      <c r="U16" s="17" cm="1">
        <f t="array" ref="U16">RANK(R16,$R$4:$R$24)</f>
        <v>19</v>
      </c>
      <c r="V16" s="18" cm="1">
        <f t="array" ref="V16">RANK(S16,$S$4:$S$24)</f>
        <v>14</v>
      </c>
    </row>
    <row r="17" spans="1:22" ht="17.25" customHeight="1">
      <c r="A17" s="8" t="s">
        <v>29</v>
      </c>
      <c r="B17" s="10">
        <v>22</v>
      </c>
      <c r="C17" s="62" cm="1">
        <f t="array" ref="C17">F17/E17</f>
        <v>0.23404255319148937</v>
      </c>
      <c r="D17" s="10">
        <v>48</v>
      </c>
      <c r="E17" s="10">
        <v>47</v>
      </c>
      <c r="F17" s="10">
        <v>11</v>
      </c>
      <c r="G17" s="10">
        <v>10</v>
      </c>
      <c r="H17" s="10">
        <v>1</v>
      </c>
      <c r="I17" s="10">
        <v>0</v>
      </c>
      <c r="J17" s="10">
        <v>0</v>
      </c>
      <c r="K17" s="10">
        <v>10</v>
      </c>
      <c r="L17" s="10">
        <v>6</v>
      </c>
      <c r="M17" s="10">
        <v>8</v>
      </c>
      <c r="N17" s="10">
        <v>6</v>
      </c>
      <c r="O17" s="10">
        <v>16</v>
      </c>
      <c r="P17" s="95" cm="1">
        <f t="array" ref="P17">O17/D17</f>
        <v>0.33333333333333331</v>
      </c>
      <c r="Q17" s="13" cm="1">
        <f t="array" ref="Q17">(G17*1+H17*2+I17*3+J17*4)/E17</f>
        <v>0.25531914893617019</v>
      </c>
      <c r="R17" s="14" cm="1">
        <f t="array" ref="R17">(F17+N17)/D17</f>
        <v>0.35416666666666669</v>
      </c>
      <c r="S17" s="15" cm="1">
        <f t="array" ref="S17">R17+Q17</f>
        <v>0.60948581560283688</v>
      </c>
      <c r="T17" s="20" cm="1">
        <f t="array" ref="T17">O17/(D17-(F17+N17))</f>
        <v>0.5161290322580645</v>
      </c>
      <c r="U17" s="17" cm="1">
        <f t="array" ref="U17">RANK(R17,$R$4:$R$24)</f>
        <v>20</v>
      </c>
      <c r="V17" s="18" cm="1">
        <f t="array" ref="V17">RANK(S17,$S$4:$S$24)</f>
        <v>19</v>
      </c>
    </row>
    <row r="18" spans="1:22" ht="17.25" customHeight="1">
      <c r="A18" s="8" t="s">
        <v>25</v>
      </c>
      <c r="B18" s="10">
        <v>29</v>
      </c>
      <c r="C18" s="62" cm="1">
        <f t="array" ref="C18">F18/E18</f>
        <v>0.19354838709677419</v>
      </c>
      <c r="D18" s="10">
        <v>55</v>
      </c>
      <c r="E18" s="10">
        <v>31</v>
      </c>
      <c r="F18" s="10">
        <v>6</v>
      </c>
      <c r="G18" s="10">
        <v>4</v>
      </c>
      <c r="H18" s="10">
        <v>2</v>
      </c>
      <c r="I18" s="10">
        <v>0</v>
      </c>
      <c r="J18" s="10">
        <v>0</v>
      </c>
      <c r="K18" s="10">
        <v>12</v>
      </c>
      <c r="L18" s="10">
        <v>8</v>
      </c>
      <c r="M18" s="10">
        <v>6</v>
      </c>
      <c r="N18" s="10">
        <v>23</v>
      </c>
      <c r="O18" s="10">
        <v>17</v>
      </c>
      <c r="P18" s="93" cm="1">
        <f t="array" ref="P18">O18/D18</f>
        <v>0.30909090909090908</v>
      </c>
      <c r="Q18" s="13" cm="1">
        <f t="array" ref="Q18">(G18*1+H18*2+I18*3+J18*4)/E18</f>
        <v>0.25806451612903225</v>
      </c>
      <c r="R18" s="14" cm="1">
        <f t="array" ref="R18">(F18+N18)/D18</f>
        <v>0.52727272727272723</v>
      </c>
      <c r="S18" s="15" cm="1">
        <f t="array" ref="S18">R18+Q18</f>
        <v>0.78533724340175948</v>
      </c>
      <c r="T18" s="20" cm="1">
        <f t="array" ref="T18">O18/(D18-(F18+N18))</f>
        <v>0.65384615384615385</v>
      </c>
      <c r="U18" s="17" cm="1">
        <f t="array" ref="U18">RANK(R18,$R$4:$R$24)</f>
        <v>5</v>
      </c>
      <c r="V18" s="18" cm="1">
        <f t="array" ref="V18">RANK(S18,$S$4:$S$24)</f>
        <v>12</v>
      </c>
    </row>
    <row r="19" spans="1:22" ht="17.25" customHeight="1">
      <c r="A19" s="8" t="s">
        <v>40</v>
      </c>
      <c r="B19" s="10">
        <v>33</v>
      </c>
      <c r="C19" s="62" cm="1">
        <f t="array" ref="C19">F19/E19</f>
        <v>0.18181818181818182</v>
      </c>
      <c r="D19" s="10">
        <v>64</v>
      </c>
      <c r="E19" s="10">
        <v>44</v>
      </c>
      <c r="F19" s="10">
        <v>8</v>
      </c>
      <c r="G19" s="10">
        <v>6</v>
      </c>
      <c r="H19" s="10">
        <v>2</v>
      </c>
      <c r="I19" s="10">
        <v>0</v>
      </c>
      <c r="J19" s="10">
        <v>0</v>
      </c>
      <c r="K19" s="10">
        <v>16</v>
      </c>
      <c r="L19" s="10">
        <v>16</v>
      </c>
      <c r="M19" s="10">
        <v>17</v>
      </c>
      <c r="N19" s="10">
        <v>20</v>
      </c>
      <c r="O19" s="10">
        <v>18</v>
      </c>
      <c r="P19" s="93" cm="1">
        <f t="array" ref="P19">O19/D19</f>
        <v>0.28125</v>
      </c>
      <c r="Q19" s="13" cm="1">
        <f t="array" ref="Q19">(G19*1+H19*2+I19*3+J19*4)/E19</f>
        <v>0.22727272727272727</v>
      </c>
      <c r="R19" s="14" cm="1">
        <f t="array" ref="R19">(F19+N19)/D19</f>
        <v>0.4375</v>
      </c>
      <c r="S19" s="15" cm="1">
        <f t="array" ref="S19">R19+Q19</f>
        <v>0.66477272727272729</v>
      </c>
      <c r="T19" s="20" cm="1">
        <f t="array" ref="T19">O19/(D19-(F19+N19))</f>
        <v>0.5</v>
      </c>
      <c r="U19" s="17" cm="1">
        <f t="array" ref="U19">RANK(R19,$R$4:$R$24)</f>
        <v>12</v>
      </c>
      <c r="V19" s="18" cm="1">
        <f t="array" ref="V19">RANK(S19,$S$4:$S$24)</f>
        <v>16</v>
      </c>
    </row>
    <row r="20" spans="1:22" ht="17.25" customHeight="1">
      <c r="A20" s="8" t="s">
        <v>24</v>
      </c>
      <c r="B20" s="10">
        <v>20</v>
      </c>
      <c r="C20" s="62" cm="1">
        <f t="array" ref="C20">F20/E20</f>
        <v>0.14285714285714285</v>
      </c>
      <c r="D20" s="10">
        <v>25</v>
      </c>
      <c r="E20" s="10">
        <v>21</v>
      </c>
      <c r="F20" s="10">
        <v>3</v>
      </c>
      <c r="G20" s="10">
        <v>2</v>
      </c>
      <c r="H20" s="10">
        <v>0</v>
      </c>
      <c r="I20" s="10">
        <v>1</v>
      </c>
      <c r="J20" s="10">
        <v>0</v>
      </c>
      <c r="K20" s="10">
        <v>8</v>
      </c>
      <c r="L20" s="10">
        <v>4</v>
      </c>
      <c r="M20" s="10">
        <v>10</v>
      </c>
      <c r="N20" s="10">
        <v>4</v>
      </c>
      <c r="O20" s="10">
        <v>11</v>
      </c>
      <c r="P20" s="95" cm="1">
        <f t="array" ref="P20">O20/D20</f>
        <v>0.44</v>
      </c>
      <c r="Q20" s="13" cm="1">
        <f t="array" ref="Q20">(G20*1+H20*2+I20*3+J20*4)/E20</f>
        <v>0.23809523809523808</v>
      </c>
      <c r="R20" s="14" cm="1">
        <f t="array" ref="R20">(F20+N20)/D20</f>
        <v>0.28000000000000003</v>
      </c>
      <c r="S20" s="15" cm="1">
        <f t="array" ref="S20">R20+Q20</f>
        <v>0.51809523809523816</v>
      </c>
      <c r="T20" s="16" cm="1">
        <f t="array" ref="T20">O20/(D20-(F20+N20))</f>
        <v>0.61111111111111116</v>
      </c>
      <c r="U20" s="17" cm="1">
        <f t="array" ref="U20">RANK(R20,$R$4:$R$24)</f>
        <v>21</v>
      </c>
      <c r="V20" s="18" cm="1">
        <f t="array" ref="V20">RANK(S20,$S$4:$S$24)</f>
        <v>20</v>
      </c>
    </row>
    <row r="21" spans="1:22" ht="17.25" customHeight="1">
      <c r="A21" s="8" t="s">
        <v>34</v>
      </c>
      <c r="B21" s="10">
        <v>14</v>
      </c>
      <c r="C21" s="62" cm="1">
        <f t="array" ref="C21">F21/E21</f>
        <v>0.16666666666666666</v>
      </c>
      <c r="D21" s="10">
        <v>33</v>
      </c>
      <c r="E21" s="10">
        <v>24</v>
      </c>
      <c r="F21" s="10">
        <v>4</v>
      </c>
      <c r="G21" s="10">
        <v>3</v>
      </c>
      <c r="H21" s="10">
        <v>0</v>
      </c>
      <c r="I21" s="10">
        <v>1</v>
      </c>
      <c r="J21" s="10">
        <v>0</v>
      </c>
      <c r="K21" s="10">
        <v>10</v>
      </c>
      <c r="L21" s="10">
        <v>2</v>
      </c>
      <c r="M21" s="10">
        <v>5</v>
      </c>
      <c r="N21" s="10">
        <v>9</v>
      </c>
      <c r="O21" s="10">
        <v>11</v>
      </c>
      <c r="P21" s="93" cm="1">
        <f t="array" ref="P21">O21/D21</f>
        <v>0.33333333333333331</v>
      </c>
      <c r="Q21" s="13" cm="1">
        <f t="array" ref="Q21">(G21*1+H21*2+I21*3+J21*4)/E21</f>
        <v>0.25</v>
      </c>
      <c r="R21" s="14" cm="1">
        <f t="array" ref="R21">(F21+N21)/D21</f>
        <v>0.39393939393939392</v>
      </c>
      <c r="S21" s="15" cm="1">
        <f t="array" ref="S21">R21+Q21</f>
        <v>0.64393939393939392</v>
      </c>
      <c r="T21" s="25" cm="1">
        <f t="array" ref="T21">O21/(D21-(F21+N21))</f>
        <v>0.55000000000000004</v>
      </c>
      <c r="U21" s="17" cm="1">
        <f t="array" ref="U21">RANK(R21,$R$4:$R$24)</f>
        <v>15</v>
      </c>
      <c r="V21" s="18" cm="1">
        <f t="array" ref="V21">RANK(S21,$S$4:$S$24)</f>
        <v>17</v>
      </c>
    </row>
    <row r="22" spans="1:22" ht="17.25" customHeight="1">
      <c r="A22" s="8" t="s">
        <v>35</v>
      </c>
      <c r="B22" s="10">
        <v>35</v>
      </c>
      <c r="C22" s="62" cm="1">
        <f t="array" ref="C22">F22/E22</f>
        <v>0.21666666666666667</v>
      </c>
      <c r="D22" s="10">
        <v>86</v>
      </c>
      <c r="E22" s="10">
        <v>60</v>
      </c>
      <c r="F22" s="10">
        <v>13</v>
      </c>
      <c r="G22" s="10">
        <v>10</v>
      </c>
      <c r="H22" s="10">
        <v>3</v>
      </c>
      <c r="I22" s="10">
        <v>0</v>
      </c>
      <c r="J22" s="10">
        <v>0</v>
      </c>
      <c r="K22" s="10">
        <v>18</v>
      </c>
      <c r="L22" s="10">
        <v>17</v>
      </c>
      <c r="M22" s="10">
        <v>14</v>
      </c>
      <c r="N22" s="10">
        <v>22</v>
      </c>
      <c r="O22" s="10">
        <v>32</v>
      </c>
      <c r="P22" s="93" cm="1">
        <f t="array" ref="P22">O22/D22</f>
        <v>0.37209302325581395</v>
      </c>
      <c r="Q22" s="13" cm="1">
        <f t="array" ref="Q22">(G22*1+H22*2+I22*3+J22*4)/E22</f>
        <v>0.26666666666666666</v>
      </c>
      <c r="R22" s="14" cm="1">
        <f t="array" ref="R22">(F22+N22)/D22</f>
        <v>0.40697674418604651</v>
      </c>
      <c r="S22" s="15" cm="1">
        <f t="array" ref="S22">R22+Q22</f>
        <v>0.67364341085271318</v>
      </c>
      <c r="T22" s="26" cm="1">
        <f t="array" ref="T22">O22/(D22-(F22+N22))</f>
        <v>0.62745098039215685</v>
      </c>
      <c r="U22" s="17" cm="1">
        <f t="array" ref="U22">RANK(R22,$R$4:$R$24)</f>
        <v>14</v>
      </c>
      <c r="V22" s="18" cm="1">
        <f t="array" ref="V22">RANK(S22,$S$4:$S$24)</f>
        <v>15</v>
      </c>
    </row>
    <row r="23" spans="1:22" ht="17.25" customHeight="1">
      <c r="A23" s="8" t="s">
        <v>44</v>
      </c>
      <c r="B23" s="10">
        <v>20</v>
      </c>
      <c r="C23" s="62" cm="1">
        <f t="array" ref="C23">F23/E23</f>
        <v>0.24242424242424243</v>
      </c>
      <c r="D23" s="10">
        <v>52</v>
      </c>
      <c r="E23" s="10">
        <v>33</v>
      </c>
      <c r="F23" s="10">
        <v>8</v>
      </c>
      <c r="G23" s="10">
        <v>8</v>
      </c>
      <c r="H23" s="10">
        <v>0</v>
      </c>
      <c r="I23" s="10">
        <v>0</v>
      </c>
      <c r="J23" s="10">
        <v>0</v>
      </c>
      <c r="K23" s="10">
        <v>16</v>
      </c>
      <c r="L23" s="10">
        <v>5</v>
      </c>
      <c r="M23" s="10">
        <v>4</v>
      </c>
      <c r="N23" s="10">
        <v>12</v>
      </c>
      <c r="O23" s="10">
        <v>9</v>
      </c>
      <c r="P23" s="93" cm="1">
        <f t="array" ref="P23">O23/D23</f>
        <v>0.17307692307692307</v>
      </c>
      <c r="Q23" s="13" cm="1">
        <f t="array" ref="Q23">(G23*1+H23*2+I23*3+J23*4)/E23</f>
        <v>0.24242424242424243</v>
      </c>
      <c r="R23" s="14" cm="1">
        <f t="array" ref="R23">(F23+N23)/D23</f>
        <v>0.38461538461538464</v>
      </c>
      <c r="S23" s="15" cm="1">
        <f t="array" ref="S23">R23+Q23</f>
        <v>0.62703962703962701</v>
      </c>
      <c r="T23" s="96" cm="1">
        <f t="array" ref="T23">O23/(D23-(F23+N23))</f>
        <v>0.28125</v>
      </c>
      <c r="U23" s="17" cm="1">
        <f t="array" ref="U23">RANK(R23,$R$4:$R$24)</f>
        <v>17</v>
      </c>
      <c r="V23" s="18" cm="1">
        <f t="array" ref="V23">RANK(S23,$S$4:$S$24)</f>
        <v>18</v>
      </c>
    </row>
    <row r="24" spans="1:22" ht="17.25" customHeight="1">
      <c r="A24" s="8" t="s">
        <v>27</v>
      </c>
      <c r="B24" s="10">
        <v>4</v>
      </c>
      <c r="C24" s="62" cm="1">
        <f t="array" ref="C24">F24/E24</f>
        <v>0</v>
      </c>
      <c r="D24" s="10">
        <v>11</v>
      </c>
      <c r="E24" s="10">
        <v>7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4</v>
      </c>
      <c r="L24" s="10">
        <v>6</v>
      </c>
      <c r="M24" s="10">
        <v>1</v>
      </c>
      <c r="N24" s="10">
        <v>4</v>
      </c>
      <c r="O24" s="10">
        <v>2</v>
      </c>
      <c r="P24" s="93" cm="1">
        <f t="array" ref="P24">O24/D24</f>
        <v>0.18181818181818182</v>
      </c>
      <c r="Q24" s="13" cm="1">
        <f t="array" ref="Q24">(G24*1+H24*2+I24*3+J24*4)/E24</f>
        <v>0</v>
      </c>
      <c r="R24" s="14" cm="1">
        <f t="array" ref="R24">(F24+N24)/D24</f>
        <v>0.36363636363636365</v>
      </c>
      <c r="S24" s="15" cm="1">
        <f t="array" ref="S24">R24+Q24</f>
        <v>0.36363636363636365</v>
      </c>
      <c r="T24" s="28" cm="1">
        <f t="array" ref="T24">O24/(D24-(F24+N24))</f>
        <v>0.2857142857142857</v>
      </c>
      <c r="U24" s="17" cm="1">
        <f t="array" ref="U24">RANK(R24,$R$4:$R$24)</f>
        <v>18</v>
      </c>
      <c r="V24" s="18" cm="1">
        <f t="array" ref="V24">RANK(S24,$S$4:$S$24)</f>
        <v>21</v>
      </c>
    </row>
    <row r="25" spans="1:22" ht="17.25" customHeight="1">
      <c r="A25" s="29" t="s">
        <v>45</v>
      </c>
      <c r="B25" s="30"/>
      <c r="C25" s="31" cm="1">
        <f t="array" ref="C25">F25/E25</f>
        <v>0.38318452380952384</v>
      </c>
      <c r="D25" s="32" cm="1">
        <f t="array" ref="D25">SUM(D4:D24)</f>
        <v>1688</v>
      </c>
      <c r="E25" s="32" cm="1">
        <f t="array" ref="E25">SUM(E4:E24)</f>
        <v>1344</v>
      </c>
      <c r="F25" s="32" cm="1">
        <f t="array" ref="F25">SUM(F4:F24)</f>
        <v>515</v>
      </c>
      <c r="G25" s="32" cm="1">
        <f t="array" ref="G25">SUM(G4:G24)</f>
        <v>377</v>
      </c>
      <c r="H25" s="32" cm="1">
        <f t="array" ref="H25">SUM(H4:H24)</f>
        <v>104</v>
      </c>
      <c r="I25" s="32" cm="1">
        <f t="array" ref="I25">SUM(I4:I24)</f>
        <v>26</v>
      </c>
      <c r="J25" s="32" cm="1">
        <f t="array" ref="J25">SUM(J4:J24)</f>
        <v>8</v>
      </c>
      <c r="K25" s="32" cm="1">
        <f t="array" ref="K25">SUM(K4:K24)</f>
        <v>515</v>
      </c>
      <c r="L25" s="32" cm="1">
        <f t="array" ref="L25">SUM(L4:L24)</f>
        <v>431</v>
      </c>
      <c r="M25" s="32" cm="1">
        <f t="array" ref="M25">SUM(M4:M24)</f>
        <v>357</v>
      </c>
      <c r="N25" s="32" cm="1">
        <f t="array" ref="N25">SUM(N4:N24)</f>
        <v>312</v>
      </c>
      <c r="O25" s="32" cm="1">
        <f t="array" ref="O25">SUM(O4:O24)</f>
        <v>282</v>
      </c>
      <c r="P25" s="33" cm="1">
        <f t="array" ref="P25">O25/D25</f>
        <v>0.16706161137440759</v>
      </c>
      <c r="Q25" s="31" cm="1">
        <f t="array" ref="Q25">(G25*1+H25*2+I25*3+J25*4)/E25</f>
        <v>0.51711309523809523</v>
      </c>
      <c r="R25" s="31" cm="1">
        <f t="array" ref="R25">(F25+N25)/D25</f>
        <v>0.48992890995260663</v>
      </c>
      <c r="S25" s="31" cm="1">
        <f t="array" ref="S25">R25+Q25</f>
        <v>1.0070420051907019</v>
      </c>
      <c r="T25" s="31"/>
      <c r="U25" s="31"/>
      <c r="V25" s="31"/>
    </row>
    <row r="26" spans="1:22" ht="16.5" customHeight="1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5"/>
      <c r="U26" s="34"/>
      <c r="V26" s="34"/>
    </row>
    <row r="27" spans="1:22" ht="17.25" customHeight="1">
      <c r="A27" s="5" t="s">
        <v>46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7"/>
      <c r="U27" s="36"/>
      <c r="V27" s="36"/>
    </row>
    <row r="28" spans="1:22" ht="34.5" customHeight="1">
      <c r="A28" s="8" t="s">
        <v>2</v>
      </c>
      <c r="B28" s="8" t="s">
        <v>3</v>
      </c>
      <c r="C28" s="8" t="s">
        <v>47</v>
      </c>
      <c r="D28" s="8" t="s">
        <v>48</v>
      </c>
      <c r="E28" s="8" t="s">
        <v>49</v>
      </c>
      <c r="F28" s="8" t="s">
        <v>50</v>
      </c>
      <c r="G28" s="8" t="s">
        <v>6</v>
      </c>
      <c r="H28" s="8" t="s">
        <v>51</v>
      </c>
      <c r="I28" s="8" t="s">
        <v>52</v>
      </c>
      <c r="J28" s="8" t="s">
        <v>53</v>
      </c>
      <c r="K28" s="8" t="s">
        <v>54</v>
      </c>
      <c r="L28" s="8" t="s">
        <v>55</v>
      </c>
      <c r="M28" s="8" t="s">
        <v>56</v>
      </c>
      <c r="N28" s="8" t="s">
        <v>57</v>
      </c>
      <c r="O28" s="8" t="s">
        <v>58</v>
      </c>
      <c r="P28" s="8" t="s">
        <v>59</v>
      </c>
      <c r="Q28" s="8" t="s">
        <v>60</v>
      </c>
      <c r="R28" s="8" t="s">
        <v>61</v>
      </c>
      <c r="S28" s="8" t="s">
        <v>62</v>
      </c>
      <c r="T28" s="8" t="s">
        <v>63</v>
      </c>
      <c r="U28" s="8" t="s">
        <v>64</v>
      </c>
      <c r="V28" s="8" t="s">
        <v>65</v>
      </c>
    </row>
    <row r="29" spans="1:22" ht="17.25" customHeight="1">
      <c r="A29" s="38" t="s">
        <v>24</v>
      </c>
      <c r="B29" s="10">
        <v>15</v>
      </c>
      <c r="C29" s="10">
        <v>1</v>
      </c>
      <c r="D29" s="10">
        <v>2</v>
      </c>
      <c r="E29" s="10">
        <v>0</v>
      </c>
      <c r="F29" s="10">
        <v>105</v>
      </c>
      <c r="G29" s="10">
        <v>52</v>
      </c>
      <c r="H29" s="39">
        <v>8.9996599993299995</v>
      </c>
      <c r="I29" s="10">
        <v>19</v>
      </c>
      <c r="J29" s="10">
        <v>0</v>
      </c>
      <c r="K29" s="10">
        <v>48</v>
      </c>
      <c r="L29" s="10">
        <v>4</v>
      </c>
      <c r="M29" s="10">
        <v>5</v>
      </c>
      <c r="N29" s="10">
        <v>56</v>
      </c>
      <c r="O29" s="10">
        <v>36</v>
      </c>
      <c r="P29" s="40" cm="1">
        <f t="array" ref="P29">O29*9/H29</f>
        <v>36.001360054059923</v>
      </c>
      <c r="Q29" s="41" cm="1">
        <f t="array" ref="Q29">(K29+L29)/H29</f>
        <v>5.7779960580590002</v>
      </c>
      <c r="R29" s="42" cm="1">
        <f t="array" ref="R29">I29/H29</f>
        <v>2.1111908673677116</v>
      </c>
      <c r="S29" s="42" cm="1">
        <f t="array" ref="S29">H29/B29</f>
        <v>0.59997733328866665</v>
      </c>
      <c r="T29" s="43" cm="1">
        <f t="array" ref="T29">M29/H29</f>
        <v>0.55557654404413459</v>
      </c>
      <c r="U29" s="44" cm="1">
        <f t="array" ref="U29">O29/N29</f>
        <v>0.6428571428571429</v>
      </c>
      <c r="V29" s="41" cm="1">
        <f t="array" ref="V29">(I29+K29+L29)/H29</f>
        <v>7.8891869254267117</v>
      </c>
    </row>
    <row r="30" spans="1:22" ht="17.25" customHeight="1">
      <c r="A30" s="38" t="s">
        <v>27</v>
      </c>
      <c r="B30" s="10">
        <v>1</v>
      </c>
      <c r="C30" s="10">
        <v>0</v>
      </c>
      <c r="D30" s="10">
        <v>0</v>
      </c>
      <c r="E30" s="10">
        <v>0</v>
      </c>
      <c r="F30" s="10">
        <v>1</v>
      </c>
      <c r="G30" s="10">
        <v>0</v>
      </c>
      <c r="H30" s="39">
        <v>0</v>
      </c>
      <c r="I30" s="10">
        <v>0</v>
      </c>
      <c r="J30" s="10">
        <v>0</v>
      </c>
      <c r="K30" s="10">
        <v>1</v>
      </c>
      <c r="L30" s="10">
        <v>0</v>
      </c>
      <c r="M30" s="10">
        <v>0</v>
      </c>
      <c r="N30" s="10">
        <v>0</v>
      </c>
      <c r="O30" s="10">
        <v>0</v>
      </c>
      <c r="P30" s="40">
        <v>0</v>
      </c>
      <c r="Q30" s="45" t="s">
        <v>66</v>
      </c>
      <c r="R30" s="45" t="s">
        <v>66</v>
      </c>
      <c r="S30" s="42" cm="1">
        <f t="array" ref="S30">H30/B30</f>
        <v>0</v>
      </c>
      <c r="T30" s="46" t="s">
        <v>66</v>
      </c>
      <c r="U30" s="45" t="s">
        <v>66</v>
      </c>
      <c r="V30" s="45" t="s">
        <v>66</v>
      </c>
    </row>
    <row r="31" spans="1:22" ht="17.25" customHeight="1">
      <c r="A31" s="38" t="s">
        <v>29</v>
      </c>
      <c r="B31" s="10">
        <v>12</v>
      </c>
      <c r="C31" s="10">
        <v>2</v>
      </c>
      <c r="D31" s="10">
        <v>2</v>
      </c>
      <c r="E31" s="10">
        <v>0</v>
      </c>
      <c r="F31" s="10">
        <v>128</v>
      </c>
      <c r="G31" s="10">
        <v>96</v>
      </c>
      <c r="H31" s="39">
        <v>13.999966329999999</v>
      </c>
      <c r="I31" s="10">
        <v>37</v>
      </c>
      <c r="J31" s="10">
        <v>3</v>
      </c>
      <c r="K31" s="10">
        <v>27</v>
      </c>
      <c r="L31" s="10">
        <v>5</v>
      </c>
      <c r="M31" s="10">
        <v>13</v>
      </c>
      <c r="N31" s="10">
        <v>55</v>
      </c>
      <c r="O31" s="10">
        <v>33</v>
      </c>
      <c r="P31" s="40" cm="1">
        <f t="array" ref="P31">O31*9/H31</f>
        <v>21.214336734765563</v>
      </c>
      <c r="Q31" s="41" cm="1">
        <f t="array" ref="Q31">(K31+L31)/H31</f>
        <v>2.2857197828703635</v>
      </c>
      <c r="R31" s="42" cm="1">
        <f t="array" ref="R31">I31/H31</f>
        <v>2.642863498943858</v>
      </c>
      <c r="S31" s="42" cm="1">
        <f t="array" ref="S31">H31/B31</f>
        <v>1.1666638608333333</v>
      </c>
      <c r="T31" s="43" cm="1">
        <f t="array" ref="T31">M31/H31</f>
        <v>0.92857366179108525</v>
      </c>
      <c r="U31" s="44" cm="1">
        <f t="array" ref="U31">O31/N31</f>
        <v>0.6</v>
      </c>
      <c r="V31" s="41" cm="1">
        <f t="array" ref="V31">(I31+K31+L31)/H31</f>
        <v>4.9285832818142215</v>
      </c>
    </row>
    <row r="32" spans="1:22" ht="17.25" customHeight="1">
      <c r="A32" s="38" t="s">
        <v>33</v>
      </c>
      <c r="B32" s="10">
        <v>35</v>
      </c>
      <c r="C32" s="10">
        <v>11</v>
      </c>
      <c r="D32" s="10">
        <v>7</v>
      </c>
      <c r="E32" s="10">
        <v>2</v>
      </c>
      <c r="F32" s="10">
        <v>475</v>
      </c>
      <c r="G32" s="10">
        <v>403</v>
      </c>
      <c r="H32" s="39">
        <v>88.333266633329998</v>
      </c>
      <c r="I32" s="10">
        <v>110</v>
      </c>
      <c r="J32" s="10">
        <v>1</v>
      </c>
      <c r="K32" s="10">
        <v>65</v>
      </c>
      <c r="L32" s="10">
        <v>14</v>
      </c>
      <c r="M32" s="10">
        <v>121</v>
      </c>
      <c r="N32" s="10">
        <v>115</v>
      </c>
      <c r="O32" s="10">
        <v>69</v>
      </c>
      <c r="P32" s="40" cm="1">
        <f t="array" ref="P32">O32*9/H32</f>
        <v>7.0301939877052346</v>
      </c>
      <c r="Q32" s="41" cm="1">
        <f t="array" ref="Q32">(K32+L32)/H32</f>
        <v>0.89434029795283987</v>
      </c>
      <c r="R32" s="42" cm="1">
        <f t="array" ref="R32">I32/H32</f>
        <v>1.2452839591748404</v>
      </c>
      <c r="S32" s="42" cm="1">
        <f t="array" ref="S32">H32/B32</f>
        <v>2.5238076180951428</v>
      </c>
      <c r="T32" s="43" cm="1">
        <f t="array" ref="T32">M32/H32</f>
        <v>1.3698123550923245</v>
      </c>
      <c r="U32" s="44" cm="1">
        <f t="array" ref="U32">O32/N32</f>
        <v>0.6</v>
      </c>
      <c r="V32" s="41" cm="1">
        <f t="array" ref="V32">(I32+K32+L32)/H32</f>
        <v>2.13962425712768</v>
      </c>
    </row>
    <row r="33" spans="1:22" ht="17.25" customHeight="1">
      <c r="A33" s="38" t="s">
        <v>36</v>
      </c>
      <c r="B33" s="10">
        <v>19</v>
      </c>
      <c r="C33" s="10">
        <v>2</v>
      </c>
      <c r="D33" s="10">
        <v>5</v>
      </c>
      <c r="E33" s="10">
        <v>0</v>
      </c>
      <c r="F33" s="10">
        <v>207</v>
      </c>
      <c r="G33" s="10">
        <v>143</v>
      </c>
      <c r="H33" s="39">
        <v>25.9999266666</v>
      </c>
      <c r="I33" s="10">
        <v>58</v>
      </c>
      <c r="J33" s="10">
        <v>2</v>
      </c>
      <c r="K33" s="10">
        <v>61</v>
      </c>
      <c r="L33" s="10">
        <v>4</v>
      </c>
      <c r="M33" s="10">
        <v>27</v>
      </c>
      <c r="N33" s="10">
        <v>87</v>
      </c>
      <c r="O33" s="10">
        <v>68</v>
      </c>
      <c r="P33" s="40" cm="1">
        <f t="array" ref="P33">O33*9/H33</f>
        <v>23.538527929241695</v>
      </c>
      <c r="Q33" s="41" cm="1">
        <f t="array" ref="Q33">(K33+L33)/H33</f>
        <v>2.5000070513083497</v>
      </c>
      <c r="R33" s="42" cm="1">
        <f t="array" ref="R33">I33/H33</f>
        <v>2.2307755227059123</v>
      </c>
      <c r="S33" s="42" cm="1">
        <f t="array" ref="S33">H33/B33</f>
        <v>1.3684171929789475</v>
      </c>
      <c r="T33" s="43" cm="1">
        <f t="array" ref="T33">M33/H33</f>
        <v>1.0384644674665453</v>
      </c>
      <c r="U33" s="44" cm="1">
        <f t="array" ref="U33">O33/N33</f>
        <v>0.7816091954022989</v>
      </c>
      <c r="V33" s="41" cm="1">
        <f t="array" ref="V33">(I33+K33+L33)/H33</f>
        <v>4.7307825740142624</v>
      </c>
    </row>
    <row r="34" spans="1:22" ht="17.25" customHeight="1">
      <c r="A34" s="38" t="s">
        <v>37</v>
      </c>
      <c r="B34" s="10">
        <v>11</v>
      </c>
      <c r="C34" s="10">
        <v>2</v>
      </c>
      <c r="D34" s="10">
        <v>3</v>
      </c>
      <c r="E34" s="10">
        <v>0</v>
      </c>
      <c r="F34" s="10">
        <v>173</v>
      </c>
      <c r="G34" s="10">
        <v>127</v>
      </c>
      <c r="H34" s="39">
        <v>23.3332993</v>
      </c>
      <c r="I34" s="10">
        <v>66</v>
      </c>
      <c r="J34" s="10">
        <v>1</v>
      </c>
      <c r="K34" s="10">
        <v>33</v>
      </c>
      <c r="L34" s="10">
        <v>9</v>
      </c>
      <c r="M34" s="10">
        <v>27</v>
      </c>
      <c r="N34" s="10">
        <v>74</v>
      </c>
      <c r="O34" s="10">
        <v>62</v>
      </c>
      <c r="P34" s="40">
        <v>0</v>
      </c>
      <c r="Q34" s="41" cm="1">
        <f t="array" ref="Q34">(K34+L34)/H34</f>
        <v>1.8000026254324009</v>
      </c>
      <c r="R34" s="42" cm="1">
        <f t="array" ref="R34">I34/H34</f>
        <v>2.8285755542509157</v>
      </c>
      <c r="S34" s="42" cm="1">
        <f t="array" ref="S34">H34/B34</f>
        <v>2.1212090272727271</v>
      </c>
      <c r="T34" s="47" cm="1">
        <f t="array" ref="T34">M34/H34</f>
        <v>1.1571445449208291</v>
      </c>
      <c r="U34" s="45" t="s">
        <v>66</v>
      </c>
      <c r="V34" s="48" cm="1">
        <f t="array" ref="V34">(I34+K34+L34)/H34</f>
        <v>4.6285781796833163</v>
      </c>
    </row>
    <row r="35" spans="1:22" ht="17.25" customHeight="1">
      <c r="A35" s="38" t="s">
        <v>42</v>
      </c>
      <c r="B35" s="10">
        <v>8</v>
      </c>
      <c r="C35" s="10">
        <v>2</v>
      </c>
      <c r="D35" s="10">
        <v>2</v>
      </c>
      <c r="E35" s="10">
        <v>1</v>
      </c>
      <c r="F35" s="10">
        <v>102</v>
      </c>
      <c r="G35" s="10">
        <v>55</v>
      </c>
      <c r="H35" s="39">
        <v>13.666633329932999</v>
      </c>
      <c r="I35" s="10">
        <v>16</v>
      </c>
      <c r="J35" s="10">
        <v>1</v>
      </c>
      <c r="K35" s="10">
        <v>45</v>
      </c>
      <c r="L35" s="10">
        <v>1</v>
      </c>
      <c r="M35" s="10">
        <v>13</v>
      </c>
      <c r="N35" s="10">
        <v>36</v>
      </c>
      <c r="O35" s="10">
        <v>21</v>
      </c>
      <c r="P35" s="40" cm="1">
        <f t="array" ref="P35">O35*9/H35</f>
        <v>13.829302026128667</v>
      </c>
      <c r="Q35" s="41" cm="1">
        <f t="array" ref="Q35">(K35+L35)/H35</f>
        <v>3.3658618687932207</v>
      </c>
      <c r="R35" s="42" cm="1">
        <f t="array" ref="R35">I35/H35</f>
        <v>1.1707345630585115</v>
      </c>
      <c r="S35" s="42" cm="1">
        <f t="array" ref="S35">H35/B35</f>
        <v>1.7083291662416249</v>
      </c>
      <c r="T35" s="43" cm="1">
        <f t="array" ref="T35">M35/H35</f>
        <v>0.95122183248504055</v>
      </c>
      <c r="U35" s="44" cm="1">
        <f t="array" ref="U35">O35/N35</f>
        <v>0.58333333333333337</v>
      </c>
      <c r="V35" s="41" cm="1">
        <f t="array" ref="V35">(I35+K35+L35)/H35</f>
        <v>4.5365964318517324</v>
      </c>
    </row>
    <row r="36" spans="1:22" ht="17.25" customHeight="1">
      <c r="A36" s="38" t="s">
        <v>43</v>
      </c>
      <c r="B36" s="10">
        <v>38</v>
      </c>
      <c r="C36" s="10">
        <v>8</v>
      </c>
      <c r="D36" s="10">
        <v>11</v>
      </c>
      <c r="E36" s="10">
        <v>3</v>
      </c>
      <c r="F36" s="10">
        <v>550</v>
      </c>
      <c r="G36" s="10">
        <v>397</v>
      </c>
      <c r="H36" s="39">
        <v>81.666632983</v>
      </c>
      <c r="I36" s="10">
        <v>133</v>
      </c>
      <c r="J36" s="10">
        <v>1</v>
      </c>
      <c r="K36" s="10">
        <v>123</v>
      </c>
      <c r="L36" s="10">
        <v>25</v>
      </c>
      <c r="M36" s="10">
        <v>131</v>
      </c>
      <c r="N36" s="10">
        <v>183</v>
      </c>
      <c r="O36" s="10">
        <v>130</v>
      </c>
      <c r="P36" s="40" cm="1">
        <f t="array" ref="P36">O36*9/H36</f>
        <v>14.326536521268743</v>
      </c>
      <c r="Q36" s="41" cm="1">
        <f t="array" ref="Q36">(K36+L36)/H36</f>
        <v>1.8122456454254479</v>
      </c>
      <c r="R36" s="42" cm="1">
        <f t="array" ref="R36">I36/H36</f>
        <v>1.6285721002809768</v>
      </c>
      <c r="S36" s="42" cm="1">
        <f t="array" ref="S36">H36/B36</f>
        <v>2.1491219206052632</v>
      </c>
      <c r="T36" s="43" cm="1">
        <f t="array" ref="T36">M36/H36</f>
        <v>1.6040822942617139</v>
      </c>
      <c r="U36" s="44" cm="1">
        <f t="array" ref="U36">O36/N36</f>
        <v>0.7103825136612022</v>
      </c>
      <c r="V36" s="41" cm="1">
        <f t="array" ref="V36">(I36+K36+L36)/H36</f>
        <v>3.4408177457064246</v>
      </c>
    </row>
    <row r="37" spans="1:22" ht="17.25" customHeight="1">
      <c r="A37" s="29" t="s">
        <v>45</v>
      </c>
      <c r="B37" s="49" cm="1">
        <f t="array" ref="B37">SUM(B29:B36)</f>
        <v>139</v>
      </c>
      <c r="C37" s="49" cm="1">
        <f t="array" ref="C37">SUM(C29:C36)</f>
        <v>28</v>
      </c>
      <c r="D37" s="49" cm="1">
        <f t="array" ref="D37">SUM(D29:D36)</f>
        <v>32</v>
      </c>
      <c r="E37" s="49" cm="1">
        <f t="array" ref="E37">SUM(E29:E36)</f>
        <v>6</v>
      </c>
      <c r="F37" s="49" cm="1">
        <f t="array" ref="F37">SUM(F29:F36)</f>
        <v>1741</v>
      </c>
      <c r="G37" s="49" cm="1">
        <f t="array" ref="G37">SUM(G29:G36)</f>
        <v>1273</v>
      </c>
      <c r="H37" s="50" cm="1">
        <f t="array" ref="H37">SUM(H29:H36)</f>
        <v>255.999385242193</v>
      </c>
      <c r="I37" s="49" cm="1">
        <f t="array" ref="I37">SUM(I29:I36)</f>
        <v>439</v>
      </c>
      <c r="J37" s="49" cm="1">
        <f t="array" ref="J37">SUM(J29:J36)</f>
        <v>9</v>
      </c>
      <c r="K37" s="49" cm="1">
        <f t="array" ref="K37">SUM(K29:K36)</f>
        <v>403</v>
      </c>
      <c r="L37" s="49" cm="1">
        <f t="array" ref="L37">SUM(L29:L36)</f>
        <v>62</v>
      </c>
      <c r="M37" s="49" cm="1">
        <f t="array" ref="M37">SUM(M29:M36)</f>
        <v>337</v>
      </c>
      <c r="N37" s="49" cm="1">
        <f t="array" ref="N37">SUM(N29:N36)</f>
        <v>606</v>
      </c>
      <c r="O37" s="49" cm="1">
        <f t="array" ref="O37">SUM(O29:O36)</f>
        <v>419</v>
      </c>
      <c r="P37" s="51" cm="1">
        <f t="array" ref="P37">O37*9/H37</f>
        <v>14.730504123798481</v>
      </c>
      <c r="Q37" s="52" cm="1">
        <f t="array" ref="Q37">(K37+L37)/H37</f>
        <v>1.816410611924236</v>
      </c>
      <c r="R37" s="53" cm="1">
        <f t="array" ref="R37">I37/H37</f>
        <v>1.7148478680316981</v>
      </c>
      <c r="S37" s="53" cm="1">
        <f t="array" ref="S37">H37/B37</f>
        <v>1.841722195987</v>
      </c>
      <c r="T37" s="54" cm="1">
        <f t="array" ref="T37">M37/H37</f>
        <v>1.3164094112225109</v>
      </c>
      <c r="U37" s="55" cm="1">
        <f t="array" ref="U37">O37/N37</f>
        <v>0.6914191419141914</v>
      </c>
      <c r="V37" s="52" cm="1">
        <f t="array" ref="V37">(I37+K37+L37)/H37</f>
        <v>3.5312584799559339</v>
      </c>
    </row>
  </sheetData>
  <phoneticPr fontId="21" type="noConversion"/>
  <pageMargins left="0.69972199999999996" right="0.69972199999999996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5"/>
  <sheetViews>
    <sheetView showGridLines="0" workbookViewId="0">
      <selection activeCell="Z28" sqref="Z28"/>
    </sheetView>
  </sheetViews>
  <sheetFormatPr defaultColWidth="9" defaultRowHeight="16.5" customHeight="1"/>
  <cols>
    <col min="1" max="17" width="8.125" style="1" customWidth="1"/>
    <col min="18" max="19" width="9" style="1" customWidth="1"/>
    <col min="20" max="16384" width="9" style="1"/>
  </cols>
  <sheetData>
    <row r="1" spans="1:18" ht="26.25" customHeight="1">
      <c r="A1" s="2" t="s">
        <v>98</v>
      </c>
      <c r="B1" s="97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17.25" customHeight="1">
      <c r="A2" s="5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 spans="1:18" ht="17.25" customHeight="1">
      <c r="A3" s="38" t="s">
        <v>2</v>
      </c>
      <c r="B3" s="8" t="s">
        <v>3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10</v>
      </c>
      <c r="J3" s="8" t="s">
        <v>11</v>
      </c>
      <c r="K3" s="8" t="s">
        <v>12</v>
      </c>
      <c r="L3" s="8" t="s">
        <v>13</v>
      </c>
      <c r="M3" s="8" t="s">
        <v>14</v>
      </c>
      <c r="N3" s="8" t="s">
        <v>15</v>
      </c>
      <c r="O3" s="8" t="s">
        <v>16</v>
      </c>
      <c r="P3" s="8" t="s">
        <v>18</v>
      </c>
      <c r="Q3" s="8" t="s">
        <v>19</v>
      </c>
      <c r="R3" s="8" t="s">
        <v>20</v>
      </c>
    </row>
    <row r="4" spans="1:18" ht="17.25" customHeight="1">
      <c r="A4" s="38" t="s">
        <v>24</v>
      </c>
      <c r="B4" s="10">
        <v>2</v>
      </c>
      <c r="C4" s="98">
        <v>0</v>
      </c>
      <c r="D4" s="10">
        <v>1</v>
      </c>
      <c r="E4" s="10">
        <v>1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0</v>
      </c>
      <c r="M4" s="10">
        <v>0</v>
      </c>
      <c r="N4" s="10">
        <v>0</v>
      </c>
      <c r="O4" s="10">
        <v>1</v>
      </c>
      <c r="P4" s="13" cm="1">
        <f t="array" ref="P4">(G4*1+H4*2+I4*3+J4*4)/E4</f>
        <v>0</v>
      </c>
      <c r="Q4" s="13">
        <v>0</v>
      </c>
      <c r="R4" s="99" cm="1">
        <f t="array" ref="R4">Q4+P4</f>
        <v>0</v>
      </c>
    </row>
    <row r="5" spans="1:18" ht="17.25" customHeight="1">
      <c r="A5" s="38" t="s">
        <v>25</v>
      </c>
      <c r="B5" s="10">
        <v>6</v>
      </c>
      <c r="C5" s="98">
        <v>0</v>
      </c>
      <c r="D5" s="10">
        <v>11</v>
      </c>
      <c r="E5" s="10">
        <v>3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2</v>
      </c>
      <c r="L5" s="10">
        <v>1</v>
      </c>
      <c r="M5" s="10">
        <v>2</v>
      </c>
      <c r="N5" s="10">
        <v>8</v>
      </c>
      <c r="O5" s="10">
        <v>3</v>
      </c>
      <c r="P5" s="13" cm="1">
        <f t="array" ref="P5">(G5*1+H5*2+I5*3+J5*4)/E5</f>
        <v>0</v>
      </c>
      <c r="Q5" s="13">
        <v>0.72699999999999998</v>
      </c>
      <c r="R5" s="99" cm="1">
        <f t="array" ref="R5">Q5+P5</f>
        <v>0.72699999999999998</v>
      </c>
    </row>
    <row r="6" spans="1:18" ht="17.25" customHeight="1">
      <c r="A6" s="38" t="s">
        <v>26</v>
      </c>
      <c r="B6" s="10">
        <v>9</v>
      </c>
      <c r="C6" s="98">
        <v>0.75</v>
      </c>
      <c r="D6" s="10">
        <v>28</v>
      </c>
      <c r="E6" s="10">
        <v>20</v>
      </c>
      <c r="F6" s="10">
        <v>15</v>
      </c>
      <c r="G6" s="10">
        <v>10</v>
      </c>
      <c r="H6" s="10">
        <v>4</v>
      </c>
      <c r="I6" s="10">
        <v>1</v>
      </c>
      <c r="J6" s="10">
        <v>0</v>
      </c>
      <c r="K6" s="10">
        <v>14</v>
      </c>
      <c r="L6" s="10">
        <v>11</v>
      </c>
      <c r="M6" s="10">
        <v>11</v>
      </c>
      <c r="N6" s="10">
        <v>8</v>
      </c>
      <c r="O6" s="10">
        <v>1</v>
      </c>
      <c r="P6" s="13" cm="1">
        <f t="array" ref="P6">(G6*1+H6*2+I6*3+J6*4)/E6</f>
        <v>1.05</v>
      </c>
      <c r="Q6" s="13">
        <v>0.82099999999999995</v>
      </c>
      <c r="R6" s="99" cm="1">
        <f t="array" ref="R6">Q6+P6</f>
        <v>1.871</v>
      </c>
    </row>
    <row r="7" spans="1:18" ht="17.25" customHeight="1">
      <c r="A7" s="38" t="s">
        <v>27</v>
      </c>
      <c r="B7" s="10">
        <v>0</v>
      </c>
      <c r="C7" s="98"/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3">
        <v>0</v>
      </c>
      <c r="Q7" s="13">
        <v>0</v>
      </c>
      <c r="R7" s="99" cm="1">
        <f t="array" ref="R7">Q7+P7</f>
        <v>0</v>
      </c>
    </row>
    <row r="8" spans="1:18" ht="17.25" customHeight="1">
      <c r="A8" s="38" t="s">
        <v>28</v>
      </c>
      <c r="B8" s="10">
        <v>9</v>
      </c>
      <c r="C8" s="98">
        <v>0.45</v>
      </c>
      <c r="D8" s="10">
        <v>22</v>
      </c>
      <c r="E8" s="10">
        <v>20</v>
      </c>
      <c r="F8" s="10">
        <v>9</v>
      </c>
      <c r="G8" s="10">
        <v>6</v>
      </c>
      <c r="H8" s="10">
        <v>3</v>
      </c>
      <c r="I8" s="10">
        <v>0</v>
      </c>
      <c r="J8" s="10">
        <v>0</v>
      </c>
      <c r="K8" s="10">
        <v>8</v>
      </c>
      <c r="L8" s="10">
        <v>9</v>
      </c>
      <c r="M8" s="10">
        <v>6</v>
      </c>
      <c r="N8" s="10">
        <v>2</v>
      </c>
      <c r="O8" s="10">
        <v>4</v>
      </c>
      <c r="P8" s="13" cm="1">
        <f t="array" ref="P8">(G8*1+H8*2+I8*3+J8*4)/E8</f>
        <v>0.6</v>
      </c>
      <c r="Q8" s="13">
        <v>0.5</v>
      </c>
      <c r="R8" s="99" cm="1">
        <f t="array" ref="R8">Q8+P8</f>
        <v>1.1000000000000001</v>
      </c>
    </row>
    <row r="9" spans="1:18" ht="17.25" customHeight="1">
      <c r="A9" s="38" t="s">
        <v>29</v>
      </c>
      <c r="B9" s="10">
        <v>5</v>
      </c>
      <c r="C9" s="98">
        <v>0.33300000000000002</v>
      </c>
      <c r="D9" s="10">
        <v>13</v>
      </c>
      <c r="E9" s="10">
        <v>12</v>
      </c>
      <c r="F9" s="10">
        <v>4</v>
      </c>
      <c r="G9" s="10">
        <v>3</v>
      </c>
      <c r="H9" s="10">
        <v>1</v>
      </c>
      <c r="I9" s="10">
        <v>0</v>
      </c>
      <c r="J9" s="10">
        <v>0</v>
      </c>
      <c r="K9" s="10">
        <v>2</v>
      </c>
      <c r="L9" s="10">
        <v>1</v>
      </c>
      <c r="M9" s="10">
        <v>2</v>
      </c>
      <c r="N9" s="10">
        <v>1</v>
      </c>
      <c r="O9" s="10">
        <v>4</v>
      </c>
      <c r="P9" s="13" cm="1">
        <f t="array" ref="P9">(G9*1+H9*2+I9*3+J9*4)/E9</f>
        <v>0.41666666666666669</v>
      </c>
      <c r="Q9" s="13">
        <v>0.38500000000000001</v>
      </c>
      <c r="R9" s="99" cm="1">
        <f t="array" ref="R9">Q9+P9</f>
        <v>0.80166666666666675</v>
      </c>
    </row>
    <row r="10" spans="1:18" ht="17.25" customHeight="1">
      <c r="A10" s="38" t="s">
        <v>30</v>
      </c>
      <c r="B10" s="10">
        <v>9</v>
      </c>
      <c r="C10" s="98">
        <v>0.35699999999999998</v>
      </c>
      <c r="D10" s="10">
        <v>31</v>
      </c>
      <c r="E10" s="10">
        <v>28</v>
      </c>
      <c r="F10" s="10">
        <v>10</v>
      </c>
      <c r="G10" s="10">
        <v>6</v>
      </c>
      <c r="H10" s="10">
        <v>3</v>
      </c>
      <c r="I10" s="10">
        <v>1</v>
      </c>
      <c r="J10" s="10">
        <v>0</v>
      </c>
      <c r="K10" s="10">
        <v>7</v>
      </c>
      <c r="L10" s="10">
        <v>8</v>
      </c>
      <c r="M10" s="10">
        <v>5</v>
      </c>
      <c r="N10" s="10">
        <v>3</v>
      </c>
      <c r="O10" s="10">
        <v>5</v>
      </c>
      <c r="P10" s="13" cm="1">
        <f t="array" ref="P10">(G10*1+H10*2+I10*3+J10*4)/E10</f>
        <v>0.5357142857142857</v>
      </c>
      <c r="Q10" s="13">
        <v>0.41899999999999998</v>
      </c>
      <c r="R10" s="99" cm="1">
        <f t="array" ref="R10">Q10+P10</f>
        <v>0.95471428571428563</v>
      </c>
    </row>
    <row r="11" spans="1:18" ht="17.25" customHeight="1">
      <c r="A11" s="38" t="s">
        <v>31</v>
      </c>
      <c r="B11" s="10">
        <v>5</v>
      </c>
      <c r="C11" s="98">
        <v>0.36399999999999999</v>
      </c>
      <c r="D11" s="10">
        <v>13</v>
      </c>
      <c r="E11" s="10">
        <v>11</v>
      </c>
      <c r="F11" s="10">
        <v>4</v>
      </c>
      <c r="G11" s="10">
        <v>4</v>
      </c>
      <c r="H11" s="10">
        <v>0</v>
      </c>
      <c r="I11" s="10">
        <v>0</v>
      </c>
      <c r="J11" s="10">
        <v>0</v>
      </c>
      <c r="K11" s="10">
        <v>4</v>
      </c>
      <c r="L11" s="10">
        <v>5</v>
      </c>
      <c r="M11" s="10">
        <v>3</v>
      </c>
      <c r="N11" s="10">
        <v>2</v>
      </c>
      <c r="O11" s="10">
        <v>4</v>
      </c>
      <c r="P11" s="13" cm="1">
        <f t="array" ref="P11">(G11*1+H11*2+I11*3+J11*4)/E11</f>
        <v>0.36363636363636365</v>
      </c>
      <c r="Q11" s="13">
        <v>0.46200000000000002</v>
      </c>
      <c r="R11" s="99" cm="1">
        <f t="array" ref="R11">Q11+P11</f>
        <v>0.82563636363636372</v>
      </c>
    </row>
    <row r="12" spans="1:18" ht="17.25" customHeight="1">
      <c r="A12" s="38" t="s">
        <v>32</v>
      </c>
      <c r="B12" s="10">
        <v>0</v>
      </c>
      <c r="C12" s="98"/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13">
        <v>0</v>
      </c>
      <c r="Q12" s="13">
        <v>0</v>
      </c>
      <c r="R12" s="99" cm="1">
        <f t="array" ref="R12">Q12+P12</f>
        <v>0</v>
      </c>
    </row>
    <row r="13" spans="1:18" ht="17.25" customHeight="1">
      <c r="A13" s="38" t="s">
        <v>33</v>
      </c>
      <c r="B13" s="10">
        <v>4</v>
      </c>
      <c r="C13" s="98">
        <v>0.25</v>
      </c>
      <c r="D13" s="10">
        <v>6</v>
      </c>
      <c r="E13" s="10">
        <v>4</v>
      </c>
      <c r="F13" s="10">
        <v>1</v>
      </c>
      <c r="G13" s="10">
        <v>0</v>
      </c>
      <c r="H13" s="10">
        <v>0</v>
      </c>
      <c r="I13" s="10">
        <v>0</v>
      </c>
      <c r="J13" s="10">
        <v>1</v>
      </c>
      <c r="K13" s="10">
        <v>2</v>
      </c>
      <c r="L13" s="10">
        <v>3</v>
      </c>
      <c r="M13" s="10">
        <v>0</v>
      </c>
      <c r="N13" s="10">
        <v>2</v>
      </c>
      <c r="O13" s="10">
        <v>1</v>
      </c>
      <c r="P13" s="13" cm="1">
        <f t="array" ref="P13">(G13*1+H13*2+I13*3+J13*4)/E13</f>
        <v>1</v>
      </c>
      <c r="Q13" s="13">
        <v>0.5</v>
      </c>
      <c r="R13" s="99" cm="1">
        <f t="array" ref="R13">Q13+P13</f>
        <v>1.5</v>
      </c>
    </row>
    <row r="14" spans="1:18" ht="17.25" customHeight="1">
      <c r="A14" s="38" t="s">
        <v>34</v>
      </c>
      <c r="B14" s="10">
        <v>7</v>
      </c>
      <c r="C14" s="98">
        <v>0.28599999999999998</v>
      </c>
      <c r="D14" s="10">
        <v>17</v>
      </c>
      <c r="E14" s="10">
        <v>14</v>
      </c>
      <c r="F14" s="10">
        <v>4</v>
      </c>
      <c r="G14" s="10">
        <v>3</v>
      </c>
      <c r="H14" s="10">
        <v>0</v>
      </c>
      <c r="I14" s="10">
        <v>1</v>
      </c>
      <c r="J14" s="10">
        <v>0</v>
      </c>
      <c r="K14" s="10">
        <v>6</v>
      </c>
      <c r="L14" s="10">
        <v>1</v>
      </c>
      <c r="M14" s="10">
        <v>3</v>
      </c>
      <c r="N14" s="10">
        <v>3</v>
      </c>
      <c r="O14" s="10">
        <v>5</v>
      </c>
      <c r="P14" s="13" cm="1">
        <f t="array" ref="P14">(G14*1+H14*2+I14*3+J14*4)/E14</f>
        <v>0.42857142857142855</v>
      </c>
      <c r="Q14" s="13">
        <v>0.41199999999999998</v>
      </c>
      <c r="R14" s="99" cm="1">
        <f t="array" ref="R14">Q14+P14</f>
        <v>0.84057142857142852</v>
      </c>
    </row>
    <row r="15" spans="1:18" ht="17.25" customHeight="1">
      <c r="A15" s="38" t="s">
        <v>35</v>
      </c>
      <c r="B15" s="10">
        <v>0</v>
      </c>
      <c r="C15" s="98"/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3">
        <v>0</v>
      </c>
      <c r="Q15" s="13">
        <v>0</v>
      </c>
      <c r="R15" s="99" cm="1">
        <f t="array" ref="R15">Q15+P15</f>
        <v>0</v>
      </c>
    </row>
    <row r="16" spans="1:18" ht="17.25" customHeight="1">
      <c r="A16" s="38" t="s">
        <v>36</v>
      </c>
      <c r="B16" s="10">
        <v>6</v>
      </c>
      <c r="C16" s="98">
        <v>0.42899999999999999</v>
      </c>
      <c r="D16" s="10">
        <v>9</v>
      </c>
      <c r="E16" s="10">
        <v>7</v>
      </c>
      <c r="F16" s="10">
        <v>3</v>
      </c>
      <c r="G16" s="10">
        <v>2</v>
      </c>
      <c r="H16" s="10">
        <v>1</v>
      </c>
      <c r="I16" s="10">
        <v>0</v>
      </c>
      <c r="J16" s="10">
        <v>0</v>
      </c>
      <c r="K16" s="10">
        <v>1</v>
      </c>
      <c r="L16" s="10">
        <v>3</v>
      </c>
      <c r="M16" s="10">
        <v>2</v>
      </c>
      <c r="N16" s="10">
        <v>2</v>
      </c>
      <c r="O16" s="10">
        <v>1</v>
      </c>
      <c r="P16" s="13" cm="1">
        <f t="array" ref="P16">(G16*1+H16*2+I16*3+J16*4)/E16</f>
        <v>0.5714285714285714</v>
      </c>
      <c r="Q16" s="13">
        <v>0.55600000000000005</v>
      </c>
      <c r="R16" s="99" cm="1">
        <f t="array" ref="R16">Q16+P16</f>
        <v>1.1274285714285714</v>
      </c>
    </row>
    <row r="17" spans="1:18" ht="17.25" customHeight="1">
      <c r="A17" s="38" t="s">
        <v>37</v>
      </c>
      <c r="B17" s="10">
        <v>0</v>
      </c>
      <c r="C17" s="98"/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3">
        <v>0</v>
      </c>
      <c r="Q17" s="13">
        <v>0</v>
      </c>
      <c r="R17" s="99" cm="1">
        <f t="array" ref="R17">Q17+P17</f>
        <v>0</v>
      </c>
    </row>
    <row r="18" spans="1:18" ht="17.25" customHeight="1">
      <c r="A18" s="38" t="s">
        <v>38</v>
      </c>
      <c r="B18" s="10">
        <v>1</v>
      </c>
      <c r="C18" s="98">
        <v>0</v>
      </c>
      <c r="D18" s="10">
        <v>1</v>
      </c>
      <c r="E18" s="10">
        <v>1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1</v>
      </c>
      <c r="P18" s="13" cm="1">
        <f t="array" ref="P18">(G18*1+H18*2+I18*3+J18*4)/E18</f>
        <v>0</v>
      </c>
      <c r="Q18" s="13">
        <v>0</v>
      </c>
      <c r="R18" s="99" cm="1">
        <f t="array" ref="R18">Q18+P18</f>
        <v>0</v>
      </c>
    </row>
    <row r="19" spans="1:18" ht="17.25" customHeight="1">
      <c r="A19" s="38" t="s">
        <v>39</v>
      </c>
      <c r="B19" s="10">
        <v>7</v>
      </c>
      <c r="C19" s="98">
        <v>0.42899999999999999</v>
      </c>
      <c r="D19" s="10">
        <v>18</v>
      </c>
      <c r="E19" s="10">
        <v>14</v>
      </c>
      <c r="F19" s="10">
        <v>6</v>
      </c>
      <c r="G19" s="10">
        <v>6</v>
      </c>
      <c r="H19" s="10">
        <v>0</v>
      </c>
      <c r="I19" s="10">
        <v>0</v>
      </c>
      <c r="J19" s="10">
        <v>0</v>
      </c>
      <c r="K19" s="10">
        <v>7</v>
      </c>
      <c r="L19" s="10">
        <v>7</v>
      </c>
      <c r="M19" s="10">
        <v>3</v>
      </c>
      <c r="N19" s="10">
        <v>4</v>
      </c>
      <c r="O19" s="10">
        <v>2</v>
      </c>
      <c r="P19" s="13" cm="1">
        <f t="array" ref="P19">(G19*1+H19*2+I19*3+J19*4)/E19</f>
        <v>0.42857142857142855</v>
      </c>
      <c r="Q19" s="13">
        <v>0.55600000000000005</v>
      </c>
      <c r="R19" s="99" cm="1">
        <f t="array" ref="R19">Q19+P19</f>
        <v>0.98457142857142865</v>
      </c>
    </row>
    <row r="20" spans="1:18" ht="17.25" customHeight="1">
      <c r="A20" s="38" t="s">
        <v>40</v>
      </c>
      <c r="B20" s="10">
        <v>8</v>
      </c>
      <c r="C20" s="98">
        <v>0.33300000000000002</v>
      </c>
      <c r="D20" s="10">
        <v>18</v>
      </c>
      <c r="E20" s="10">
        <v>15</v>
      </c>
      <c r="F20" s="10">
        <v>5</v>
      </c>
      <c r="G20" s="10">
        <v>3</v>
      </c>
      <c r="H20" s="10">
        <v>2</v>
      </c>
      <c r="I20" s="10">
        <v>0</v>
      </c>
      <c r="J20" s="10">
        <v>0</v>
      </c>
      <c r="K20" s="10">
        <v>4</v>
      </c>
      <c r="L20" s="10">
        <v>8</v>
      </c>
      <c r="M20" s="10">
        <v>6</v>
      </c>
      <c r="N20" s="10">
        <v>3</v>
      </c>
      <c r="O20" s="10">
        <v>2</v>
      </c>
      <c r="P20" s="13" cm="1">
        <f t="array" ref="P20">(G20*1+H20*2+I20*3+J20*4)/E20</f>
        <v>0.46666666666666667</v>
      </c>
      <c r="Q20" s="13">
        <v>0.44400000000000001</v>
      </c>
      <c r="R20" s="99" cm="1">
        <f t="array" ref="R20">Q20+P20</f>
        <v>0.91066666666666674</v>
      </c>
    </row>
    <row r="21" spans="1:18" ht="17.25" customHeight="1">
      <c r="A21" s="38" t="s">
        <v>41</v>
      </c>
      <c r="B21" s="10">
        <v>9</v>
      </c>
      <c r="C21" s="98">
        <v>0.56000000000000005</v>
      </c>
      <c r="D21" s="10">
        <v>27</v>
      </c>
      <c r="E21" s="10">
        <v>25</v>
      </c>
      <c r="F21" s="10">
        <v>14</v>
      </c>
      <c r="G21" s="10">
        <v>13</v>
      </c>
      <c r="H21" s="10">
        <v>1</v>
      </c>
      <c r="I21" s="10">
        <v>0</v>
      </c>
      <c r="J21" s="10">
        <v>0</v>
      </c>
      <c r="K21" s="10">
        <v>5</v>
      </c>
      <c r="L21" s="10">
        <v>9</v>
      </c>
      <c r="M21" s="10">
        <v>4</v>
      </c>
      <c r="N21" s="10">
        <v>2</v>
      </c>
      <c r="O21" s="10">
        <v>2</v>
      </c>
      <c r="P21" s="13" cm="1">
        <f t="array" ref="P21">(G21*1+H21*2+I21*3+J21*4)/E21</f>
        <v>0.6</v>
      </c>
      <c r="Q21" s="13">
        <v>0.59299999999999997</v>
      </c>
      <c r="R21" s="99" cm="1">
        <f t="array" ref="R21">Q21+P21</f>
        <v>1.1930000000000001</v>
      </c>
    </row>
    <row r="22" spans="1:18" ht="17.25" customHeight="1">
      <c r="A22" s="38" t="s">
        <v>42</v>
      </c>
      <c r="B22" s="10">
        <v>3</v>
      </c>
      <c r="C22" s="98">
        <v>0.25</v>
      </c>
      <c r="D22" s="10">
        <v>6</v>
      </c>
      <c r="E22" s="10">
        <v>4</v>
      </c>
      <c r="F22" s="10">
        <v>1</v>
      </c>
      <c r="G22" s="10">
        <v>1</v>
      </c>
      <c r="H22" s="10">
        <v>0</v>
      </c>
      <c r="I22" s="10">
        <v>0</v>
      </c>
      <c r="J22" s="10">
        <v>0</v>
      </c>
      <c r="K22" s="10">
        <v>5</v>
      </c>
      <c r="L22" s="10">
        <v>1</v>
      </c>
      <c r="M22" s="10">
        <v>4</v>
      </c>
      <c r="N22" s="10">
        <v>2</v>
      </c>
      <c r="O22" s="10">
        <v>1</v>
      </c>
      <c r="P22" s="13" cm="1">
        <f t="array" ref="P22">(G22*1+H22*2+I22*3+J22*4)/E22</f>
        <v>0.25</v>
      </c>
      <c r="Q22" s="13">
        <v>0.5</v>
      </c>
      <c r="R22" s="99" cm="1">
        <f t="array" ref="R22">Q22+P22</f>
        <v>0.75</v>
      </c>
    </row>
    <row r="23" spans="1:18" ht="17.25" customHeight="1">
      <c r="A23" s="38" t="s">
        <v>43</v>
      </c>
      <c r="B23" s="10">
        <v>9</v>
      </c>
      <c r="C23" s="98">
        <v>0.5</v>
      </c>
      <c r="D23" s="10">
        <v>24</v>
      </c>
      <c r="E23" s="10">
        <v>22</v>
      </c>
      <c r="F23" s="10">
        <v>11</v>
      </c>
      <c r="G23" s="10">
        <v>6</v>
      </c>
      <c r="H23" s="10">
        <v>4</v>
      </c>
      <c r="I23" s="10">
        <v>1</v>
      </c>
      <c r="J23" s="10">
        <v>0</v>
      </c>
      <c r="K23" s="10">
        <v>9</v>
      </c>
      <c r="L23" s="10">
        <v>6</v>
      </c>
      <c r="M23" s="10">
        <v>3</v>
      </c>
      <c r="N23" s="10">
        <v>2</v>
      </c>
      <c r="O23" s="10">
        <v>3</v>
      </c>
      <c r="P23" s="13" cm="1">
        <f t="array" ref="P23">(G23*1+H23*2+I23*3+J23*4)/E23</f>
        <v>0.77272727272727271</v>
      </c>
      <c r="Q23" s="13">
        <v>0.54200000000000004</v>
      </c>
      <c r="R23" s="99" cm="1">
        <f t="array" ref="R23">Q23+P23</f>
        <v>1.3147272727272727</v>
      </c>
    </row>
    <row r="24" spans="1:18" ht="17.25" customHeight="1">
      <c r="A24" s="38" t="s">
        <v>44</v>
      </c>
      <c r="B24" s="10">
        <v>0</v>
      </c>
      <c r="C24" s="98"/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3">
        <v>0</v>
      </c>
      <c r="Q24" s="13">
        <v>0</v>
      </c>
      <c r="R24" s="99" cm="1">
        <f t="array" ref="R24">Q24+P24</f>
        <v>0</v>
      </c>
    </row>
    <row r="25" spans="1:18" ht="17.25" customHeight="1">
      <c r="A25" s="29" t="s">
        <v>45</v>
      </c>
      <c r="B25" s="100"/>
      <c r="C25" s="101" cm="1">
        <f t="array" ref="C25">F25/E25</f>
        <v>0.43283582089552236</v>
      </c>
      <c r="D25" s="102" cm="1">
        <f t="array" ref="D25">SUM(D4:D24)</f>
        <v>245</v>
      </c>
      <c r="E25" s="102" cm="1">
        <f t="array" ref="E25">SUM(E4:E24)</f>
        <v>201</v>
      </c>
      <c r="F25" s="102" cm="1">
        <f t="array" ref="F25">SUM(F4:F24)</f>
        <v>87</v>
      </c>
      <c r="G25" s="102" cm="1">
        <f t="array" ref="G25">SUM(G4:G24)</f>
        <v>63</v>
      </c>
      <c r="H25" s="102" cm="1">
        <f t="array" ref="H25">SUM(H4:H24)</f>
        <v>19</v>
      </c>
      <c r="I25" s="102" cm="1">
        <f t="array" ref="I25">SUM(I4:I24)</f>
        <v>4</v>
      </c>
      <c r="J25" s="102" cm="1">
        <f t="array" ref="J25">SUM(J4:J24)</f>
        <v>1</v>
      </c>
      <c r="K25" s="102" cm="1">
        <f t="array" ref="K25">SUM(K4:K23)</f>
        <v>76</v>
      </c>
      <c r="L25" s="102" cm="1">
        <f t="array" ref="L25">SUM(L4:L23)</f>
        <v>73</v>
      </c>
      <c r="M25" s="102" cm="1">
        <f t="array" ref="M25">SUM(M4:M23)</f>
        <v>54</v>
      </c>
      <c r="N25" s="102" cm="1">
        <f t="array" ref="N25">SUM(N4:N23)</f>
        <v>44</v>
      </c>
      <c r="O25" s="102" cm="1">
        <f t="array" ref="O25">SUM(O4:O23)</f>
        <v>40</v>
      </c>
      <c r="P25" s="100"/>
      <c r="Q25" s="100"/>
      <c r="R25" s="100"/>
    </row>
    <row r="26" spans="1:18" ht="16.5" customHeight="1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</row>
    <row r="27" spans="1:18" ht="17.25" customHeight="1">
      <c r="A27" s="5" t="s">
        <v>46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3"/>
      <c r="R27" s="3"/>
    </row>
    <row r="28" spans="1:18" ht="17.25" customHeight="1">
      <c r="A28" s="8" t="s">
        <v>2</v>
      </c>
      <c r="B28" s="8" t="s">
        <v>3</v>
      </c>
      <c r="C28" s="8" t="s">
        <v>47</v>
      </c>
      <c r="D28" s="8" t="s">
        <v>48</v>
      </c>
      <c r="E28" s="8" t="s">
        <v>49</v>
      </c>
      <c r="F28" s="8" t="s">
        <v>50</v>
      </c>
      <c r="G28" s="8" t="s">
        <v>6</v>
      </c>
      <c r="H28" s="8" t="s">
        <v>51</v>
      </c>
      <c r="I28" s="8" t="s">
        <v>52</v>
      </c>
      <c r="J28" s="8" t="s">
        <v>53</v>
      </c>
      <c r="K28" s="8" t="s">
        <v>54</v>
      </c>
      <c r="L28" s="8" t="s">
        <v>55</v>
      </c>
      <c r="M28" s="8" t="s">
        <v>56</v>
      </c>
      <c r="N28" s="8" t="s">
        <v>57</v>
      </c>
      <c r="O28" s="8" t="s">
        <v>58</v>
      </c>
      <c r="P28" s="8" t="s">
        <v>59</v>
      </c>
      <c r="Q28" s="9"/>
      <c r="R28" s="3"/>
    </row>
    <row r="29" spans="1:18" ht="17.25" customHeight="1">
      <c r="A29" s="8" t="s">
        <v>27</v>
      </c>
      <c r="B29" s="10">
        <v>1</v>
      </c>
      <c r="C29" s="10">
        <v>0</v>
      </c>
      <c r="D29" s="10">
        <v>0</v>
      </c>
      <c r="E29" s="10">
        <v>0</v>
      </c>
      <c r="F29" s="10">
        <v>1</v>
      </c>
      <c r="G29" s="10">
        <v>0</v>
      </c>
      <c r="H29" s="10">
        <v>0</v>
      </c>
      <c r="I29" s="10">
        <v>0</v>
      </c>
      <c r="J29" s="10">
        <v>0</v>
      </c>
      <c r="K29" s="10">
        <v>1</v>
      </c>
      <c r="L29" s="10">
        <v>0</v>
      </c>
      <c r="M29" s="10">
        <v>0</v>
      </c>
      <c r="N29" s="10">
        <v>0</v>
      </c>
      <c r="O29" s="10">
        <v>0</v>
      </c>
      <c r="P29" s="40">
        <v>0</v>
      </c>
      <c r="Q29" s="9"/>
      <c r="R29" s="3"/>
    </row>
    <row r="30" spans="1:18" ht="17.25" customHeight="1">
      <c r="A30" s="8" t="s">
        <v>24</v>
      </c>
      <c r="B30" s="10">
        <v>2</v>
      </c>
      <c r="C30" s="10">
        <v>0</v>
      </c>
      <c r="D30" s="10">
        <v>0</v>
      </c>
      <c r="E30" s="10">
        <v>0</v>
      </c>
      <c r="F30" s="10">
        <v>2</v>
      </c>
      <c r="G30" s="10">
        <v>0</v>
      </c>
      <c r="H30" s="10">
        <v>0</v>
      </c>
      <c r="I30" s="10">
        <v>0</v>
      </c>
      <c r="J30" s="10">
        <v>0</v>
      </c>
      <c r="K30" s="10">
        <v>2</v>
      </c>
      <c r="L30" s="10">
        <v>0</v>
      </c>
      <c r="M30" s="10">
        <v>0</v>
      </c>
      <c r="N30" s="10">
        <v>1</v>
      </c>
      <c r="O30" s="10">
        <v>0</v>
      </c>
      <c r="P30" s="40">
        <v>0</v>
      </c>
      <c r="Q30" s="9"/>
      <c r="R30" s="3"/>
    </row>
    <row r="31" spans="1:18" ht="17.25" customHeight="1">
      <c r="A31" s="8" t="s">
        <v>33</v>
      </c>
      <c r="B31" s="10">
        <v>4</v>
      </c>
      <c r="C31" s="10">
        <v>2</v>
      </c>
      <c r="D31" s="10">
        <v>0</v>
      </c>
      <c r="E31" s="10">
        <v>0</v>
      </c>
      <c r="F31" s="10">
        <v>36</v>
      </c>
      <c r="G31" s="10">
        <v>30</v>
      </c>
      <c r="H31" s="10">
        <v>7.1</v>
      </c>
      <c r="I31" s="10">
        <v>10</v>
      </c>
      <c r="J31" s="10">
        <v>0</v>
      </c>
      <c r="K31" s="10">
        <v>6</v>
      </c>
      <c r="L31" s="10">
        <v>0</v>
      </c>
      <c r="M31" s="10">
        <v>5</v>
      </c>
      <c r="N31" s="10">
        <v>7</v>
      </c>
      <c r="O31" s="10">
        <v>3</v>
      </c>
      <c r="P31" s="40" cm="1">
        <f t="array" ref="P31">O31*9/H31</f>
        <v>3.802816901408451</v>
      </c>
      <c r="Q31" s="9"/>
      <c r="R31" s="3"/>
    </row>
    <row r="32" spans="1:18" ht="17.25" customHeight="1">
      <c r="A32" s="8" t="s">
        <v>43</v>
      </c>
      <c r="B32" s="10">
        <v>9</v>
      </c>
      <c r="C32" s="10">
        <v>2</v>
      </c>
      <c r="D32" s="10">
        <v>4</v>
      </c>
      <c r="E32" s="10">
        <v>1</v>
      </c>
      <c r="F32" s="10">
        <v>180</v>
      </c>
      <c r="G32" s="10">
        <v>126</v>
      </c>
      <c r="H32" s="10">
        <v>26</v>
      </c>
      <c r="I32" s="10">
        <v>40</v>
      </c>
      <c r="J32" s="10">
        <v>0</v>
      </c>
      <c r="K32" s="10">
        <v>46</v>
      </c>
      <c r="L32" s="10">
        <v>7</v>
      </c>
      <c r="M32" s="10">
        <v>55</v>
      </c>
      <c r="N32" s="10">
        <v>58</v>
      </c>
      <c r="O32" s="10">
        <v>25</v>
      </c>
      <c r="P32" s="40" cm="1">
        <f t="array" ref="P32">O32*9/H32</f>
        <v>8.6538461538461533</v>
      </c>
      <c r="Q32" s="9"/>
      <c r="R32" s="3"/>
    </row>
    <row r="33" spans="1:18" ht="17.25" customHeight="1">
      <c r="A33" s="8" t="s">
        <v>42</v>
      </c>
      <c r="B33" s="10">
        <v>3</v>
      </c>
      <c r="C33" s="10">
        <v>2</v>
      </c>
      <c r="D33" s="10">
        <v>0</v>
      </c>
      <c r="E33" s="10">
        <v>0</v>
      </c>
      <c r="F33" s="10">
        <v>44</v>
      </c>
      <c r="G33" s="10">
        <v>26</v>
      </c>
      <c r="H33" s="10">
        <v>7</v>
      </c>
      <c r="I33" s="10">
        <v>9</v>
      </c>
      <c r="J33" s="10">
        <v>0</v>
      </c>
      <c r="K33" s="10">
        <v>17</v>
      </c>
      <c r="L33" s="10">
        <v>0</v>
      </c>
      <c r="M33" s="10">
        <v>10</v>
      </c>
      <c r="N33" s="10">
        <v>10</v>
      </c>
      <c r="O33" s="10">
        <v>8</v>
      </c>
      <c r="P33" s="40" cm="1">
        <f t="array" ref="P33">O33*9/H33</f>
        <v>10.285714285714286</v>
      </c>
      <c r="Q33" s="9"/>
      <c r="R33" s="3"/>
    </row>
    <row r="34" spans="1:18" ht="17.25" customHeight="1">
      <c r="A34" s="8" t="s">
        <v>36</v>
      </c>
      <c r="B34" s="10">
        <v>3</v>
      </c>
      <c r="C34" s="10">
        <v>0</v>
      </c>
      <c r="D34" s="10">
        <v>0</v>
      </c>
      <c r="E34" s="10">
        <v>0</v>
      </c>
      <c r="F34" s="10">
        <v>16</v>
      </c>
      <c r="G34" s="10">
        <v>9</v>
      </c>
      <c r="H34" s="10">
        <v>2</v>
      </c>
      <c r="I34" s="10">
        <v>4</v>
      </c>
      <c r="J34" s="10">
        <v>0</v>
      </c>
      <c r="K34" s="10">
        <v>6</v>
      </c>
      <c r="L34" s="10">
        <v>0</v>
      </c>
      <c r="M34" s="10">
        <v>2</v>
      </c>
      <c r="N34" s="10">
        <v>6</v>
      </c>
      <c r="O34" s="10">
        <v>5</v>
      </c>
      <c r="P34" s="40" cm="1">
        <f t="array" ref="P34">O34*9/H34</f>
        <v>22.5</v>
      </c>
      <c r="Q34" s="9"/>
      <c r="R34" s="3"/>
    </row>
    <row r="35" spans="1:18" ht="17.25" customHeight="1">
      <c r="A35" s="29" t="s">
        <v>45</v>
      </c>
      <c r="B35" s="103"/>
      <c r="C35" s="49" cm="1">
        <f t="array" ref="C35">SUM(C29:C34)</f>
        <v>6</v>
      </c>
      <c r="D35" s="49" cm="1">
        <f t="array" ref="D35">SUM(D29:D34)</f>
        <v>4</v>
      </c>
      <c r="E35" s="49" cm="1">
        <f t="array" ref="E35">SUM(E29:E34)</f>
        <v>1</v>
      </c>
      <c r="F35" s="49" cm="1">
        <f t="array" ref="F35">SUM(F29:F34)</f>
        <v>279</v>
      </c>
      <c r="G35" s="49" cm="1">
        <f t="array" ref="G35">SUM(G29:G34)</f>
        <v>191</v>
      </c>
      <c r="H35" s="50" cm="1">
        <f t="array" ref="H35">SUM(H29:H34)</f>
        <v>42.1</v>
      </c>
      <c r="I35" s="49" cm="1">
        <f t="array" ref="I35">SUM(I29:I34)</f>
        <v>63</v>
      </c>
      <c r="J35" s="49" cm="1">
        <f t="array" ref="J35">SUM(J29:J34)</f>
        <v>0</v>
      </c>
      <c r="K35" s="49" cm="1">
        <f t="array" ref="K35">SUM(K29:K34)</f>
        <v>78</v>
      </c>
      <c r="L35" s="49" cm="1">
        <f t="array" ref="L35">SUM(L29:L34)</f>
        <v>7</v>
      </c>
      <c r="M35" s="49" cm="1">
        <f t="array" ref="M35">SUM(M29:M34)</f>
        <v>72</v>
      </c>
      <c r="N35" s="49" cm="1">
        <f t="array" ref="N35">SUM(N29:N34)</f>
        <v>82</v>
      </c>
      <c r="O35" s="49" cm="1">
        <f t="array" ref="O35">SUM(O29:O34)</f>
        <v>41</v>
      </c>
      <c r="P35" s="51" cm="1">
        <f t="array" ref="P35">O35*9/H35</f>
        <v>8.764845605700712</v>
      </c>
      <c r="Q35" s="9"/>
      <c r="R35" s="3"/>
    </row>
  </sheetData>
  <phoneticPr fontId="21" type="noConversion"/>
  <pageMargins left="0.69972199999999996" right="0.69972199999999996" top="0.75" bottom="0.75" header="0.3" footer="0.3"/>
  <pageSetup orientation="portrait"/>
  <headerFooter>
    <oddFooter>&amp;C&amp;"Helvetica Neue,Regular"&amp;12&amp;K000000&amp;P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35"/>
  <sheetViews>
    <sheetView showGridLines="0" workbookViewId="0">
      <selection activeCell="Z28" sqref="Z28"/>
    </sheetView>
  </sheetViews>
  <sheetFormatPr defaultColWidth="9" defaultRowHeight="16.5" customHeight="1"/>
  <cols>
    <col min="1" max="20" width="8.125" style="1" customWidth="1"/>
    <col min="21" max="21" width="8" style="1" customWidth="1"/>
    <col min="22" max="22" width="9" style="1" customWidth="1"/>
    <col min="23" max="16384" width="9" style="1"/>
  </cols>
  <sheetData>
    <row r="1" spans="1:21" ht="26.25" customHeight="1">
      <c r="A1" s="2" t="s">
        <v>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1" ht="17.25" customHeight="1">
      <c r="A2" s="5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3"/>
      <c r="T2" s="3"/>
      <c r="U2" s="3"/>
    </row>
    <row r="3" spans="1:21" ht="18.75" customHeight="1">
      <c r="A3" s="38" t="s">
        <v>2</v>
      </c>
      <c r="B3" s="8" t="s">
        <v>3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10</v>
      </c>
      <c r="J3" s="8" t="s">
        <v>11</v>
      </c>
      <c r="K3" s="8" t="s">
        <v>12</v>
      </c>
      <c r="L3" s="8" t="s">
        <v>13</v>
      </c>
      <c r="M3" s="8" t="s">
        <v>14</v>
      </c>
      <c r="N3" s="8" t="s">
        <v>15</v>
      </c>
      <c r="O3" s="8" t="s">
        <v>16</v>
      </c>
      <c r="P3" s="8" t="s">
        <v>18</v>
      </c>
      <c r="Q3" s="8" t="s">
        <v>19</v>
      </c>
      <c r="R3" s="8" t="s">
        <v>20</v>
      </c>
      <c r="S3" s="9"/>
      <c r="T3" s="3"/>
      <c r="U3" s="3"/>
    </row>
    <row r="4" spans="1:21" ht="16.5" customHeight="1">
      <c r="A4" s="38" t="s">
        <v>24</v>
      </c>
      <c r="B4" s="10">
        <v>1</v>
      </c>
      <c r="C4" s="62">
        <v>0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0</v>
      </c>
      <c r="M4" s="10">
        <v>0</v>
      </c>
      <c r="N4" s="10">
        <v>0</v>
      </c>
      <c r="O4" s="10">
        <v>0</v>
      </c>
      <c r="P4" s="13">
        <v>0</v>
      </c>
      <c r="Q4" s="13">
        <v>0</v>
      </c>
      <c r="R4" s="15" cm="1">
        <f t="array" ref="R4">Q4+P4</f>
        <v>0</v>
      </c>
      <c r="S4" s="9"/>
      <c r="T4" s="3"/>
      <c r="U4" s="3"/>
    </row>
    <row r="5" spans="1:21" ht="17.25" customHeight="1">
      <c r="A5" s="38" t="s">
        <v>25</v>
      </c>
      <c r="B5" s="10">
        <v>5</v>
      </c>
      <c r="C5" s="62">
        <v>0.5</v>
      </c>
      <c r="D5" s="10">
        <v>12</v>
      </c>
      <c r="E5" s="10">
        <v>8</v>
      </c>
      <c r="F5" s="10">
        <v>4</v>
      </c>
      <c r="G5" s="10">
        <v>4</v>
      </c>
      <c r="H5" s="10">
        <v>0</v>
      </c>
      <c r="I5" s="10">
        <v>0</v>
      </c>
      <c r="J5" s="10">
        <v>0</v>
      </c>
      <c r="K5" s="10">
        <v>3</v>
      </c>
      <c r="L5" s="10">
        <v>5</v>
      </c>
      <c r="M5" s="10">
        <v>1</v>
      </c>
      <c r="N5" s="10">
        <v>4</v>
      </c>
      <c r="O5" s="10">
        <v>3</v>
      </c>
      <c r="P5" s="13" cm="1">
        <f t="array" ref="P5">(G5*1+H5*2+I5*3+J5*4)/E5</f>
        <v>0.5</v>
      </c>
      <c r="Q5" s="13">
        <v>0.66700000000000004</v>
      </c>
      <c r="R5" s="15" cm="1">
        <f t="array" ref="R5">Q5+P5</f>
        <v>1.167</v>
      </c>
      <c r="S5" s="9"/>
      <c r="T5" s="3"/>
      <c r="U5" s="3"/>
    </row>
    <row r="6" spans="1:21" ht="17.25" customHeight="1">
      <c r="A6" s="38" t="s">
        <v>26</v>
      </c>
      <c r="B6" s="10">
        <v>6</v>
      </c>
      <c r="C6" s="62">
        <v>0.41699999999999998</v>
      </c>
      <c r="D6" s="10">
        <v>15</v>
      </c>
      <c r="E6" s="10">
        <v>12</v>
      </c>
      <c r="F6" s="10">
        <v>5</v>
      </c>
      <c r="G6" s="10">
        <v>3</v>
      </c>
      <c r="H6" s="10">
        <v>1</v>
      </c>
      <c r="I6" s="10">
        <v>1</v>
      </c>
      <c r="J6" s="10">
        <v>0</v>
      </c>
      <c r="K6" s="10">
        <v>8</v>
      </c>
      <c r="L6" s="10">
        <v>7</v>
      </c>
      <c r="M6" s="10">
        <v>3</v>
      </c>
      <c r="N6" s="10">
        <v>3</v>
      </c>
      <c r="O6" s="10">
        <v>2</v>
      </c>
      <c r="P6" s="13" cm="1">
        <f t="array" ref="P6">(G6*1+H6*2+I6*3+J6*4)/E6</f>
        <v>0.66666666666666663</v>
      </c>
      <c r="Q6" s="13">
        <v>0.53300000000000003</v>
      </c>
      <c r="R6" s="15" cm="1">
        <f t="array" ref="R6">Q6+P6</f>
        <v>1.1996666666666667</v>
      </c>
      <c r="S6" s="9"/>
      <c r="T6" s="3"/>
      <c r="U6" s="3"/>
    </row>
    <row r="7" spans="1:21" ht="17.25" customHeight="1">
      <c r="A7" s="38" t="s">
        <v>27</v>
      </c>
      <c r="B7" s="10">
        <v>1</v>
      </c>
      <c r="C7" s="62">
        <v>0</v>
      </c>
      <c r="D7" s="10">
        <v>4</v>
      </c>
      <c r="E7" s="10">
        <v>4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3</v>
      </c>
      <c r="M7" s="10">
        <v>0</v>
      </c>
      <c r="N7" s="10">
        <v>0</v>
      </c>
      <c r="O7" s="10">
        <v>0</v>
      </c>
      <c r="P7" s="13" cm="1">
        <f t="array" ref="P7">(G7*1+H7*2+I7*3+J7*4)/E7</f>
        <v>0</v>
      </c>
      <c r="Q7" s="13">
        <v>0</v>
      </c>
      <c r="R7" s="15" cm="1">
        <f t="array" ref="R7">Q7+P7</f>
        <v>0</v>
      </c>
      <c r="S7" s="9"/>
      <c r="T7" s="3"/>
      <c r="U7" s="3"/>
    </row>
    <row r="8" spans="1:21" ht="17.25" customHeight="1">
      <c r="A8" s="38" t="s">
        <v>28</v>
      </c>
      <c r="B8" s="10">
        <v>7</v>
      </c>
      <c r="C8" s="62">
        <v>0.45500000000000002</v>
      </c>
      <c r="D8" s="10">
        <v>17</v>
      </c>
      <c r="E8" s="10">
        <v>11</v>
      </c>
      <c r="F8" s="10">
        <v>5</v>
      </c>
      <c r="G8" s="10">
        <v>3</v>
      </c>
      <c r="H8" s="10">
        <v>1</v>
      </c>
      <c r="I8" s="10">
        <v>1</v>
      </c>
      <c r="J8" s="10">
        <v>0</v>
      </c>
      <c r="K8" s="10">
        <v>6</v>
      </c>
      <c r="L8" s="10">
        <v>4</v>
      </c>
      <c r="M8" s="10">
        <v>2</v>
      </c>
      <c r="N8" s="10">
        <v>6</v>
      </c>
      <c r="O8" s="10">
        <v>1</v>
      </c>
      <c r="P8" s="13" cm="1">
        <f t="array" ref="P8">(G8*1+H8*2+I8*3+J8*4)/E8</f>
        <v>0.72727272727272729</v>
      </c>
      <c r="Q8" s="13">
        <v>0.64700000000000002</v>
      </c>
      <c r="R8" s="15" cm="1">
        <f t="array" ref="R8">Q8+P8</f>
        <v>1.3742727272727273</v>
      </c>
      <c r="S8" s="9"/>
      <c r="T8" s="3"/>
      <c r="U8" s="3"/>
    </row>
    <row r="9" spans="1:21" ht="17.25" customHeight="1">
      <c r="A9" s="38" t="s">
        <v>29</v>
      </c>
      <c r="B9" s="10">
        <v>6</v>
      </c>
      <c r="C9" s="62">
        <v>9.0999999999999998E-2</v>
      </c>
      <c r="D9" s="10">
        <v>16</v>
      </c>
      <c r="E9" s="10">
        <v>11</v>
      </c>
      <c r="F9" s="10">
        <v>1</v>
      </c>
      <c r="G9" s="10">
        <v>1</v>
      </c>
      <c r="H9" s="10">
        <v>0</v>
      </c>
      <c r="I9" s="10">
        <v>0</v>
      </c>
      <c r="J9" s="10">
        <v>0</v>
      </c>
      <c r="K9" s="10">
        <v>2</v>
      </c>
      <c r="L9" s="10">
        <v>2</v>
      </c>
      <c r="M9" s="10">
        <v>4</v>
      </c>
      <c r="N9" s="10">
        <v>5</v>
      </c>
      <c r="O9" s="10">
        <v>9</v>
      </c>
      <c r="P9" s="13" cm="1">
        <f t="array" ref="P9">(G9*1+H9*2+I9*3+J9*4)/E9</f>
        <v>9.0909090909090912E-2</v>
      </c>
      <c r="Q9" s="13">
        <v>0.375</v>
      </c>
      <c r="R9" s="15" cm="1">
        <f t="array" ref="R9">Q9+P9</f>
        <v>0.46590909090909094</v>
      </c>
      <c r="S9" s="9"/>
      <c r="T9" s="3"/>
      <c r="U9" s="3"/>
    </row>
    <row r="10" spans="1:21" ht="17.25" customHeight="1">
      <c r="A10" s="38" t="s">
        <v>30</v>
      </c>
      <c r="B10" s="10">
        <v>6</v>
      </c>
      <c r="C10" s="62">
        <v>0.75</v>
      </c>
      <c r="D10" s="10">
        <v>18</v>
      </c>
      <c r="E10" s="10">
        <v>12</v>
      </c>
      <c r="F10" s="10">
        <v>9</v>
      </c>
      <c r="G10" s="10">
        <v>8</v>
      </c>
      <c r="H10" s="10">
        <v>1</v>
      </c>
      <c r="I10" s="10">
        <v>0</v>
      </c>
      <c r="J10" s="10">
        <v>0</v>
      </c>
      <c r="K10" s="10">
        <v>11</v>
      </c>
      <c r="L10" s="10">
        <v>8</v>
      </c>
      <c r="M10" s="10">
        <v>17</v>
      </c>
      <c r="N10" s="10">
        <v>6</v>
      </c>
      <c r="O10" s="10">
        <v>0</v>
      </c>
      <c r="P10" s="13" cm="1">
        <f t="array" ref="P10">(G10*1+H10*2+I10*3+J10*4)/E10</f>
        <v>0.83333333333333337</v>
      </c>
      <c r="Q10" s="13">
        <v>0.83299999999999996</v>
      </c>
      <c r="R10" s="15" cm="1">
        <f t="array" ref="R10">Q10+P10</f>
        <v>1.6663333333333332</v>
      </c>
      <c r="S10" s="9"/>
      <c r="T10" s="3"/>
      <c r="U10" s="3"/>
    </row>
    <row r="11" spans="1:21" ht="17.25" customHeight="1">
      <c r="A11" s="38" t="s">
        <v>31</v>
      </c>
      <c r="B11" s="10">
        <v>6</v>
      </c>
      <c r="C11" s="62">
        <v>0.23100000000000001</v>
      </c>
      <c r="D11" s="10">
        <v>14</v>
      </c>
      <c r="E11" s="10">
        <v>13</v>
      </c>
      <c r="F11" s="10">
        <v>3</v>
      </c>
      <c r="G11" s="10">
        <v>2</v>
      </c>
      <c r="H11" s="10">
        <v>1</v>
      </c>
      <c r="I11" s="10">
        <v>0</v>
      </c>
      <c r="J11" s="10">
        <v>0</v>
      </c>
      <c r="K11" s="10">
        <v>3</v>
      </c>
      <c r="L11" s="10">
        <v>4</v>
      </c>
      <c r="M11" s="10">
        <v>2</v>
      </c>
      <c r="N11" s="10">
        <v>1</v>
      </c>
      <c r="O11" s="10">
        <v>4</v>
      </c>
      <c r="P11" s="13" cm="1">
        <f t="array" ref="P11">(G11*1+H11*2+I11*3+J11*4)/E11</f>
        <v>0.30769230769230771</v>
      </c>
      <c r="Q11" s="13">
        <v>0.28599999999999998</v>
      </c>
      <c r="R11" s="15" cm="1">
        <f t="array" ref="R11">Q11+P11</f>
        <v>0.59369230769230774</v>
      </c>
      <c r="S11" s="9"/>
      <c r="T11" s="3"/>
      <c r="U11" s="3"/>
    </row>
    <row r="12" spans="1:21" ht="17.25" customHeight="1">
      <c r="A12" s="38" t="s">
        <v>32</v>
      </c>
      <c r="B12" s="10">
        <v>0</v>
      </c>
      <c r="C12" s="62">
        <v>0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13">
        <v>0</v>
      </c>
      <c r="Q12" s="13">
        <v>0</v>
      </c>
      <c r="R12" s="15" cm="1">
        <f t="array" ref="R12">Q12+P12</f>
        <v>0</v>
      </c>
      <c r="S12" s="9"/>
      <c r="T12" s="3"/>
      <c r="U12" s="3"/>
    </row>
    <row r="13" spans="1:21" ht="17.25" customHeight="1">
      <c r="A13" s="38" t="s">
        <v>33</v>
      </c>
      <c r="B13" s="10">
        <v>6</v>
      </c>
      <c r="C13" s="62">
        <v>0.46200000000000002</v>
      </c>
      <c r="D13" s="10">
        <v>15</v>
      </c>
      <c r="E13" s="10">
        <v>13</v>
      </c>
      <c r="F13" s="10">
        <v>6</v>
      </c>
      <c r="G13" s="10">
        <v>0</v>
      </c>
      <c r="H13" s="10">
        <v>5</v>
      </c>
      <c r="I13" s="10">
        <v>1</v>
      </c>
      <c r="J13" s="10">
        <v>0</v>
      </c>
      <c r="K13" s="10">
        <v>5</v>
      </c>
      <c r="L13" s="10">
        <v>9</v>
      </c>
      <c r="M13" s="10">
        <v>0</v>
      </c>
      <c r="N13" s="10">
        <v>2</v>
      </c>
      <c r="O13" s="10">
        <v>1</v>
      </c>
      <c r="P13" s="13" cm="1">
        <f t="array" ref="P13">(G13*1+H13*2+I13*3+J13*4)/E13</f>
        <v>1</v>
      </c>
      <c r="Q13" s="13">
        <v>0.53300000000000003</v>
      </c>
      <c r="R13" s="15" cm="1">
        <f t="array" ref="R13">Q13+P13</f>
        <v>1.5329999999999999</v>
      </c>
      <c r="S13" s="9"/>
      <c r="T13" s="3"/>
      <c r="U13" s="3"/>
    </row>
    <row r="14" spans="1:21" ht="17.25" customHeight="1">
      <c r="A14" s="38" t="s">
        <v>34</v>
      </c>
      <c r="B14" s="10">
        <v>4</v>
      </c>
      <c r="C14" s="62">
        <v>0</v>
      </c>
      <c r="D14" s="10">
        <v>9</v>
      </c>
      <c r="E14" s="10">
        <v>5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2</v>
      </c>
      <c r="L14" s="10">
        <v>1</v>
      </c>
      <c r="M14" s="10">
        <v>1</v>
      </c>
      <c r="N14" s="10">
        <v>4</v>
      </c>
      <c r="O14" s="10">
        <v>3</v>
      </c>
      <c r="P14" s="13" cm="1">
        <f t="array" ref="P14">(G14*1+H14*2+I14*3+J14*4)/E14</f>
        <v>0</v>
      </c>
      <c r="Q14" s="13">
        <v>0.44400000000000001</v>
      </c>
      <c r="R14" s="15" cm="1">
        <f t="array" ref="R14">Q14+P14</f>
        <v>0.44400000000000001</v>
      </c>
      <c r="S14" s="9"/>
      <c r="T14" s="3"/>
      <c r="U14" s="3"/>
    </row>
    <row r="15" spans="1:21" ht="17.25" customHeight="1">
      <c r="A15" s="38" t="s">
        <v>35</v>
      </c>
      <c r="B15" s="10">
        <v>1</v>
      </c>
      <c r="C15" s="62">
        <v>0</v>
      </c>
      <c r="D15" s="10">
        <v>4</v>
      </c>
      <c r="E15" s="10">
        <v>3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1</v>
      </c>
      <c r="L15" s="10">
        <v>0</v>
      </c>
      <c r="M15" s="10">
        <v>0</v>
      </c>
      <c r="N15" s="10">
        <v>1</v>
      </c>
      <c r="O15" s="10">
        <v>2</v>
      </c>
      <c r="P15" s="13" cm="1">
        <f t="array" ref="P15">(G15*1+H15*2+I15*3+J15*4)/E15</f>
        <v>0</v>
      </c>
      <c r="Q15" s="13">
        <v>0.25</v>
      </c>
      <c r="R15" s="15" cm="1">
        <f t="array" ref="R15">Q15+P15</f>
        <v>0.25</v>
      </c>
      <c r="S15" s="9"/>
      <c r="T15" s="3"/>
      <c r="U15" s="3"/>
    </row>
    <row r="16" spans="1:21" ht="17.25" customHeight="1">
      <c r="A16" s="38" t="s">
        <v>36</v>
      </c>
      <c r="B16" s="10">
        <v>5</v>
      </c>
      <c r="C16" s="62">
        <v>0.2</v>
      </c>
      <c r="D16" s="10">
        <v>8</v>
      </c>
      <c r="E16" s="10">
        <v>5</v>
      </c>
      <c r="F16" s="10">
        <v>1</v>
      </c>
      <c r="G16" s="10">
        <v>1</v>
      </c>
      <c r="H16" s="10">
        <v>0</v>
      </c>
      <c r="I16" s="10">
        <v>0</v>
      </c>
      <c r="J16" s="10">
        <v>0</v>
      </c>
      <c r="K16" s="10">
        <v>2</v>
      </c>
      <c r="L16" s="10">
        <v>1</v>
      </c>
      <c r="M16" s="10">
        <v>2</v>
      </c>
      <c r="N16" s="10">
        <v>3</v>
      </c>
      <c r="O16" s="10">
        <v>1</v>
      </c>
      <c r="P16" s="13" cm="1">
        <f t="array" ref="P16">(G16*1+H16*2+I16*3+J16*4)/E16</f>
        <v>0.2</v>
      </c>
      <c r="Q16" s="13">
        <v>0.5</v>
      </c>
      <c r="R16" s="15" cm="1">
        <f t="array" ref="R16">Q16+P16</f>
        <v>0.7</v>
      </c>
      <c r="S16" s="9"/>
      <c r="T16" s="3"/>
      <c r="U16" s="3"/>
    </row>
    <row r="17" spans="1:21" ht="17.25" customHeight="1">
      <c r="A17" s="38" t="s">
        <v>37</v>
      </c>
      <c r="B17" s="10">
        <v>0</v>
      </c>
      <c r="C17" s="62">
        <v>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3">
        <v>0</v>
      </c>
      <c r="Q17" s="13">
        <v>0</v>
      </c>
      <c r="R17" s="15" cm="1">
        <f t="array" ref="R17">Q17+P17</f>
        <v>0</v>
      </c>
      <c r="S17" s="9"/>
      <c r="T17" s="3"/>
      <c r="U17" s="3"/>
    </row>
    <row r="18" spans="1:21" ht="17.25" customHeight="1">
      <c r="A18" s="38" t="s">
        <v>38</v>
      </c>
      <c r="B18" s="10">
        <v>5</v>
      </c>
      <c r="C18" s="62">
        <v>0.42899999999999999</v>
      </c>
      <c r="D18" s="10">
        <v>9</v>
      </c>
      <c r="E18" s="10">
        <v>7</v>
      </c>
      <c r="F18" s="10">
        <v>3</v>
      </c>
      <c r="G18" s="10">
        <v>3</v>
      </c>
      <c r="H18" s="10">
        <v>0</v>
      </c>
      <c r="I18" s="10">
        <v>0</v>
      </c>
      <c r="J18" s="10">
        <v>0</v>
      </c>
      <c r="K18" s="10">
        <v>2</v>
      </c>
      <c r="L18" s="10">
        <v>2</v>
      </c>
      <c r="M18" s="10">
        <v>1</v>
      </c>
      <c r="N18" s="10">
        <v>2</v>
      </c>
      <c r="O18" s="10">
        <v>2</v>
      </c>
      <c r="P18" s="13" cm="1">
        <f t="array" ref="P18">(G18*1+H18*2+I18*3+J18*4)/E18</f>
        <v>0.42857142857142855</v>
      </c>
      <c r="Q18" s="13">
        <v>0.55600000000000005</v>
      </c>
      <c r="R18" s="15" cm="1">
        <f t="array" ref="R18">Q18+P18</f>
        <v>0.98457142857142865</v>
      </c>
      <c r="S18" s="9"/>
      <c r="T18" s="3"/>
      <c r="U18" s="3"/>
    </row>
    <row r="19" spans="1:21" ht="17.25" customHeight="1">
      <c r="A19" s="38" t="s">
        <v>39</v>
      </c>
      <c r="B19" s="10">
        <v>1</v>
      </c>
      <c r="C19" s="62">
        <v>0.5</v>
      </c>
      <c r="D19" s="10">
        <v>3</v>
      </c>
      <c r="E19" s="10">
        <v>2</v>
      </c>
      <c r="F19" s="10">
        <v>1</v>
      </c>
      <c r="G19" s="10">
        <v>1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1</v>
      </c>
      <c r="N19" s="10">
        <v>1</v>
      </c>
      <c r="O19" s="10">
        <v>1</v>
      </c>
      <c r="P19" s="13" cm="1">
        <f t="array" ref="P19">(G19*1+H19*2+I19*3+J19*4)/E19</f>
        <v>0.5</v>
      </c>
      <c r="Q19" s="13">
        <v>0.66700000000000004</v>
      </c>
      <c r="R19" s="15" cm="1">
        <f t="array" ref="R19">Q19+P19</f>
        <v>1.167</v>
      </c>
      <c r="S19" s="9"/>
      <c r="T19" s="3"/>
      <c r="U19" s="3"/>
    </row>
    <row r="20" spans="1:21" ht="17.25" customHeight="1">
      <c r="A20" s="38" t="s">
        <v>40</v>
      </c>
      <c r="B20" s="10">
        <v>7</v>
      </c>
      <c r="C20" s="62">
        <v>0.14299999999999999</v>
      </c>
      <c r="D20" s="10">
        <v>14</v>
      </c>
      <c r="E20" s="10">
        <v>7</v>
      </c>
      <c r="F20" s="10">
        <v>1</v>
      </c>
      <c r="G20" s="10">
        <v>1</v>
      </c>
      <c r="H20" s="10">
        <v>0</v>
      </c>
      <c r="I20" s="10">
        <v>0</v>
      </c>
      <c r="J20" s="10">
        <v>0</v>
      </c>
      <c r="K20" s="10">
        <v>4</v>
      </c>
      <c r="L20" s="10">
        <v>2</v>
      </c>
      <c r="M20" s="10">
        <v>4</v>
      </c>
      <c r="N20" s="10">
        <v>7</v>
      </c>
      <c r="O20" s="10">
        <v>5</v>
      </c>
      <c r="P20" s="13" cm="1">
        <f t="array" ref="P20">(G20*1+H20*2+I20*3+J20*4)/E20</f>
        <v>0.14285714285714285</v>
      </c>
      <c r="Q20" s="13">
        <v>0.57099999999999995</v>
      </c>
      <c r="R20" s="15" cm="1">
        <f t="array" ref="R20">Q20+P20</f>
        <v>0.71385714285714275</v>
      </c>
      <c r="S20" s="9"/>
      <c r="T20" s="3"/>
      <c r="U20" s="3"/>
    </row>
    <row r="21" spans="1:21" ht="17.25" customHeight="1">
      <c r="A21" s="38" t="s">
        <v>41</v>
      </c>
      <c r="B21" s="10">
        <v>6</v>
      </c>
      <c r="C21" s="62">
        <v>0.54500000000000004</v>
      </c>
      <c r="D21" s="10">
        <v>15</v>
      </c>
      <c r="E21" s="10">
        <v>11</v>
      </c>
      <c r="F21" s="10">
        <v>6</v>
      </c>
      <c r="G21" s="10">
        <v>4</v>
      </c>
      <c r="H21" s="10">
        <v>2</v>
      </c>
      <c r="I21" s="10">
        <v>0</v>
      </c>
      <c r="J21" s="10">
        <v>0</v>
      </c>
      <c r="K21" s="10">
        <v>7</v>
      </c>
      <c r="L21" s="10">
        <v>3</v>
      </c>
      <c r="M21" s="10">
        <v>5</v>
      </c>
      <c r="N21" s="10">
        <v>4</v>
      </c>
      <c r="O21" s="10">
        <v>2</v>
      </c>
      <c r="P21" s="13" cm="1">
        <f t="array" ref="P21">(G21*1+H21*2+I21*3+J21*4)/E21</f>
        <v>0.72727272727272729</v>
      </c>
      <c r="Q21" s="13">
        <v>0.66700000000000004</v>
      </c>
      <c r="R21" s="15" cm="1">
        <f t="array" ref="R21">Q21+P21</f>
        <v>1.3942727272727273</v>
      </c>
      <c r="S21" s="9"/>
      <c r="T21" s="3"/>
      <c r="U21" s="3"/>
    </row>
    <row r="22" spans="1:21" ht="17.25" customHeight="1">
      <c r="A22" s="38" t="s">
        <v>42</v>
      </c>
      <c r="B22" s="10">
        <v>3</v>
      </c>
      <c r="C22" s="62">
        <v>0.16700000000000001</v>
      </c>
      <c r="D22" s="10">
        <v>6</v>
      </c>
      <c r="E22" s="10">
        <v>6</v>
      </c>
      <c r="F22" s="10">
        <v>1</v>
      </c>
      <c r="G22" s="10">
        <v>1</v>
      </c>
      <c r="H22" s="10">
        <v>0</v>
      </c>
      <c r="I22" s="10">
        <v>0</v>
      </c>
      <c r="J22" s="10">
        <v>0</v>
      </c>
      <c r="K22" s="10">
        <v>1</v>
      </c>
      <c r="L22" s="10">
        <v>1</v>
      </c>
      <c r="M22" s="10">
        <v>0</v>
      </c>
      <c r="N22" s="10">
        <v>0</v>
      </c>
      <c r="O22" s="10">
        <v>3</v>
      </c>
      <c r="P22" s="13" cm="1">
        <f t="array" ref="P22">(G22*1+H22*2+I22*3+J22*4)/E22</f>
        <v>0.16666666666666666</v>
      </c>
      <c r="Q22" s="13">
        <v>0.16700000000000001</v>
      </c>
      <c r="R22" s="15" cm="1">
        <f t="array" ref="R22">Q22+P22</f>
        <v>0.33366666666666667</v>
      </c>
      <c r="S22" s="9"/>
      <c r="T22" s="3"/>
      <c r="U22" s="3"/>
    </row>
    <row r="23" spans="1:21" ht="17.25" customHeight="1">
      <c r="A23" s="38" t="s">
        <v>43</v>
      </c>
      <c r="B23" s="10">
        <v>5</v>
      </c>
      <c r="C23" s="62">
        <v>0.2</v>
      </c>
      <c r="D23" s="10">
        <v>14</v>
      </c>
      <c r="E23" s="10">
        <v>10</v>
      </c>
      <c r="F23" s="10">
        <v>2</v>
      </c>
      <c r="G23" s="10">
        <v>1</v>
      </c>
      <c r="H23" s="10">
        <v>1</v>
      </c>
      <c r="I23" s="10">
        <v>0</v>
      </c>
      <c r="J23" s="10">
        <v>0</v>
      </c>
      <c r="K23" s="10">
        <v>1</v>
      </c>
      <c r="L23" s="10">
        <v>5</v>
      </c>
      <c r="M23" s="10">
        <v>0</v>
      </c>
      <c r="N23" s="10">
        <v>4</v>
      </c>
      <c r="O23" s="10">
        <v>5</v>
      </c>
      <c r="P23" s="13" cm="1">
        <f t="array" ref="P23">(G23*1+H23*2+I23*3+J23*4)/E23</f>
        <v>0.3</v>
      </c>
      <c r="Q23" s="13">
        <v>0.42899999999999999</v>
      </c>
      <c r="R23" s="15" cm="1">
        <f t="array" ref="R23">Q23+P23</f>
        <v>0.72899999999999998</v>
      </c>
      <c r="S23" s="9"/>
      <c r="T23" s="3"/>
      <c r="U23" s="3"/>
    </row>
    <row r="24" spans="1:21" ht="17.25" customHeight="1">
      <c r="A24" s="38" t="s">
        <v>44</v>
      </c>
      <c r="B24" s="10">
        <v>0</v>
      </c>
      <c r="C24" s="62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3">
        <v>0</v>
      </c>
      <c r="Q24" s="13">
        <v>0</v>
      </c>
      <c r="R24" s="15" cm="1">
        <f t="array" ref="R24">Q24+P24</f>
        <v>0</v>
      </c>
      <c r="S24" s="9"/>
      <c r="T24" s="3"/>
      <c r="U24" s="3"/>
    </row>
    <row r="25" spans="1:21" ht="17.25" customHeight="1">
      <c r="A25" s="104" t="s">
        <v>45</v>
      </c>
      <c r="B25" s="103"/>
      <c r="C25" s="105" cm="1">
        <f t="array" ref="C25">F25/E25</f>
        <v>0.34285714285714286</v>
      </c>
      <c r="D25" s="49" cm="1">
        <f t="array" ref="D25">SUM(D4:D24)</f>
        <v>193</v>
      </c>
      <c r="E25" s="49" cm="1">
        <f t="array" ref="E25">SUM(E4:E24)</f>
        <v>140</v>
      </c>
      <c r="F25" s="49" cm="1">
        <f t="array" ref="F25">SUM(F4:F24)</f>
        <v>48</v>
      </c>
      <c r="G25" s="49" cm="1">
        <f t="array" ref="G25">SUM(G4:G24)</f>
        <v>33</v>
      </c>
      <c r="H25" s="49" cm="1">
        <f t="array" ref="H25">SUM(H4:H24)</f>
        <v>12</v>
      </c>
      <c r="I25" s="49" cm="1">
        <f t="array" ref="I25">SUM(I4:I24)</f>
        <v>3</v>
      </c>
      <c r="J25" s="49" cm="1">
        <f t="array" ref="J25">SUM(J4:J24)</f>
        <v>0</v>
      </c>
      <c r="K25" s="49" cm="1">
        <f t="array" ref="K25">SUM(K4:K24)</f>
        <v>58</v>
      </c>
      <c r="L25" s="49" cm="1">
        <f t="array" ref="L25">SUM(L4:L24)</f>
        <v>57</v>
      </c>
      <c r="M25" s="49" cm="1">
        <f t="array" ref="M25">SUM(M4:M24)</f>
        <v>43</v>
      </c>
      <c r="N25" s="49" cm="1">
        <f t="array" ref="N25">SUM(N4:N24)</f>
        <v>53</v>
      </c>
      <c r="O25" s="49" cm="1">
        <f t="array" ref="O25">SUM(O4:O24)</f>
        <v>44</v>
      </c>
      <c r="P25" s="105"/>
      <c r="Q25" s="105"/>
      <c r="R25" s="100"/>
      <c r="S25" s="9"/>
      <c r="T25" s="3"/>
      <c r="U25" s="3"/>
    </row>
    <row r="26" spans="1:21" ht="16.5" customHeight="1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"/>
      <c r="T26" s="3"/>
      <c r="U26" s="3"/>
    </row>
    <row r="27" spans="1:21" ht="17.25" customHeight="1">
      <c r="A27" s="5" t="s">
        <v>46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106"/>
      <c r="R27" s="106"/>
      <c r="S27" s="106"/>
      <c r="T27" s="106"/>
      <c r="U27" s="106"/>
    </row>
    <row r="28" spans="1:21" ht="17.25" customHeight="1">
      <c r="A28" s="38" t="s">
        <v>2</v>
      </c>
      <c r="B28" s="8" t="s">
        <v>3</v>
      </c>
      <c r="C28" s="8" t="s">
        <v>47</v>
      </c>
      <c r="D28" s="8" t="s">
        <v>48</v>
      </c>
      <c r="E28" s="8" t="s">
        <v>49</v>
      </c>
      <c r="F28" s="8" t="s">
        <v>50</v>
      </c>
      <c r="G28" s="8" t="s">
        <v>6</v>
      </c>
      <c r="H28" s="8" t="s">
        <v>51</v>
      </c>
      <c r="I28" s="8" t="s">
        <v>52</v>
      </c>
      <c r="J28" s="8" t="s">
        <v>53</v>
      </c>
      <c r="K28" s="8" t="s">
        <v>54</v>
      </c>
      <c r="L28" s="8" t="s">
        <v>55</v>
      </c>
      <c r="M28" s="8" t="s">
        <v>56</v>
      </c>
      <c r="N28" s="8" t="s">
        <v>57</v>
      </c>
      <c r="O28" s="8" t="s">
        <v>58</v>
      </c>
      <c r="P28" s="8" t="s">
        <v>59</v>
      </c>
      <c r="Q28" s="9"/>
      <c r="R28" s="3"/>
      <c r="S28" s="3"/>
      <c r="T28" s="3"/>
      <c r="U28" s="3"/>
    </row>
    <row r="29" spans="1:21" ht="17.25" customHeight="1">
      <c r="A29" s="38" t="s">
        <v>24</v>
      </c>
      <c r="B29" s="10">
        <v>4</v>
      </c>
      <c r="C29" s="10">
        <v>1</v>
      </c>
      <c r="D29" s="10">
        <v>1</v>
      </c>
      <c r="E29" s="10">
        <v>0</v>
      </c>
      <c r="F29" s="10">
        <v>38</v>
      </c>
      <c r="G29" s="10" cm="1">
        <f t="array" ref="G29">F29-K29-L29</f>
        <v>25</v>
      </c>
      <c r="H29" s="39">
        <v>4.6666600000000003</v>
      </c>
      <c r="I29" s="10">
        <v>8</v>
      </c>
      <c r="J29" s="10">
        <v>0</v>
      </c>
      <c r="K29" s="10">
        <v>11</v>
      </c>
      <c r="L29" s="10">
        <v>2</v>
      </c>
      <c r="M29" s="10">
        <v>3</v>
      </c>
      <c r="N29" s="10">
        <v>14</v>
      </c>
      <c r="O29" s="10">
        <v>10</v>
      </c>
      <c r="P29" s="40" cm="1">
        <f t="array" ref="P29">O29*9/H29</f>
        <v>19.285741836774051</v>
      </c>
      <c r="Q29" s="79"/>
      <c r="R29" s="3"/>
      <c r="S29" s="3"/>
      <c r="T29" s="3"/>
      <c r="U29" s="3"/>
    </row>
    <row r="30" spans="1:21" ht="17.25" customHeight="1">
      <c r="A30" s="38" t="s">
        <v>29</v>
      </c>
      <c r="B30" s="10">
        <v>4</v>
      </c>
      <c r="C30" s="10">
        <v>0</v>
      </c>
      <c r="D30" s="10">
        <v>1</v>
      </c>
      <c r="E30" s="10">
        <v>0</v>
      </c>
      <c r="F30" s="10">
        <v>28</v>
      </c>
      <c r="G30" s="10" cm="1">
        <f t="array" ref="G30">F30-K30-L30</f>
        <v>21</v>
      </c>
      <c r="H30" s="39">
        <v>2.3332999999999999</v>
      </c>
      <c r="I30" s="10">
        <v>6</v>
      </c>
      <c r="J30" s="10">
        <v>0</v>
      </c>
      <c r="K30" s="10">
        <v>6</v>
      </c>
      <c r="L30" s="10">
        <v>1</v>
      </c>
      <c r="M30" s="10">
        <v>4</v>
      </c>
      <c r="N30" s="10">
        <v>12</v>
      </c>
      <c r="O30" s="10">
        <v>5</v>
      </c>
      <c r="P30" s="40" cm="1">
        <f t="array" ref="P30">O30*9/H30</f>
        <v>19.285989799854285</v>
      </c>
      <c r="Q30" s="9"/>
      <c r="R30" s="3"/>
      <c r="S30" s="3"/>
      <c r="T30" s="3"/>
      <c r="U30" s="3"/>
    </row>
    <row r="31" spans="1:21" ht="17.25" customHeight="1">
      <c r="A31" s="38" t="s">
        <v>33</v>
      </c>
      <c r="B31" s="10">
        <v>5</v>
      </c>
      <c r="C31" s="10">
        <v>1</v>
      </c>
      <c r="D31" s="10">
        <v>0</v>
      </c>
      <c r="E31" s="10">
        <v>1</v>
      </c>
      <c r="F31" s="10">
        <v>41</v>
      </c>
      <c r="G31" s="10" cm="1">
        <f t="array" ref="G31">F31-K31-L31</f>
        <v>33</v>
      </c>
      <c r="H31" s="39">
        <v>7.6665999999999999</v>
      </c>
      <c r="I31" s="10">
        <v>11</v>
      </c>
      <c r="J31" s="10">
        <v>0</v>
      </c>
      <c r="K31" s="10">
        <v>5</v>
      </c>
      <c r="L31" s="10">
        <v>3</v>
      </c>
      <c r="M31" s="10">
        <v>14</v>
      </c>
      <c r="N31" s="10">
        <v>13</v>
      </c>
      <c r="O31" s="10">
        <v>9</v>
      </c>
      <c r="P31" s="40" cm="1">
        <f t="array" ref="P31">O31*9/H31</f>
        <v>10.565309263558813</v>
      </c>
      <c r="Q31" s="9"/>
      <c r="R31" s="3"/>
      <c r="S31" s="3"/>
      <c r="T31" s="3"/>
      <c r="U31" s="3"/>
    </row>
    <row r="32" spans="1:21" ht="17.25" customHeight="1">
      <c r="A32" s="38" t="s">
        <v>36</v>
      </c>
      <c r="B32" s="10">
        <v>4</v>
      </c>
      <c r="C32" s="10">
        <v>0</v>
      </c>
      <c r="D32" s="10">
        <v>1</v>
      </c>
      <c r="E32" s="10">
        <v>0</v>
      </c>
      <c r="F32" s="10">
        <v>62</v>
      </c>
      <c r="G32" s="10" cm="1">
        <f t="array" ref="G32">F32-K32-L32</f>
        <v>41</v>
      </c>
      <c r="H32" s="39">
        <v>7.6665999999999999</v>
      </c>
      <c r="I32" s="10">
        <v>18</v>
      </c>
      <c r="J32" s="10">
        <v>2</v>
      </c>
      <c r="K32" s="10">
        <v>18</v>
      </c>
      <c r="L32" s="10">
        <v>3</v>
      </c>
      <c r="M32" s="10">
        <v>12</v>
      </c>
      <c r="N32" s="10">
        <v>26</v>
      </c>
      <c r="O32" s="10">
        <v>18</v>
      </c>
      <c r="P32" s="40" cm="1">
        <f t="array" ref="P32">O32*9/H32</f>
        <v>21.130618527117626</v>
      </c>
      <c r="Q32" s="9"/>
      <c r="R32" s="3"/>
      <c r="S32" s="3"/>
      <c r="T32" s="3"/>
      <c r="U32" s="3"/>
    </row>
    <row r="33" spans="1:21" ht="17.25" customHeight="1">
      <c r="A33" s="38" t="s">
        <v>42</v>
      </c>
      <c r="B33" s="10">
        <v>2</v>
      </c>
      <c r="C33" s="10">
        <v>0</v>
      </c>
      <c r="D33" s="10">
        <v>2</v>
      </c>
      <c r="E33" s="10">
        <v>0</v>
      </c>
      <c r="F33" s="10">
        <v>39</v>
      </c>
      <c r="G33" s="10" cm="1">
        <f t="array" ref="G33">F33-K33-L33</f>
        <v>21</v>
      </c>
      <c r="H33" s="39">
        <v>4.3333000000000004</v>
      </c>
      <c r="I33" s="10">
        <v>5</v>
      </c>
      <c r="J33" s="10">
        <v>1</v>
      </c>
      <c r="K33" s="10">
        <v>18</v>
      </c>
      <c r="L33" s="10">
        <v>0</v>
      </c>
      <c r="M33" s="10">
        <v>3</v>
      </c>
      <c r="N33" s="10">
        <v>19</v>
      </c>
      <c r="O33" s="10">
        <v>12</v>
      </c>
      <c r="P33" s="40" cm="1">
        <f t="array" ref="P33">O33*9/H33</f>
        <v>24.923268640528001</v>
      </c>
      <c r="Q33" s="9"/>
      <c r="R33" s="3"/>
      <c r="S33" s="3"/>
      <c r="T33" s="3"/>
      <c r="U33" s="3"/>
    </row>
    <row r="34" spans="1:21" ht="17.25" customHeight="1">
      <c r="A34" s="38" t="s">
        <v>43</v>
      </c>
      <c r="B34" s="10">
        <v>4</v>
      </c>
      <c r="C34" s="10">
        <v>1</v>
      </c>
      <c r="D34" s="10">
        <v>0</v>
      </c>
      <c r="E34" s="10">
        <v>2</v>
      </c>
      <c r="F34" s="10">
        <v>36</v>
      </c>
      <c r="G34" s="10" cm="1">
        <f t="array" ref="G34">F34-K34-L34</f>
        <v>29</v>
      </c>
      <c r="H34" s="39">
        <v>7.3333000000000004</v>
      </c>
      <c r="I34" s="10">
        <v>8</v>
      </c>
      <c r="J34" s="10">
        <v>1</v>
      </c>
      <c r="K34" s="10">
        <v>7</v>
      </c>
      <c r="L34" s="10">
        <v>0</v>
      </c>
      <c r="M34" s="10">
        <v>8</v>
      </c>
      <c r="N34" s="10">
        <v>11</v>
      </c>
      <c r="O34" s="10">
        <v>10</v>
      </c>
      <c r="P34" s="40" cm="1">
        <f t="array" ref="P34">O34*9/H34</f>
        <v>12.272783058104809</v>
      </c>
      <c r="Q34" s="9"/>
      <c r="R34" s="3"/>
      <c r="S34" s="3"/>
      <c r="T34" s="3"/>
      <c r="U34" s="3"/>
    </row>
    <row r="35" spans="1:21" ht="17.25" customHeight="1">
      <c r="A35" s="104" t="s">
        <v>45</v>
      </c>
      <c r="B35" s="103"/>
      <c r="C35" s="49" cm="1">
        <f t="array" ref="C35">SUM(C29:C34)</f>
        <v>3</v>
      </c>
      <c r="D35" s="49" cm="1">
        <f t="array" ref="D35">SUM(D29:D34)</f>
        <v>5</v>
      </c>
      <c r="E35" s="49" cm="1">
        <f t="array" ref="E35">SUM(E29:E34)</f>
        <v>3</v>
      </c>
      <c r="F35" s="49" cm="1">
        <f t="array" ref="F35">SUM(F29:F34)</f>
        <v>244</v>
      </c>
      <c r="G35" s="49" cm="1">
        <f t="array" ref="G35">SUM(G29:G34)</f>
        <v>170</v>
      </c>
      <c r="H35" s="50" cm="1">
        <f t="array" ref="H35">SUM(H29:H34)</f>
        <v>33.999760000000002</v>
      </c>
      <c r="I35" s="49" cm="1">
        <f t="array" ref="I35">SUM(I29:I34)</f>
        <v>56</v>
      </c>
      <c r="J35" s="49" cm="1">
        <f t="array" ref="J35">SUM(J29:J34)</f>
        <v>4</v>
      </c>
      <c r="K35" s="49" cm="1">
        <f t="array" ref="K35">SUM(K29:K34)</f>
        <v>65</v>
      </c>
      <c r="L35" s="49" cm="1">
        <f t="array" ref="L35">SUM(L29:L34)</f>
        <v>9</v>
      </c>
      <c r="M35" s="49" cm="1">
        <f t="array" ref="M35">SUM(M29:M34)</f>
        <v>44</v>
      </c>
      <c r="N35" s="49" cm="1">
        <f t="array" ref="N35">SUM(N29:N34)</f>
        <v>95</v>
      </c>
      <c r="O35" s="49" cm="1">
        <f t="array" ref="O35">SUM(O29:O34)</f>
        <v>64</v>
      </c>
      <c r="P35" s="51" cm="1">
        <f t="array" ref="P35">O35*9/H35</f>
        <v>16.941296056207456</v>
      </c>
      <c r="Q35" s="9"/>
      <c r="R35" s="3"/>
      <c r="S35" s="3"/>
      <c r="T35" s="3"/>
      <c r="U35" s="3"/>
    </row>
  </sheetData>
  <phoneticPr fontId="21" type="noConversion"/>
  <pageMargins left="0.69972199999999996" right="0.69972199999999996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5"/>
  <sheetViews>
    <sheetView showGridLines="0" workbookViewId="0">
      <selection activeCell="Z28" sqref="Z28"/>
    </sheetView>
  </sheetViews>
  <sheetFormatPr defaultColWidth="9" defaultRowHeight="16.5" customHeight="1"/>
  <cols>
    <col min="1" max="20" width="8.125" style="1" customWidth="1"/>
    <col min="21" max="21" width="9" style="1" customWidth="1"/>
    <col min="22" max="16384" width="9" style="1"/>
  </cols>
  <sheetData>
    <row r="1" spans="1:20" ht="26.25" customHeight="1">
      <c r="A1" s="2" t="s">
        <v>100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</row>
    <row r="2" spans="1:20" ht="17.25" customHeight="1">
      <c r="A2" s="5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106"/>
      <c r="T2" s="106"/>
    </row>
    <row r="3" spans="1:20" ht="17.25" customHeight="1">
      <c r="A3" s="107" t="s">
        <v>101</v>
      </c>
      <c r="B3" s="107" t="s">
        <v>102</v>
      </c>
      <c r="C3" s="107" t="s">
        <v>4</v>
      </c>
      <c r="D3" s="107" t="s">
        <v>5</v>
      </c>
      <c r="E3" s="107" t="s">
        <v>6</v>
      </c>
      <c r="F3" s="107" t="s">
        <v>7</v>
      </c>
      <c r="G3" s="107" t="s">
        <v>8</v>
      </c>
      <c r="H3" s="107" t="s">
        <v>9</v>
      </c>
      <c r="I3" s="107" t="s">
        <v>10</v>
      </c>
      <c r="J3" s="107" t="s">
        <v>11</v>
      </c>
      <c r="K3" s="107" t="s">
        <v>12</v>
      </c>
      <c r="L3" s="107" t="s">
        <v>13</v>
      </c>
      <c r="M3" s="107" t="s">
        <v>14</v>
      </c>
      <c r="N3" s="107" t="s">
        <v>15</v>
      </c>
      <c r="O3" s="107" t="s">
        <v>16</v>
      </c>
      <c r="P3" s="107" t="s">
        <v>18</v>
      </c>
      <c r="Q3" s="107" t="s">
        <v>19</v>
      </c>
      <c r="R3" s="8" t="s">
        <v>20</v>
      </c>
      <c r="S3" s="9"/>
      <c r="T3" s="3"/>
    </row>
    <row r="4" spans="1:20" ht="17.25" customHeight="1">
      <c r="A4" s="107" t="s">
        <v>24</v>
      </c>
      <c r="B4" s="17">
        <v>2</v>
      </c>
      <c r="C4" s="14">
        <v>0</v>
      </c>
      <c r="D4" s="17">
        <v>0</v>
      </c>
      <c r="E4" s="17">
        <v>0</v>
      </c>
      <c r="F4" s="17">
        <v>0</v>
      </c>
      <c r="G4" s="17" cm="1">
        <f t="array" ref="G4">F4-(H4+I4+J4)</f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1</v>
      </c>
      <c r="N4" s="17">
        <v>0</v>
      </c>
      <c r="O4" s="17">
        <v>0</v>
      </c>
      <c r="P4" s="13">
        <v>0</v>
      </c>
      <c r="Q4" s="14">
        <v>0</v>
      </c>
      <c r="R4" s="15" cm="1">
        <f t="array" ref="R4">Q4+P4</f>
        <v>0</v>
      </c>
      <c r="S4" s="9"/>
      <c r="T4" s="3"/>
    </row>
    <row r="5" spans="1:20" ht="17.25" customHeight="1">
      <c r="A5" s="107" t="s">
        <v>25</v>
      </c>
      <c r="B5" s="17">
        <v>4</v>
      </c>
      <c r="C5" s="14">
        <v>0</v>
      </c>
      <c r="D5" s="17">
        <v>7</v>
      </c>
      <c r="E5" s="17">
        <v>3</v>
      </c>
      <c r="F5" s="17">
        <v>0</v>
      </c>
      <c r="G5" s="17" cm="1">
        <f t="array" ref="G5">F5-(H5+I5+J5)</f>
        <v>0</v>
      </c>
      <c r="H5" s="17">
        <v>0</v>
      </c>
      <c r="I5" s="17">
        <v>0</v>
      </c>
      <c r="J5" s="17">
        <v>0</v>
      </c>
      <c r="K5" s="17">
        <v>1</v>
      </c>
      <c r="L5" s="17">
        <v>0</v>
      </c>
      <c r="M5" s="17">
        <v>0</v>
      </c>
      <c r="N5" s="17">
        <v>4</v>
      </c>
      <c r="O5" s="17">
        <v>0</v>
      </c>
      <c r="P5" s="13" cm="1">
        <f t="array" ref="P5">(G5*1+H5*2+I5*3+J5*4)/E5</f>
        <v>0</v>
      </c>
      <c r="Q5" s="14">
        <v>0.57099999999999995</v>
      </c>
      <c r="R5" s="15" cm="1">
        <f t="array" ref="R5">Q5+P5</f>
        <v>0.57099999999999995</v>
      </c>
      <c r="S5" s="9"/>
      <c r="T5" s="3"/>
    </row>
    <row r="6" spans="1:20" ht="17.25" customHeight="1">
      <c r="A6" s="107" t="s">
        <v>26</v>
      </c>
      <c r="B6" s="17">
        <v>9</v>
      </c>
      <c r="C6" s="14">
        <v>0.47399999999999998</v>
      </c>
      <c r="D6" s="17">
        <v>24</v>
      </c>
      <c r="E6" s="17">
        <v>19</v>
      </c>
      <c r="F6" s="17">
        <v>9</v>
      </c>
      <c r="G6" s="17" cm="1">
        <f t="array" ref="G6">F6-(H6+I6+J6)</f>
        <v>7</v>
      </c>
      <c r="H6" s="17">
        <v>2</v>
      </c>
      <c r="I6" s="17">
        <v>0</v>
      </c>
      <c r="J6" s="17">
        <v>0</v>
      </c>
      <c r="K6" s="17">
        <v>9</v>
      </c>
      <c r="L6" s="17">
        <v>9</v>
      </c>
      <c r="M6" s="17">
        <v>7</v>
      </c>
      <c r="N6" s="17">
        <v>5</v>
      </c>
      <c r="O6" s="17">
        <v>2</v>
      </c>
      <c r="P6" s="13" cm="1">
        <f t="array" ref="P6">(G6*1+H6*2+I6*3+J6*4)/E6</f>
        <v>0.57894736842105265</v>
      </c>
      <c r="Q6" s="14">
        <v>0.58299999999999996</v>
      </c>
      <c r="R6" s="15" cm="1">
        <f t="array" ref="R6">Q6+P6</f>
        <v>1.1619473684210526</v>
      </c>
      <c r="S6" s="9"/>
      <c r="T6" s="3"/>
    </row>
    <row r="7" spans="1:20" ht="17.25" customHeight="1">
      <c r="A7" s="107" t="s">
        <v>27</v>
      </c>
      <c r="B7" s="17">
        <v>0</v>
      </c>
      <c r="C7" s="14">
        <v>0</v>
      </c>
      <c r="D7" s="17">
        <v>0</v>
      </c>
      <c r="E7" s="17">
        <v>0</v>
      </c>
      <c r="F7" s="17">
        <v>0</v>
      </c>
      <c r="G7" s="17" cm="1">
        <f t="array" ref="G7">F7-(H7+I7+J7)</f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3">
        <v>0</v>
      </c>
      <c r="Q7" s="14">
        <v>0</v>
      </c>
      <c r="R7" s="15" cm="1">
        <f t="array" ref="R7">Q7+P7</f>
        <v>0</v>
      </c>
      <c r="S7" s="9"/>
      <c r="T7" s="3"/>
    </row>
    <row r="8" spans="1:20" ht="17.25" customHeight="1">
      <c r="A8" s="107" t="s">
        <v>28</v>
      </c>
      <c r="B8" s="17">
        <v>9</v>
      </c>
      <c r="C8" s="14">
        <v>0.25</v>
      </c>
      <c r="D8" s="17">
        <v>26</v>
      </c>
      <c r="E8" s="17">
        <v>20</v>
      </c>
      <c r="F8" s="17">
        <v>5</v>
      </c>
      <c r="G8" s="17" cm="1">
        <f t="array" ref="G8">F8-(H8+I8+J8)</f>
        <v>3</v>
      </c>
      <c r="H8" s="17">
        <v>0</v>
      </c>
      <c r="I8" s="17">
        <v>2</v>
      </c>
      <c r="J8" s="17">
        <v>0</v>
      </c>
      <c r="K8" s="17">
        <v>7</v>
      </c>
      <c r="L8" s="17">
        <v>7</v>
      </c>
      <c r="M8" s="17">
        <v>4</v>
      </c>
      <c r="N8" s="17">
        <v>6</v>
      </c>
      <c r="O8" s="17">
        <v>5</v>
      </c>
      <c r="P8" s="13" cm="1">
        <f t="array" ref="P8">(G8*1+H8*2+I8*3+J8*4)/E8</f>
        <v>0.45</v>
      </c>
      <c r="Q8" s="14">
        <v>0.42299999999999999</v>
      </c>
      <c r="R8" s="15" cm="1">
        <f t="array" ref="R8">Q8+P8</f>
        <v>0.873</v>
      </c>
      <c r="S8" s="9"/>
      <c r="T8" s="3"/>
    </row>
    <row r="9" spans="1:20" ht="17.25" customHeight="1">
      <c r="A9" s="107" t="s">
        <v>29</v>
      </c>
      <c r="B9" s="17">
        <v>4</v>
      </c>
      <c r="C9" s="14">
        <v>0.2</v>
      </c>
      <c r="D9" s="17">
        <v>6</v>
      </c>
      <c r="E9" s="17">
        <v>5</v>
      </c>
      <c r="F9" s="17">
        <v>1</v>
      </c>
      <c r="G9" s="17" cm="1">
        <f t="array" ref="G9">F9-(H9+I9+J9)</f>
        <v>1</v>
      </c>
      <c r="H9" s="17">
        <v>0</v>
      </c>
      <c r="I9" s="17">
        <v>0</v>
      </c>
      <c r="J9" s="17">
        <v>0</v>
      </c>
      <c r="K9" s="17">
        <v>2</v>
      </c>
      <c r="L9" s="17">
        <v>0</v>
      </c>
      <c r="M9" s="17">
        <v>1</v>
      </c>
      <c r="N9" s="17">
        <v>1</v>
      </c>
      <c r="O9" s="17">
        <v>1</v>
      </c>
      <c r="P9" s="13" cm="1">
        <f t="array" ref="P9">(G9*1+H9*2+I9*3+J9*4)/E9</f>
        <v>0.2</v>
      </c>
      <c r="Q9" s="14">
        <v>0.33300000000000002</v>
      </c>
      <c r="R9" s="15" cm="1">
        <f t="array" ref="R9">Q9+P9</f>
        <v>0.53300000000000003</v>
      </c>
      <c r="S9" s="9"/>
      <c r="T9" s="3"/>
    </row>
    <row r="10" spans="1:20" ht="17.25" customHeight="1">
      <c r="A10" s="107" t="s">
        <v>30</v>
      </c>
      <c r="B10" s="17">
        <v>9</v>
      </c>
      <c r="C10" s="14">
        <v>0.54200000000000004</v>
      </c>
      <c r="D10" s="17">
        <v>31</v>
      </c>
      <c r="E10" s="17">
        <v>24</v>
      </c>
      <c r="F10" s="17">
        <v>13</v>
      </c>
      <c r="G10" s="17" cm="1">
        <f t="array" ref="G10">F10-(H10+I10+J10)</f>
        <v>9</v>
      </c>
      <c r="H10" s="17">
        <v>2</v>
      </c>
      <c r="I10" s="17">
        <v>1</v>
      </c>
      <c r="J10" s="17">
        <v>1</v>
      </c>
      <c r="K10" s="17">
        <v>16</v>
      </c>
      <c r="L10" s="17">
        <v>8</v>
      </c>
      <c r="M10" s="17">
        <v>16</v>
      </c>
      <c r="N10" s="17">
        <v>7</v>
      </c>
      <c r="O10" s="17">
        <v>2</v>
      </c>
      <c r="P10" s="13" cm="1">
        <f t="array" ref="P10">(G10*1+H10*2+I10*3+J10*4)/E10</f>
        <v>0.83333333333333337</v>
      </c>
      <c r="Q10" s="14">
        <v>0.64500000000000002</v>
      </c>
      <c r="R10" s="15" cm="1">
        <f t="array" ref="R10">Q10+P10</f>
        <v>1.4783333333333335</v>
      </c>
      <c r="S10" s="9"/>
      <c r="T10" s="3"/>
    </row>
    <row r="11" spans="1:20" ht="17.25" customHeight="1">
      <c r="A11" s="107" t="s">
        <v>31</v>
      </c>
      <c r="B11" s="17">
        <v>4</v>
      </c>
      <c r="C11" s="14">
        <v>0.33300000000000002</v>
      </c>
      <c r="D11" s="17">
        <v>7</v>
      </c>
      <c r="E11" s="17">
        <v>6</v>
      </c>
      <c r="F11" s="17">
        <v>2</v>
      </c>
      <c r="G11" s="17" cm="1">
        <f t="array" ref="G11">F11-(H11+I11+J11)</f>
        <v>2</v>
      </c>
      <c r="H11" s="17">
        <v>0</v>
      </c>
      <c r="I11" s="17">
        <v>0</v>
      </c>
      <c r="J11" s="17">
        <v>0</v>
      </c>
      <c r="K11" s="17">
        <v>3</v>
      </c>
      <c r="L11" s="17">
        <v>0</v>
      </c>
      <c r="M11" s="17">
        <v>3</v>
      </c>
      <c r="N11" s="17">
        <v>1</v>
      </c>
      <c r="O11" s="17">
        <v>0</v>
      </c>
      <c r="P11" s="13" cm="1">
        <f t="array" ref="P11">(G11*1+H11*2+I11*3+J11*4)/E11</f>
        <v>0.33333333333333331</v>
      </c>
      <c r="Q11" s="14">
        <v>0.42899999999999999</v>
      </c>
      <c r="R11" s="15" cm="1">
        <f t="array" ref="R11">Q11+P11</f>
        <v>0.76233333333333331</v>
      </c>
      <c r="S11" s="9"/>
      <c r="T11" s="3"/>
    </row>
    <row r="12" spans="1:20" ht="17.25" customHeight="1">
      <c r="A12" s="107" t="s">
        <v>32</v>
      </c>
      <c r="B12" s="17">
        <v>2</v>
      </c>
      <c r="C12" s="14">
        <v>0.33300000000000002</v>
      </c>
      <c r="D12" s="17">
        <v>3</v>
      </c>
      <c r="E12" s="17">
        <v>3</v>
      </c>
      <c r="F12" s="17">
        <v>1</v>
      </c>
      <c r="G12" s="17" cm="1">
        <f t="array" ref="G12">F12-(H12+I12+J12)</f>
        <v>1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1</v>
      </c>
      <c r="N12" s="17">
        <v>0</v>
      </c>
      <c r="O12" s="17">
        <v>0</v>
      </c>
      <c r="P12" s="13" cm="1">
        <f t="array" ref="P12">(G12*1+H12*2+I12*3+J12*4)/E12</f>
        <v>0.33333333333333331</v>
      </c>
      <c r="Q12" s="14">
        <v>0.33300000000000002</v>
      </c>
      <c r="R12" s="15" cm="1">
        <f t="array" ref="R12">Q12+P12</f>
        <v>0.66633333333333333</v>
      </c>
      <c r="S12" s="9"/>
      <c r="T12" s="3"/>
    </row>
    <row r="13" spans="1:20" ht="17.25" customHeight="1">
      <c r="A13" s="107" t="s">
        <v>33</v>
      </c>
      <c r="B13" s="17">
        <v>10</v>
      </c>
      <c r="C13" s="14">
        <v>0.435</v>
      </c>
      <c r="D13" s="17">
        <v>25</v>
      </c>
      <c r="E13" s="17">
        <v>23</v>
      </c>
      <c r="F13" s="17">
        <v>10</v>
      </c>
      <c r="G13" s="17" cm="1">
        <f t="array" ref="G13">F13-(H13+I13+J13)</f>
        <v>6</v>
      </c>
      <c r="H13" s="17">
        <v>4</v>
      </c>
      <c r="I13" s="17">
        <v>0</v>
      </c>
      <c r="J13" s="17">
        <v>0</v>
      </c>
      <c r="K13" s="17">
        <v>6</v>
      </c>
      <c r="L13" s="17">
        <v>10</v>
      </c>
      <c r="M13" s="17">
        <v>5</v>
      </c>
      <c r="N13" s="17">
        <v>1</v>
      </c>
      <c r="O13" s="17">
        <v>3</v>
      </c>
      <c r="P13" s="13" cm="1">
        <f t="array" ref="P13">(G13*1+H13*2+I13*3+J13*4)/E13</f>
        <v>0.60869565217391308</v>
      </c>
      <c r="Q13" s="14">
        <v>0.44</v>
      </c>
      <c r="R13" s="15" cm="1">
        <f t="array" ref="R13">Q13+P13</f>
        <v>1.048695652173913</v>
      </c>
      <c r="S13" s="9"/>
      <c r="T13" s="3"/>
    </row>
    <row r="14" spans="1:20" ht="17.25" customHeight="1">
      <c r="A14" s="107" t="s">
        <v>34</v>
      </c>
      <c r="B14" s="17">
        <v>3</v>
      </c>
      <c r="C14" s="14">
        <v>0</v>
      </c>
      <c r="D14" s="17">
        <v>7</v>
      </c>
      <c r="E14" s="17">
        <v>5</v>
      </c>
      <c r="F14" s="17">
        <v>0</v>
      </c>
      <c r="G14" s="17" cm="1">
        <f t="array" ref="G14">F14-(H14+I14+J14)</f>
        <v>0</v>
      </c>
      <c r="H14" s="17">
        <v>0</v>
      </c>
      <c r="I14" s="17">
        <v>0</v>
      </c>
      <c r="J14" s="17">
        <v>0</v>
      </c>
      <c r="K14" s="17">
        <v>2</v>
      </c>
      <c r="L14" s="17">
        <v>0</v>
      </c>
      <c r="M14" s="17">
        <v>1</v>
      </c>
      <c r="N14" s="17">
        <v>2</v>
      </c>
      <c r="O14" s="17">
        <v>3</v>
      </c>
      <c r="P14" s="13" cm="1">
        <f t="array" ref="P14">(G14*1+H14*2+I14*3+J14*4)/E14</f>
        <v>0</v>
      </c>
      <c r="Q14" s="14">
        <v>0.28599999999999998</v>
      </c>
      <c r="R14" s="15" cm="1">
        <f t="array" ref="R14">Q14+P14</f>
        <v>0.28599999999999998</v>
      </c>
      <c r="S14" s="9"/>
      <c r="T14" s="3"/>
    </row>
    <row r="15" spans="1:20" ht="17.25" customHeight="1">
      <c r="A15" s="107" t="s">
        <v>35</v>
      </c>
      <c r="B15" s="17">
        <v>6</v>
      </c>
      <c r="C15" s="14">
        <v>0.222</v>
      </c>
      <c r="D15" s="17">
        <v>13</v>
      </c>
      <c r="E15" s="17">
        <v>9</v>
      </c>
      <c r="F15" s="17">
        <v>2</v>
      </c>
      <c r="G15" s="17" cm="1">
        <f t="array" ref="G15">F15-(H15+I15+J15)</f>
        <v>2</v>
      </c>
      <c r="H15" s="17">
        <v>0</v>
      </c>
      <c r="I15" s="17">
        <v>0</v>
      </c>
      <c r="J15" s="17">
        <v>0</v>
      </c>
      <c r="K15" s="17">
        <v>1</v>
      </c>
      <c r="L15" s="17">
        <v>3</v>
      </c>
      <c r="M15" s="17">
        <v>1</v>
      </c>
      <c r="N15" s="17">
        <v>3</v>
      </c>
      <c r="O15" s="17">
        <v>5</v>
      </c>
      <c r="P15" s="13" cm="1">
        <f t="array" ref="P15">(G15*1+H15*2+I15*3+J15*4)/E15</f>
        <v>0.22222222222222221</v>
      </c>
      <c r="Q15" s="14">
        <v>0.41699999999999998</v>
      </c>
      <c r="R15" s="15" cm="1">
        <f t="array" ref="R15">Q15+P15</f>
        <v>0.63922222222222214</v>
      </c>
      <c r="S15" s="9"/>
      <c r="T15" s="3"/>
    </row>
    <row r="16" spans="1:20" ht="17.25" customHeight="1">
      <c r="A16" s="107" t="s">
        <v>36</v>
      </c>
      <c r="B16" s="17">
        <v>2</v>
      </c>
      <c r="C16" s="14">
        <v>0</v>
      </c>
      <c r="D16" s="17">
        <v>1</v>
      </c>
      <c r="E16" s="17">
        <v>1</v>
      </c>
      <c r="F16" s="17">
        <v>0</v>
      </c>
      <c r="G16" s="17" cm="1">
        <f t="array" ref="G16">F16-(H16+I16+J16)</f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3" cm="1">
        <f t="array" ref="P16">(G16*1+H16*2+I16*3+J16*4)/E16</f>
        <v>0</v>
      </c>
      <c r="Q16" s="14">
        <v>0</v>
      </c>
      <c r="R16" s="15" cm="1">
        <f t="array" ref="R16">Q16+P16</f>
        <v>0</v>
      </c>
      <c r="S16" s="9"/>
      <c r="T16" s="3"/>
    </row>
    <row r="17" spans="1:20" ht="17.25" customHeight="1">
      <c r="A17" s="107" t="s">
        <v>37</v>
      </c>
      <c r="B17" s="17">
        <v>2</v>
      </c>
      <c r="C17" s="14">
        <v>0</v>
      </c>
      <c r="D17" s="17">
        <v>5</v>
      </c>
      <c r="E17" s="17">
        <v>3</v>
      </c>
      <c r="F17" s="17">
        <v>0</v>
      </c>
      <c r="G17" s="17" cm="1">
        <f t="array" ref="G17">F17-(H17+I17+J17)</f>
        <v>0</v>
      </c>
      <c r="H17" s="17">
        <v>0</v>
      </c>
      <c r="I17" s="17">
        <v>0</v>
      </c>
      <c r="J17" s="17">
        <v>0</v>
      </c>
      <c r="K17" s="17">
        <v>2</v>
      </c>
      <c r="L17" s="17">
        <v>0</v>
      </c>
      <c r="M17" s="17">
        <v>2</v>
      </c>
      <c r="N17" s="17">
        <v>2</v>
      </c>
      <c r="O17" s="17">
        <v>1</v>
      </c>
      <c r="P17" s="13" cm="1">
        <f t="array" ref="P17">(G17*1+H17*2+I17*3+J17*4)/E17</f>
        <v>0</v>
      </c>
      <c r="Q17" s="14">
        <v>0.4</v>
      </c>
      <c r="R17" s="15" cm="1">
        <f t="array" ref="R17">Q17+P17</f>
        <v>0.4</v>
      </c>
      <c r="S17" s="9"/>
      <c r="T17" s="3"/>
    </row>
    <row r="18" spans="1:20" ht="17.25" customHeight="1">
      <c r="A18" s="107" t="s">
        <v>38</v>
      </c>
      <c r="B18" s="17">
        <v>7</v>
      </c>
      <c r="C18" s="14">
        <v>0.61099999999999999</v>
      </c>
      <c r="D18" s="17">
        <v>21</v>
      </c>
      <c r="E18" s="17">
        <v>18</v>
      </c>
      <c r="F18" s="17">
        <v>11</v>
      </c>
      <c r="G18" s="17" cm="1">
        <f t="array" ref="G18">F18-(H18+I18+J18)</f>
        <v>10</v>
      </c>
      <c r="H18" s="17">
        <v>0</v>
      </c>
      <c r="I18" s="17">
        <v>0</v>
      </c>
      <c r="J18" s="17">
        <v>1</v>
      </c>
      <c r="K18" s="17">
        <v>6</v>
      </c>
      <c r="L18" s="17">
        <v>6</v>
      </c>
      <c r="M18" s="17">
        <v>3</v>
      </c>
      <c r="N18" s="17">
        <v>3</v>
      </c>
      <c r="O18" s="17">
        <v>2</v>
      </c>
      <c r="P18" s="13" cm="1">
        <f t="array" ref="P18">(G18*1+H18*2+I18*3+J18*4)/E18</f>
        <v>0.77777777777777779</v>
      </c>
      <c r="Q18" s="14">
        <v>0.66700000000000004</v>
      </c>
      <c r="R18" s="15" cm="1">
        <f t="array" ref="R18">Q18+P18</f>
        <v>1.4447777777777779</v>
      </c>
      <c r="S18" s="9"/>
      <c r="T18" s="3"/>
    </row>
    <row r="19" spans="1:20" ht="17.25" customHeight="1">
      <c r="A19" s="107" t="s">
        <v>39</v>
      </c>
      <c r="B19" s="17">
        <v>6</v>
      </c>
      <c r="C19" s="14">
        <v>0.28599999999999998</v>
      </c>
      <c r="D19" s="17">
        <v>15</v>
      </c>
      <c r="E19" s="17">
        <v>14</v>
      </c>
      <c r="F19" s="17">
        <v>4</v>
      </c>
      <c r="G19" s="17" cm="1">
        <f t="array" ref="G19">F19-(H19+I19+J19)</f>
        <v>4</v>
      </c>
      <c r="H19" s="17">
        <v>0</v>
      </c>
      <c r="I19" s="17">
        <v>0</v>
      </c>
      <c r="J19" s="17">
        <v>0</v>
      </c>
      <c r="K19" s="17">
        <v>2</v>
      </c>
      <c r="L19" s="17">
        <v>3</v>
      </c>
      <c r="M19" s="17">
        <v>2</v>
      </c>
      <c r="N19" s="17">
        <v>0</v>
      </c>
      <c r="O19" s="17">
        <v>1</v>
      </c>
      <c r="P19" s="13" cm="1">
        <f t="array" ref="P19">(G19*1+H19*2+I19*3+J19*4)/E19</f>
        <v>0.2857142857142857</v>
      </c>
      <c r="Q19" s="14">
        <v>0.26700000000000002</v>
      </c>
      <c r="R19" s="15" cm="1">
        <f t="array" ref="R19">Q19+P19</f>
        <v>0.55271428571428571</v>
      </c>
      <c r="S19" s="9"/>
      <c r="T19" s="3"/>
    </row>
    <row r="20" spans="1:20" ht="17.25" customHeight="1">
      <c r="A20" s="107" t="s">
        <v>40</v>
      </c>
      <c r="B20" s="17">
        <v>5</v>
      </c>
      <c r="C20" s="14">
        <v>0.14299999999999999</v>
      </c>
      <c r="D20" s="17">
        <v>8</v>
      </c>
      <c r="E20" s="17">
        <v>7</v>
      </c>
      <c r="F20" s="17">
        <v>1</v>
      </c>
      <c r="G20" s="17" cm="1">
        <f t="array" ref="G20">F20-(H20+I20+J20)</f>
        <v>1</v>
      </c>
      <c r="H20" s="17">
        <v>0</v>
      </c>
      <c r="I20" s="17">
        <v>0</v>
      </c>
      <c r="J20" s="17">
        <v>0</v>
      </c>
      <c r="K20" s="17">
        <v>1</v>
      </c>
      <c r="L20" s="17">
        <v>4</v>
      </c>
      <c r="M20" s="17">
        <v>2</v>
      </c>
      <c r="N20" s="17">
        <v>1</v>
      </c>
      <c r="O20" s="17">
        <v>3</v>
      </c>
      <c r="P20" s="13" cm="1">
        <f t="array" ref="P20">(G20*1+H20*2+I20*3+J20*4)/E20</f>
        <v>0.14285714285714285</v>
      </c>
      <c r="Q20" s="14">
        <v>0.25</v>
      </c>
      <c r="R20" s="15" cm="1">
        <f t="array" ref="R20">Q20+P20</f>
        <v>0.39285714285714285</v>
      </c>
      <c r="S20" s="9"/>
      <c r="T20" s="3"/>
    </row>
    <row r="21" spans="1:20" ht="17.25" customHeight="1">
      <c r="A21" s="107" t="s">
        <v>41</v>
      </c>
      <c r="B21" s="17">
        <v>10</v>
      </c>
      <c r="C21" s="14">
        <v>0.30399999999999999</v>
      </c>
      <c r="D21" s="17">
        <v>25</v>
      </c>
      <c r="E21" s="17">
        <v>23</v>
      </c>
      <c r="F21" s="17">
        <v>7</v>
      </c>
      <c r="G21" s="17" cm="1">
        <f t="array" ref="G21">F21-(H21+I21+J21)</f>
        <v>5</v>
      </c>
      <c r="H21" s="17">
        <v>1</v>
      </c>
      <c r="I21" s="17">
        <v>0</v>
      </c>
      <c r="J21" s="17">
        <v>1</v>
      </c>
      <c r="K21" s="17">
        <v>9</v>
      </c>
      <c r="L21" s="17">
        <v>5</v>
      </c>
      <c r="M21" s="17">
        <v>3</v>
      </c>
      <c r="N21" s="17">
        <v>2</v>
      </c>
      <c r="O21" s="17">
        <v>3</v>
      </c>
      <c r="P21" s="13" cm="1">
        <f t="array" ref="P21">(G21*1+H21*2+I21*3+J21*4)/E21</f>
        <v>0.47826086956521741</v>
      </c>
      <c r="Q21" s="14">
        <v>0.36</v>
      </c>
      <c r="R21" s="15" cm="1">
        <f t="array" ref="R21">Q21+P21</f>
        <v>0.83826086956521739</v>
      </c>
      <c r="S21" s="9"/>
      <c r="T21" s="3"/>
    </row>
    <row r="22" spans="1:20" ht="17.25" customHeight="1">
      <c r="A22" s="107" t="s">
        <v>42</v>
      </c>
      <c r="B22" s="17">
        <v>6</v>
      </c>
      <c r="C22" s="14">
        <v>0.57099999999999995</v>
      </c>
      <c r="D22" s="17">
        <v>9</v>
      </c>
      <c r="E22" s="17">
        <v>7</v>
      </c>
      <c r="F22" s="17">
        <v>4</v>
      </c>
      <c r="G22" s="17" cm="1">
        <f t="array" ref="G22">F22-(H22+I22+J22)</f>
        <v>4</v>
      </c>
      <c r="H22" s="17">
        <v>0</v>
      </c>
      <c r="I22" s="17">
        <v>0</v>
      </c>
      <c r="J22" s="17">
        <v>0</v>
      </c>
      <c r="K22" s="17">
        <v>3</v>
      </c>
      <c r="L22" s="17">
        <v>0</v>
      </c>
      <c r="M22" s="17">
        <v>4</v>
      </c>
      <c r="N22" s="17">
        <v>2</v>
      </c>
      <c r="O22" s="17">
        <v>0</v>
      </c>
      <c r="P22" s="13" cm="1">
        <f t="array" ref="P22">(G22*1+H22*2+I22*3+J22*4)/E22</f>
        <v>0.5714285714285714</v>
      </c>
      <c r="Q22" s="14">
        <v>0.66700000000000004</v>
      </c>
      <c r="R22" s="15" cm="1">
        <f t="array" ref="R22">Q22+P22</f>
        <v>1.2384285714285714</v>
      </c>
      <c r="S22" s="9"/>
      <c r="T22" s="3"/>
    </row>
    <row r="23" spans="1:20" ht="17.25" customHeight="1">
      <c r="A23" s="107" t="s">
        <v>43</v>
      </c>
      <c r="B23" s="17">
        <v>5</v>
      </c>
      <c r="C23" s="14">
        <v>0.4</v>
      </c>
      <c r="D23" s="17">
        <v>14</v>
      </c>
      <c r="E23" s="17">
        <v>10</v>
      </c>
      <c r="F23" s="17">
        <v>4</v>
      </c>
      <c r="G23" s="17" cm="1">
        <f t="array" ref="G23">F23-(H23+I23+J23)</f>
        <v>4</v>
      </c>
      <c r="H23" s="17">
        <v>0</v>
      </c>
      <c r="I23" s="17">
        <v>0</v>
      </c>
      <c r="J23" s="17">
        <v>0</v>
      </c>
      <c r="K23" s="17">
        <v>4</v>
      </c>
      <c r="L23" s="17">
        <v>0</v>
      </c>
      <c r="M23" s="17">
        <v>4</v>
      </c>
      <c r="N23" s="17">
        <v>4</v>
      </c>
      <c r="O23" s="17">
        <v>2</v>
      </c>
      <c r="P23" s="13" cm="1">
        <f t="array" ref="P23">(G23*1+H23*2+I23*3+J23*4)/E23</f>
        <v>0.4</v>
      </c>
      <c r="Q23" s="14">
        <v>0.57099999999999995</v>
      </c>
      <c r="R23" s="15" cm="1">
        <f t="array" ref="R23">Q23+P23</f>
        <v>0.97099999999999997</v>
      </c>
      <c r="S23" s="9"/>
      <c r="T23" s="3"/>
    </row>
    <row r="24" spans="1:20" ht="17.25" customHeight="1">
      <c r="A24" s="107" t="s">
        <v>44</v>
      </c>
      <c r="B24" s="17">
        <v>5</v>
      </c>
      <c r="C24" s="14">
        <v>0</v>
      </c>
      <c r="D24" s="17">
        <v>9</v>
      </c>
      <c r="E24" s="17">
        <v>7</v>
      </c>
      <c r="F24" s="17">
        <v>0</v>
      </c>
      <c r="G24" s="17" cm="1">
        <f t="array" ref="G24">F24-(H24+I24+J24)</f>
        <v>0</v>
      </c>
      <c r="H24" s="17">
        <v>0</v>
      </c>
      <c r="I24" s="17">
        <v>0</v>
      </c>
      <c r="J24" s="17">
        <v>0</v>
      </c>
      <c r="K24" s="17">
        <v>1</v>
      </c>
      <c r="L24" s="17">
        <v>0</v>
      </c>
      <c r="M24" s="17">
        <v>0</v>
      </c>
      <c r="N24" s="17">
        <v>2</v>
      </c>
      <c r="O24" s="17">
        <v>1</v>
      </c>
      <c r="P24" s="14">
        <v>0</v>
      </c>
      <c r="Q24" s="14">
        <v>0.222</v>
      </c>
      <c r="R24" s="15" cm="1">
        <f t="array" ref="R24">Q24+P24</f>
        <v>0.222</v>
      </c>
      <c r="S24" s="9"/>
      <c r="T24" s="3"/>
    </row>
    <row r="25" spans="1:20" ht="17.25" customHeight="1">
      <c r="A25" s="29" t="s">
        <v>45</v>
      </c>
      <c r="B25" s="103"/>
      <c r="C25" s="105" cm="1">
        <f t="array" ref="C25">F25/E25</f>
        <v>0.35748792270531399</v>
      </c>
      <c r="D25" s="49" cm="1">
        <f t="array" ref="D25">SUM(D4:D24)</f>
        <v>256</v>
      </c>
      <c r="E25" s="49" cm="1">
        <f t="array" ref="E25">SUM(E4:E24)</f>
        <v>207</v>
      </c>
      <c r="F25" s="49" cm="1">
        <f t="array" ref="F25">SUM(F4:F24)</f>
        <v>74</v>
      </c>
      <c r="G25" s="49" cm="1">
        <f t="array" ref="G25">SUM(G4:G24)</f>
        <v>59</v>
      </c>
      <c r="H25" s="49" cm="1">
        <f t="array" ref="H25">SUM(H4:H24)</f>
        <v>9</v>
      </c>
      <c r="I25" s="49" cm="1">
        <f t="array" ref="I25">SUM(I4:I24)</f>
        <v>3</v>
      </c>
      <c r="J25" s="49" cm="1">
        <f t="array" ref="J25">SUM(J4:J24)</f>
        <v>3</v>
      </c>
      <c r="K25" s="49" cm="1">
        <f t="array" ref="K25">SUM(K4:K24)</f>
        <v>75</v>
      </c>
      <c r="L25" s="49" cm="1">
        <f t="array" ref="L25">SUM(L4:L24)</f>
        <v>55</v>
      </c>
      <c r="M25" s="49" cm="1">
        <f t="array" ref="M25">SUM(M4:M24)</f>
        <v>60</v>
      </c>
      <c r="N25" s="49" cm="1">
        <f t="array" ref="N25">SUM(N4:N24)</f>
        <v>46</v>
      </c>
      <c r="O25" s="49" cm="1">
        <f t="array" ref="O25">SUM(O4:O24)</f>
        <v>34</v>
      </c>
      <c r="P25" s="105"/>
      <c r="Q25" s="105"/>
      <c r="R25" s="100"/>
      <c r="S25" s="9"/>
      <c r="T25" s="3"/>
    </row>
    <row r="26" spans="1:20" ht="16.5" customHeight="1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"/>
      <c r="T26" s="3"/>
    </row>
    <row r="27" spans="1:20" ht="17.25" customHeight="1">
      <c r="A27" s="5" t="s">
        <v>46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3"/>
      <c r="R27" s="3"/>
      <c r="S27" s="3"/>
      <c r="T27" s="3"/>
    </row>
    <row r="28" spans="1:20" ht="17.25" customHeight="1">
      <c r="A28" s="107" t="s">
        <v>101</v>
      </c>
      <c r="B28" s="107" t="s">
        <v>102</v>
      </c>
      <c r="C28" s="107" t="s">
        <v>47</v>
      </c>
      <c r="D28" s="107" t="s">
        <v>48</v>
      </c>
      <c r="E28" s="107" t="s">
        <v>49</v>
      </c>
      <c r="F28" s="107" t="s">
        <v>50</v>
      </c>
      <c r="G28" s="107" t="s">
        <v>6</v>
      </c>
      <c r="H28" s="107" t="s">
        <v>51</v>
      </c>
      <c r="I28" s="107" t="s">
        <v>52</v>
      </c>
      <c r="J28" s="107" t="s">
        <v>53</v>
      </c>
      <c r="K28" s="107" t="s">
        <v>103</v>
      </c>
      <c r="L28" s="107" t="s">
        <v>104</v>
      </c>
      <c r="M28" s="107" t="s">
        <v>16</v>
      </c>
      <c r="N28" s="107" t="s">
        <v>57</v>
      </c>
      <c r="O28" s="107" t="s">
        <v>105</v>
      </c>
      <c r="P28" s="107" t="s">
        <v>59</v>
      </c>
      <c r="Q28" s="9"/>
      <c r="R28" s="3"/>
      <c r="S28" s="3"/>
      <c r="T28" s="3"/>
    </row>
    <row r="29" spans="1:20" ht="17.25" customHeight="1">
      <c r="A29" s="107" t="s">
        <v>24</v>
      </c>
      <c r="B29" s="17">
        <v>3</v>
      </c>
      <c r="C29" s="17">
        <v>0</v>
      </c>
      <c r="D29" s="17">
        <v>0</v>
      </c>
      <c r="E29" s="17">
        <v>0</v>
      </c>
      <c r="F29" s="17">
        <v>12</v>
      </c>
      <c r="G29" s="17" cm="1">
        <f t="array" ref="G29">F29-K29-L29</f>
        <v>7</v>
      </c>
      <c r="H29" s="108">
        <v>0.66666666600000002</v>
      </c>
      <c r="I29" s="17">
        <v>2</v>
      </c>
      <c r="J29" s="17">
        <v>0</v>
      </c>
      <c r="K29" s="17">
        <v>5</v>
      </c>
      <c r="L29" s="17">
        <v>0</v>
      </c>
      <c r="M29" s="17">
        <v>1</v>
      </c>
      <c r="N29" s="17">
        <v>4</v>
      </c>
      <c r="O29" s="17">
        <v>1</v>
      </c>
      <c r="P29" s="109" cm="1">
        <f t="array" ref="P29">O29*9/H29</f>
        <v>13.500000013499999</v>
      </c>
      <c r="Q29" s="9"/>
      <c r="R29" s="3"/>
      <c r="S29" s="3"/>
      <c r="T29" s="3"/>
    </row>
    <row r="30" spans="1:20" ht="17.25" customHeight="1">
      <c r="A30" s="107" t="s">
        <v>29</v>
      </c>
      <c r="B30" s="17">
        <v>5</v>
      </c>
      <c r="C30" s="17">
        <v>1</v>
      </c>
      <c r="D30" s="17">
        <v>1</v>
      </c>
      <c r="E30" s="17">
        <v>0</v>
      </c>
      <c r="F30" s="17">
        <v>85</v>
      </c>
      <c r="G30" s="17" cm="1">
        <f t="array" ref="G30">F30-K30-L30</f>
        <v>64</v>
      </c>
      <c r="H30" s="108">
        <v>10.33333333</v>
      </c>
      <c r="I30" s="17">
        <v>27</v>
      </c>
      <c r="J30" s="17">
        <v>3</v>
      </c>
      <c r="K30" s="17">
        <v>17</v>
      </c>
      <c r="L30" s="17">
        <v>4</v>
      </c>
      <c r="M30" s="17">
        <v>7</v>
      </c>
      <c r="N30" s="17">
        <v>36</v>
      </c>
      <c r="O30" s="17">
        <v>27</v>
      </c>
      <c r="P30" s="109" cm="1">
        <f t="array" ref="P30">O30*9/H30</f>
        <v>23.516129039843911</v>
      </c>
      <c r="Q30" s="9"/>
      <c r="R30" s="3"/>
      <c r="S30" s="3"/>
      <c r="T30" s="3"/>
    </row>
    <row r="31" spans="1:20" ht="17.25" customHeight="1">
      <c r="A31" s="107" t="s">
        <v>33</v>
      </c>
      <c r="B31" s="17">
        <v>6</v>
      </c>
      <c r="C31" s="17">
        <v>0</v>
      </c>
      <c r="D31" s="17">
        <v>2</v>
      </c>
      <c r="E31" s="17">
        <v>0</v>
      </c>
      <c r="F31" s="17">
        <v>54</v>
      </c>
      <c r="G31" s="17" cm="1">
        <f t="array" ref="G31">F31-K31-L31</f>
        <v>49</v>
      </c>
      <c r="H31" s="108">
        <v>9.3333333333299997</v>
      </c>
      <c r="I31" s="17">
        <v>13</v>
      </c>
      <c r="J31" s="17">
        <v>0</v>
      </c>
      <c r="K31" s="17">
        <v>5</v>
      </c>
      <c r="L31" s="17">
        <v>0</v>
      </c>
      <c r="M31" s="17">
        <v>17</v>
      </c>
      <c r="N31" s="17">
        <v>12</v>
      </c>
      <c r="O31" s="17">
        <v>4</v>
      </c>
      <c r="P31" s="109" cm="1">
        <f t="array" ref="P31">O31*9/H31</f>
        <v>3.8571428571442348</v>
      </c>
      <c r="Q31" s="9"/>
      <c r="R31" s="3"/>
      <c r="S31" s="3"/>
      <c r="T31" s="3"/>
    </row>
    <row r="32" spans="1:20" ht="17.25" customHeight="1">
      <c r="A32" s="107" t="s">
        <v>36</v>
      </c>
      <c r="B32" s="17">
        <v>3</v>
      </c>
      <c r="C32" s="17">
        <v>0</v>
      </c>
      <c r="D32" s="17">
        <v>1</v>
      </c>
      <c r="E32" s="17">
        <v>0</v>
      </c>
      <c r="F32" s="17">
        <v>33</v>
      </c>
      <c r="G32" s="17" cm="1">
        <f t="array" ref="G32">F32-K32-L32</f>
        <v>25</v>
      </c>
      <c r="H32" s="108">
        <v>4.6666666666000003</v>
      </c>
      <c r="I32" s="17">
        <v>7</v>
      </c>
      <c r="J32" s="17">
        <v>0</v>
      </c>
      <c r="K32" s="17">
        <v>8</v>
      </c>
      <c r="L32" s="17">
        <v>0</v>
      </c>
      <c r="M32" s="17">
        <v>2</v>
      </c>
      <c r="N32" s="17">
        <v>11</v>
      </c>
      <c r="O32" s="17">
        <v>5</v>
      </c>
      <c r="P32" s="109" cm="1">
        <f t="array" ref="P32">O32*9/H32</f>
        <v>9.642857142994897</v>
      </c>
      <c r="Q32" s="9"/>
      <c r="R32" s="3"/>
      <c r="S32" s="3"/>
      <c r="T32" s="3"/>
    </row>
    <row r="33" spans="1:20" ht="17.25" customHeight="1">
      <c r="A33" s="107" t="s">
        <v>42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 cm="1">
        <f t="array" ref="G33">F33-K33-L33</f>
        <v>0</v>
      </c>
      <c r="H33" s="108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>
        <v>0</v>
      </c>
      <c r="O33" s="17">
        <v>0</v>
      </c>
      <c r="P33" s="109">
        <v>0</v>
      </c>
      <c r="Q33" s="9"/>
      <c r="R33" s="3"/>
      <c r="S33" s="3"/>
      <c r="T33" s="3"/>
    </row>
    <row r="34" spans="1:20" ht="17.25" customHeight="1">
      <c r="A34" s="107" t="s">
        <v>43</v>
      </c>
      <c r="B34" s="17">
        <v>6</v>
      </c>
      <c r="C34" s="17">
        <v>2</v>
      </c>
      <c r="D34" s="17">
        <v>2</v>
      </c>
      <c r="E34" s="17">
        <v>0</v>
      </c>
      <c r="F34" s="17">
        <v>97</v>
      </c>
      <c r="G34" s="17" cm="1">
        <f t="array" ref="G34">F34-K34-L34</f>
        <v>74</v>
      </c>
      <c r="H34" s="108">
        <v>14.33333333</v>
      </c>
      <c r="I34" s="17">
        <v>27</v>
      </c>
      <c r="J34" s="17">
        <v>0</v>
      </c>
      <c r="K34" s="17">
        <v>17</v>
      </c>
      <c r="L34" s="17">
        <v>6</v>
      </c>
      <c r="M34" s="17">
        <v>16</v>
      </c>
      <c r="N34" s="17">
        <v>32</v>
      </c>
      <c r="O34" s="17">
        <v>27</v>
      </c>
      <c r="P34" s="109" cm="1">
        <f t="array" ref="P34">O34*9/H34</f>
        <v>16.953488376035693</v>
      </c>
      <c r="Q34" s="9"/>
      <c r="R34" s="3"/>
      <c r="S34" s="3"/>
      <c r="T34" s="3"/>
    </row>
    <row r="35" spans="1:20" ht="17.25" customHeight="1">
      <c r="A35" s="29" t="s">
        <v>45</v>
      </c>
      <c r="B35" s="103"/>
      <c r="C35" s="49" cm="1">
        <f t="array" ref="C35">SUM(C29:C34)</f>
        <v>3</v>
      </c>
      <c r="D35" s="49" cm="1">
        <f t="array" ref="D35">SUM(D29:D34)</f>
        <v>6</v>
      </c>
      <c r="E35" s="49" cm="1">
        <f t="array" ref="E35">SUM(E29:E34)</f>
        <v>0</v>
      </c>
      <c r="F35" s="49" cm="1">
        <f t="array" ref="F35">SUM(F29:F34)</f>
        <v>281</v>
      </c>
      <c r="G35" s="49" cm="1">
        <f t="array" ref="G35">SUM(G29:G34)</f>
        <v>219</v>
      </c>
      <c r="H35" s="50" cm="1">
        <f t="array" ref="H35">SUM(H29:H34)</f>
        <v>39.333333325929999</v>
      </c>
      <c r="I35" s="49" cm="1">
        <f t="array" ref="I35">SUM(I29:I34)</f>
        <v>76</v>
      </c>
      <c r="J35" s="49" cm="1">
        <f t="array" ref="J35">SUM(J29:J34)</f>
        <v>3</v>
      </c>
      <c r="K35" s="49" cm="1">
        <f t="array" ref="K35">SUM(K29:K34)</f>
        <v>52</v>
      </c>
      <c r="L35" s="49" cm="1">
        <f t="array" ref="L35">SUM(L29:L34)</f>
        <v>10</v>
      </c>
      <c r="M35" s="49" cm="1">
        <f t="array" ref="M35">SUM(M29:M34)</f>
        <v>43</v>
      </c>
      <c r="N35" s="49" cm="1">
        <f t="array" ref="N35">SUM(N29:N34)</f>
        <v>95</v>
      </c>
      <c r="O35" s="49" cm="1">
        <f t="array" ref="O35">SUM(O29:O34)</f>
        <v>64</v>
      </c>
      <c r="P35" s="110" cm="1">
        <f t="array" ref="P35">O35*9/H35</f>
        <v>14.644067799366482</v>
      </c>
      <c r="Q35" s="9"/>
      <c r="R35" s="3"/>
      <c r="S35" s="3"/>
      <c r="T35" s="3"/>
    </row>
  </sheetData>
  <phoneticPr fontId="21" type="noConversion"/>
  <pageMargins left="0.69972199999999996" right="0.69972199999999996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36"/>
  <sheetViews>
    <sheetView showGridLines="0" workbookViewId="0">
      <selection activeCell="Z28" sqref="Z28"/>
    </sheetView>
  </sheetViews>
  <sheetFormatPr defaultColWidth="9" defaultRowHeight="16.5" customHeight="1"/>
  <cols>
    <col min="1" max="18" width="8.125" style="1" customWidth="1"/>
    <col min="19" max="19" width="9" style="1" customWidth="1"/>
    <col min="20" max="16384" width="9" style="1"/>
  </cols>
  <sheetData>
    <row r="1" spans="1:18" ht="26.25" customHeight="1">
      <c r="A1" s="2" t="s">
        <v>106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17.25" customHeight="1">
      <c r="A2" s="5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 spans="1:18" ht="17.25" customHeight="1">
      <c r="A3" s="8" t="s">
        <v>101</v>
      </c>
      <c r="B3" s="8" t="s">
        <v>102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10</v>
      </c>
      <c r="J3" s="8" t="s">
        <v>11</v>
      </c>
      <c r="K3" s="8" t="s">
        <v>12</v>
      </c>
      <c r="L3" s="8" t="s">
        <v>13</v>
      </c>
      <c r="M3" s="8" t="s">
        <v>14</v>
      </c>
      <c r="N3" s="8" t="s">
        <v>15</v>
      </c>
      <c r="O3" s="8" t="s">
        <v>16</v>
      </c>
      <c r="P3" s="8" t="s">
        <v>18</v>
      </c>
      <c r="Q3" s="8" t="s">
        <v>19</v>
      </c>
      <c r="R3" s="8" t="s">
        <v>20</v>
      </c>
    </row>
    <row r="4" spans="1:18" ht="17.25" customHeight="1">
      <c r="A4" s="8" t="s">
        <v>24</v>
      </c>
      <c r="B4" s="10">
        <v>1</v>
      </c>
      <c r="C4" s="13">
        <v>0</v>
      </c>
      <c r="D4" s="10">
        <v>0</v>
      </c>
      <c r="E4" s="10">
        <v>0</v>
      </c>
      <c r="F4" s="10">
        <v>0</v>
      </c>
      <c r="G4" s="10" cm="1">
        <f t="array" ref="G4">F4-(H4+I4+J4)</f>
        <v>0</v>
      </c>
      <c r="H4" s="10">
        <v>0</v>
      </c>
      <c r="I4" s="10">
        <v>0</v>
      </c>
      <c r="J4" s="10">
        <v>0</v>
      </c>
      <c r="K4" s="10">
        <v>0</v>
      </c>
      <c r="L4" s="10">
        <v>0</v>
      </c>
      <c r="M4" s="10">
        <v>0</v>
      </c>
      <c r="N4" s="10">
        <v>0</v>
      </c>
      <c r="O4" s="10">
        <v>0</v>
      </c>
      <c r="P4" s="13">
        <v>0</v>
      </c>
      <c r="Q4" s="13">
        <v>0</v>
      </c>
      <c r="R4" s="15" cm="1">
        <f t="array" ref="R4">Q4+P4</f>
        <v>0</v>
      </c>
    </row>
    <row r="5" spans="1:18" ht="17.25" customHeight="1">
      <c r="A5" s="8" t="s">
        <v>25</v>
      </c>
      <c r="B5" s="10">
        <v>4</v>
      </c>
      <c r="C5" s="13" cm="1">
        <f t="array" ref="C5">F5/E5</f>
        <v>0</v>
      </c>
      <c r="D5" s="10">
        <v>4</v>
      </c>
      <c r="E5" s="10">
        <v>3</v>
      </c>
      <c r="F5" s="10">
        <v>0</v>
      </c>
      <c r="G5" s="10" cm="1">
        <f t="array" ref="G5">F5-(H5+I5+J5)</f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1</v>
      </c>
      <c r="P5" s="13" cm="1">
        <f t="array" ref="P5">(G5*1+H5*2+I5*3+J5*4)/E5</f>
        <v>0</v>
      </c>
      <c r="Q5" s="13">
        <v>0</v>
      </c>
      <c r="R5" s="15" cm="1">
        <f t="array" ref="R5">Q5+P5</f>
        <v>0</v>
      </c>
    </row>
    <row r="6" spans="1:18" ht="17.25" customHeight="1">
      <c r="A6" s="8" t="s">
        <v>26</v>
      </c>
      <c r="B6" s="10">
        <v>5</v>
      </c>
      <c r="C6" s="13" cm="1">
        <f t="array" ref="C6">F6/E6</f>
        <v>0.44444444444444442</v>
      </c>
      <c r="D6" s="10">
        <v>11</v>
      </c>
      <c r="E6" s="10">
        <v>9</v>
      </c>
      <c r="F6" s="10">
        <v>4</v>
      </c>
      <c r="G6" s="10" cm="1">
        <f t="array" ref="G6">F6-(H6+I6+J6)</f>
        <v>4</v>
      </c>
      <c r="H6" s="10">
        <v>0</v>
      </c>
      <c r="I6" s="10">
        <v>0</v>
      </c>
      <c r="J6" s="10">
        <v>0</v>
      </c>
      <c r="K6" s="10">
        <v>4</v>
      </c>
      <c r="L6" s="10">
        <v>3</v>
      </c>
      <c r="M6" s="10">
        <v>3</v>
      </c>
      <c r="N6" s="10">
        <v>0</v>
      </c>
      <c r="O6" s="10">
        <v>0</v>
      </c>
      <c r="P6" s="13" cm="1">
        <f t="array" ref="P6">(G6*1+H6*2+I6*3+J6*4)/E6</f>
        <v>0.44444444444444442</v>
      </c>
      <c r="Q6" s="13">
        <v>0.5</v>
      </c>
      <c r="R6" s="15" cm="1">
        <f t="array" ref="R6">Q6+P6</f>
        <v>0.94444444444444442</v>
      </c>
    </row>
    <row r="7" spans="1:18" ht="17.25" customHeight="1">
      <c r="A7" s="8" t="s">
        <v>27</v>
      </c>
      <c r="B7" s="10">
        <v>0</v>
      </c>
      <c r="C7" s="13">
        <v>0</v>
      </c>
      <c r="D7" s="10">
        <v>0</v>
      </c>
      <c r="E7" s="10">
        <v>0</v>
      </c>
      <c r="F7" s="10">
        <v>0</v>
      </c>
      <c r="G7" s="10" cm="1">
        <f t="array" ref="G7">F7-(H7+I7+J7)</f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3">
        <v>0</v>
      </c>
      <c r="Q7" s="13">
        <v>0</v>
      </c>
      <c r="R7" s="15" cm="1">
        <f t="array" ref="R7">Q7+P7</f>
        <v>0</v>
      </c>
    </row>
    <row r="8" spans="1:18" ht="17.25" customHeight="1">
      <c r="A8" s="8" t="s">
        <v>28</v>
      </c>
      <c r="B8" s="10">
        <v>5</v>
      </c>
      <c r="C8" s="13" cm="1">
        <f t="array" ref="C8">F8/E8</f>
        <v>0.33333333333333331</v>
      </c>
      <c r="D8" s="10">
        <v>10</v>
      </c>
      <c r="E8" s="10">
        <v>9</v>
      </c>
      <c r="F8" s="10">
        <v>3</v>
      </c>
      <c r="G8" s="10" cm="1">
        <f t="array" ref="G8">F8-(H8+I8+J8)</f>
        <v>2</v>
      </c>
      <c r="H8" s="10">
        <v>1</v>
      </c>
      <c r="I8" s="10">
        <v>0</v>
      </c>
      <c r="J8" s="10">
        <v>0</v>
      </c>
      <c r="K8" s="10">
        <v>1</v>
      </c>
      <c r="L8" s="10">
        <v>4</v>
      </c>
      <c r="M8" s="10">
        <v>1</v>
      </c>
      <c r="N8" s="10">
        <v>0</v>
      </c>
      <c r="O8" s="10">
        <v>4</v>
      </c>
      <c r="P8" s="13" cm="1">
        <f t="array" ref="P8">(G8*1+H8*2+I8*3+J8*4)/E8</f>
        <v>0.44444444444444442</v>
      </c>
      <c r="Q8" s="13">
        <v>0.36399999999999999</v>
      </c>
      <c r="R8" s="15" cm="1">
        <f t="array" ref="R8">Q8+P8</f>
        <v>0.80844444444444441</v>
      </c>
    </row>
    <row r="9" spans="1:18" ht="17.25" customHeight="1">
      <c r="A9" s="8" t="s">
        <v>29</v>
      </c>
      <c r="B9" s="10">
        <v>2</v>
      </c>
      <c r="C9" s="13" cm="1">
        <f t="array" ref="C9">F9/E9</f>
        <v>0.33333333333333331</v>
      </c>
      <c r="D9" s="10">
        <v>3</v>
      </c>
      <c r="E9" s="10">
        <v>3</v>
      </c>
      <c r="F9" s="10">
        <v>1</v>
      </c>
      <c r="G9" s="10" cm="1">
        <f t="array" ref="G9">F9-(H9+I9+J9)</f>
        <v>1</v>
      </c>
      <c r="H9" s="10">
        <v>0</v>
      </c>
      <c r="I9" s="10">
        <v>0</v>
      </c>
      <c r="J9" s="10">
        <v>0</v>
      </c>
      <c r="K9" s="10">
        <v>1</v>
      </c>
      <c r="L9" s="10">
        <v>1</v>
      </c>
      <c r="M9" s="10">
        <v>0</v>
      </c>
      <c r="N9" s="10">
        <v>0</v>
      </c>
      <c r="O9" s="10">
        <v>1</v>
      </c>
      <c r="P9" s="13" cm="1">
        <f t="array" ref="P9">(G9*1+H9*2+I9*3+J9*4)/E9</f>
        <v>0.33333333333333331</v>
      </c>
      <c r="Q9" s="13">
        <v>0.4</v>
      </c>
      <c r="R9" s="15" cm="1">
        <f t="array" ref="R9">Q9+P9</f>
        <v>0.73333333333333339</v>
      </c>
    </row>
    <row r="10" spans="1:18" ht="17.25" customHeight="1">
      <c r="A10" s="8" t="s">
        <v>30</v>
      </c>
      <c r="B10" s="10">
        <v>5</v>
      </c>
      <c r="C10" s="13" cm="1">
        <f t="array" ref="C10">F10/E10</f>
        <v>0.58333333333333337</v>
      </c>
      <c r="D10" s="10">
        <v>14</v>
      </c>
      <c r="E10" s="10">
        <v>12</v>
      </c>
      <c r="F10" s="10">
        <v>7</v>
      </c>
      <c r="G10" s="10" cm="1">
        <f t="array" ref="G10">F10-(H10+I10+J10)</f>
        <v>5</v>
      </c>
      <c r="H10" s="10">
        <v>1</v>
      </c>
      <c r="I10" s="10">
        <v>1</v>
      </c>
      <c r="J10" s="10">
        <v>0</v>
      </c>
      <c r="K10" s="10">
        <v>6</v>
      </c>
      <c r="L10" s="10">
        <v>3</v>
      </c>
      <c r="M10" s="10">
        <v>9</v>
      </c>
      <c r="N10" s="10">
        <v>0</v>
      </c>
      <c r="O10" s="10">
        <v>1</v>
      </c>
      <c r="P10" s="13" cm="1">
        <f t="array" ref="P10">(G10*1+H10*2+I10*3+J10*4)/E10</f>
        <v>0.83333333333333337</v>
      </c>
      <c r="Q10" s="13">
        <v>0.56299999999999994</v>
      </c>
      <c r="R10" s="15" cm="1">
        <f t="array" ref="R10">Q10+P10</f>
        <v>1.3963333333333332</v>
      </c>
    </row>
    <row r="11" spans="1:18" ht="17.25" customHeight="1">
      <c r="A11" s="8" t="s">
        <v>31</v>
      </c>
      <c r="B11" s="10">
        <v>1</v>
      </c>
      <c r="C11" s="13" cm="1">
        <f t="array" ref="C11">F11/E11</f>
        <v>0</v>
      </c>
      <c r="D11" s="10">
        <v>2</v>
      </c>
      <c r="E11" s="10">
        <v>2</v>
      </c>
      <c r="F11" s="10">
        <v>0</v>
      </c>
      <c r="G11" s="10" cm="1">
        <f t="array" ref="G11">F11-(H11+I11+J11)</f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3" cm="1">
        <f t="array" ref="P11">(G11*1+H11*2+I11*3+J11*4)/E11</f>
        <v>0</v>
      </c>
      <c r="Q11" s="13">
        <v>0</v>
      </c>
      <c r="R11" s="15" cm="1">
        <f t="array" ref="R11">Q11+P11</f>
        <v>0</v>
      </c>
    </row>
    <row r="12" spans="1:18" ht="17.25" customHeight="1">
      <c r="A12" s="8" t="s">
        <v>32</v>
      </c>
      <c r="B12" s="10">
        <v>3</v>
      </c>
      <c r="C12" s="13" cm="1">
        <f t="array" ref="C12">F12/E12</f>
        <v>0</v>
      </c>
      <c r="D12" s="10">
        <v>6</v>
      </c>
      <c r="E12" s="10">
        <v>3</v>
      </c>
      <c r="F12" s="10">
        <v>0</v>
      </c>
      <c r="G12" s="10" cm="1">
        <f t="array" ref="G12">F12-(H12+I12+J12)</f>
        <v>0</v>
      </c>
      <c r="H12" s="10">
        <v>0</v>
      </c>
      <c r="I12" s="10">
        <v>0</v>
      </c>
      <c r="J12" s="10">
        <v>0</v>
      </c>
      <c r="K12" s="10">
        <v>1</v>
      </c>
      <c r="L12" s="10">
        <v>1</v>
      </c>
      <c r="M12" s="10">
        <v>0</v>
      </c>
      <c r="N12" s="10">
        <v>0</v>
      </c>
      <c r="O12" s="10">
        <v>1</v>
      </c>
      <c r="P12" s="13" cm="1">
        <f t="array" ref="P12">(G12*1+H12*2+I12*3+J12*4)/E12</f>
        <v>0</v>
      </c>
      <c r="Q12" s="13">
        <v>0.16700000000000001</v>
      </c>
      <c r="R12" s="15" cm="1">
        <f t="array" ref="R12">Q12+P12</f>
        <v>0.16700000000000001</v>
      </c>
    </row>
    <row r="13" spans="1:18" ht="17.25" customHeight="1">
      <c r="A13" s="8" t="s">
        <v>33</v>
      </c>
      <c r="B13" s="10">
        <v>4</v>
      </c>
      <c r="C13" s="13" cm="1">
        <f t="array" ref="C13">F13/E13</f>
        <v>0.83333333333333337</v>
      </c>
      <c r="D13" s="10">
        <v>12</v>
      </c>
      <c r="E13" s="10">
        <v>12</v>
      </c>
      <c r="F13" s="10">
        <v>10</v>
      </c>
      <c r="G13" s="10" cm="1">
        <f t="array" ref="G13">F13-(H13+I13+J13)</f>
        <v>6</v>
      </c>
      <c r="H13" s="10">
        <v>4</v>
      </c>
      <c r="I13" s="10">
        <v>0</v>
      </c>
      <c r="J13" s="10">
        <v>0</v>
      </c>
      <c r="K13" s="10">
        <v>5</v>
      </c>
      <c r="L13" s="10">
        <v>1</v>
      </c>
      <c r="M13" s="10">
        <v>3</v>
      </c>
      <c r="N13" s="10">
        <v>0</v>
      </c>
      <c r="O13" s="10">
        <v>0</v>
      </c>
      <c r="P13" s="13" cm="1">
        <f t="array" ref="P13">(G13*1+H13*2+I13*3+J13*4)/E13</f>
        <v>1.1666666666666667</v>
      </c>
      <c r="Q13" s="13">
        <v>0.84599999999999997</v>
      </c>
      <c r="R13" s="15" cm="1">
        <f t="array" ref="R13">Q13+P13</f>
        <v>2.0126666666666666</v>
      </c>
    </row>
    <row r="14" spans="1:18" ht="17.25" customHeight="1">
      <c r="A14" s="8" t="s">
        <v>34</v>
      </c>
      <c r="B14" s="10">
        <v>0</v>
      </c>
      <c r="C14" s="13">
        <v>0</v>
      </c>
      <c r="D14" s="10">
        <v>0</v>
      </c>
      <c r="E14" s="10">
        <v>0</v>
      </c>
      <c r="F14" s="10">
        <v>0</v>
      </c>
      <c r="G14" s="10" cm="1">
        <f t="array" ref="G14">F14-(H14+I14+J14)</f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10">
        <v>0</v>
      </c>
      <c r="P14" s="13">
        <v>0</v>
      </c>
      <c r="Q14" s="13">
        <v>0</v>
      </c>
      <c r="R14" s="15" cm="1">
        <f t="array" ref="R14">Q14+P14</f>
        <v>0</v>
      </c>
    </row>
    <row r="15" spans="1:18" ht="17.25" customHeight="1">
      <c r="A15" s="8" t="s">
        <v>35</v>
      </c>
      <c r="B15" s="10">
        <v>1</v>
      </c>
      <c r="C15" s="13" cm="1">
        <f t="array" ref="C15">F15/E15</f>
        <v>0</v>
      </c>
      <c r="D15" s="10">
        <v>3</v>
      </c>
      <c r="E15" s="10">
        <v>1</v>
      </c>
      <c r="F15" s="10">
        <v>0</v>
      </c>
      <c r="G15" s="10" cm="1">
        <f t="array" ref="G15">F15-(H15+I15+J15)</f>
        <v>0</v>
      </c>
      <c r="H15" s="10">
        <v>0</v>
      </c>
      <c r="I15" s="10">
        <v>0</v>
      </c>
      <c r="J15" s="10">
        <v>0</v>
      </c>
      <c r="K15" s="10">
        <v>1</v>
      </c>
      <c r="L15" s="10">
        <v>1</v>
      </c>
      <c r="M15" s="10">
        <v>0</v>
      </c>
      <c r="N15" s="10">
        <v>0</v>
      </c>
      <c r="O15" s="10">
        <v>0</v>
      </c>
      <c r="P15" s="13" cm="1">
        <f t="array" ref="P15">(G15*1+H15*2+I15*3+J15*4)/E15</f>
        <v>0</v>
      </c>
      <c r="Q15" s="13">
        <v>0</v>
      </c>
      <c r="R15" s="15" cm="1">
        <f t="array" ref="R15">Q15+P15</f>
        <v>0</v>
      </c>
    </row>
    <row r="16" spans="1:18" ht="17.25" customHeight="1">
      <c r="A16" s="8" t="s">
        <v>36</v>
      </c>
      <c r="B16" s="10">
        <v>2</v>
      </c>
      <c r="C16" s="13" cm="1">
        <f t="array" ref="C16">F16/E16</f>
        <v>0.66666666666666663</v>
      </c>
      <c r="D16" s="10">
        <v>3</v>
      </c>
      <c r="E16" s="10">
        <v>3</v>
      </c>
      <c r="F16" s="10">
        <v>2</v>
      </c>
      <c r="G16" s="10" cm="1">
        <f t="array" ref="G16">F16-(H16+I16+J16)</f>
        <v>1</v>
      </c>
      <c r="H16" s="10">
        <v>1</v>
      </c>
      <c r="I16" s="10">
        <v>0</v>
      </c>
      <c r="J16" s="10">
        <v>0</v>
      </c>
      <c r="K16" s="10">
        <v>1</v>
      </c>
      <c r="L16" s="10">
        <v>2</v>
      </c>
      <c r="M16" s="10">
        <v>1</v>
      </c>
      <c r="N16" s="10">
        <v>0</v>
      </c>
      <c r="O16" s="10">
        <v>1</v>
      </c>
      <c r="P16" s="13" cm="1">
        <f t="array" ref="P16">(G16*1+H16*2+I16*3+J16*4)/E16</f>
        <v>1</v>
      </c>
      <c r="Q16" s="13">
        <v>0.66700000000000004</v>
      </c>
      <c r="R16" s="15" cm="1">
        <f t="array" ref="R16">Q16+P16</f>
        <v>1.667</v>
      </c>
    </row>
    <row r="17" spans="1:18" ht="17.25" customHeight="1">
      <c r="A17" s="8" t="s">
        <v>37</v>
      </c>
      <c r="B17" s="10">
        <v>2</v>
      </c>
      <c r="C17" s="13" cm="1">
        <f t="array" ref="C17">F17/E17</f>
        <v>0.42857142857142855</v>
      </c>
      <c r="D17" s="10">
        <v>7</v>
      </c>
      <c r="E17" s="10">
        <v>7</v>
      </c>
      <c r="F17" s="10">
        <v>3</v>
      </c>
      <c r="G17" s="10" cm="1">
        <f t="array" ref="G17">F17-(H17+I17+J17)</f>
        <v>2</v>
      </c>
      <c r="H17" s="10">
        <v>1</v>
      </c>
      <c r="I17" s="10">
        <v>0</v>
      </c>
      <c r="J17" s="10">
        <v>0</v>
      </c>
      <c r="K17" s="10">
        <v>1</v>
      </c>
      <c r="L17" s="10">
        <v>2</v>
      </c>
      <c r="M17" s="10">
        <v>0</v>
      </c>
      <c r="N17" s="10">
        <v>0</v>
      </c>
      <c r="O17" s="10">
        <v>3</v>
      </c>
      <c r="P17" s="13" cm="1">
        <f t="array" ref="P17">(G17*1+H17*2+I17*3+J17*4)/E17</f>
        <v>0.5714285714285714</v>
      </c>
      <c r="Q17" s="13">
        <v>0</v>
      </c>
      <c r="R17" s="15" cm="1">
        <f t="array" ref="R17">Q17+P17</f>
        <v>0.5714285714285714</v>
      </c>
    </row>
    <row r="18" spans="1:18" ht="17.25" customHeight="1">
      <c r="A18" s="8" t="s">
        <v>38</v>
      </c>
      <c r="B18" s="10">
        <v>3</v>
      </c>
      <c r="C18" s="13" cm="1">
        <f t="array" ref="C18">F18/E18</f>
        <v>0.4</v>
      </c>
      <c r="D18" s="10">
        <v>6</v>
      </c>
      <c r="E18" s="10">
        <v>5</v>
      </c>
      <c r="F18" s="10">
        <v>2</v>
      </c>
      <c r="G18" s="10" cm="1">
        <f t="array" ref="G18">F18-(H18+I18+J18)</f>
        <v>1</v>
      </c>
      <c r="H18" s="10">
        <v>0</v>
      </c>
      <c r="I18" s="10">
        <v>1</v>
      </c>
      <c r="J18" s="10">
        <v>0</v>
      </c>
      <c r="K18" s="10">
        <v>2</v>
      </c>
      <c r="L18" s="10">
        <v>1</v>
      </c>
      <c r="M18" s="10">
        <v>2</v>
      </c>
      <c r="N18" s="10">
        <v>0</v>
      </c>
      <c r="O18" s="10">
        <v>1</v>
      </c>
      <c r="P18" s="13" cm="1">
        <f t="array" ref="P18">(G18*1+H18*2+I18*3+J18*4)/E18</f>
        <v>0.8</v>
      </c>
      <c r="Q18" s="13">
        <v>0.38500000000000001</v>
      </c>
      <c r="R18" s="15" cm="1">
        <f t="array" ref="R18">Q18+P18</f>
        <v>1.1850000000000001</v>
      </c>
    </row>
    <row r="19" spans="1:18" ht="17.25" customHeight="1">
      <c r="A19" s="8" t="s">
        <v>39</v>
      </c>
      <c r="B19" s="10">
        <v>2</v>
      </c>
      <c r="C19" s="13" cm="1">
        <f t="array" ref="C19">F19/E19</f>
        <v>0.5</v>
      </c>
      <c r="D19" s="10">
        <v>4</v>
      </c>
      <c r="E19" s="10">
        <v>4</v>
      </c>
      <c r="F19" s="10">
        <v>2</v>
      </c>
      <c r="G19" s="10" cm="1">
        <f t="array" ref="G19">F19-(H19+I19+J19)</f>
        <v>2</v>
      </c>
      <c r="H19" s="10">
        <v>0</v>
      </c>
      <c r="I19" s="10">
        <v>0</v>
      </c>
      <c r="J19" s="10">
        <v>0</v>
      </c>
      <c r="K19" s="10">
        <v>2</v>
      </c>
      <c r="L19" s="10">
        <v>1</v>
      </c>
      <c r="M19" s="10">
        <v>1</v>
      </c>
      <c r="N19" s="10">
        <v>0</v>
      </c>
      <c r="O19" s="10">
        <v>0</v>
      </c>
      <c r="P19" s="13" cm="1">
        <f t="array" ref="P19">(G19*1+H19*2+I19*3+J19*4)/E19</f>
        <v>0.5</v>
      </c>
      <c r="Q19" s="13">
        <v>0.5</v>
      </c>
      <c r="R19" s="15" cm="1">
        <f t="array" ref="R19">Q19+P19</f>
        <v>1</v>
      </c>
    </row>
    <row r="20" spans="1:18" ht="17.25" customHeight="1">
      <c r="A20" s="8" t="s">
        <v>40</v>
      </c>
      <c r="B20" s="10">
        <v>4</v>
      </c>
      <c r="C20" s="13" cm="1">
        <f t="array" ref="C20">F20/E20</f>
        <v>0</v>
      </c>
      <c r="D20" s="10">
        <v>7</v>
      </c>
      <c r="E20" s="10">
        <v>7</v>
      </c>
      <c r="F20" s="10">
        <v>0</v>
      </c>
      <c r="G20" s="10" cm="1">
        <f t="array" ref="G20">F20-(H20+I20+J20)</f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>
        <v>0</v>
      </c>
      <c r="O20" s="10">
        <v>7</v>
      </c>
      <c r="P20" s="13" cm="1">
        <f t="array" ref="P20">(G20*1+H20*2+I20*3+J20*4)/E20</f>
        <v>0</v>
      </c>
      <c r="Q20" s="13">
        <v>0</v>
      </c>
      <c r="R20" s="15" cm="1">
        <f t="array" ref="R20">Q20+P20</f>
        <v>0</v>
      </c>
    </row>
    <row r="21" spans="1:18" ht="17.25" customHeight="1">
      <c r="A21" s="8" t="s">
        <v>41</v>
      </c>
      <c r="B21" s="10">
        <v>3</v>
      </c>
      <c r="C21" s="13" cm="1">
        <f t="array" ref="C21">F21/E21</f>
        <v>0</v>
      </c>
      <c r="D21" s="10">
        <v>4</v>
      </c>
      <c r="E21" s="10">
        <v>4</v>
      </c>
      <c r="F21" s="10">
        <v>0</v>
      </c>
      <c r="G21" s="10" cm="1">
        <f t="array" ref="G21">F21-(H21+I21+J21)</f>
        <v>0</v>
      </c>
      <c r="H21" s="10">
        <v>0</v>
      </c>
      <c r="I21" s="10">
        <v>0</v>
      </c>
      <c r="J21" s="10">
        <v>0</v>
      </c>
      <c r="K21" s="10">
        <v>1</v>
      </c>
      <c r="L21" s="10">
        <v>0</v>
      </c>
      <c r="M21" s="10">
        <v>1</v>
      </c>
      <c r="N21" s="10">
        <v>0</v>
      </c>
      <c r="O21" s="10">
        <v>3</v>
      </c>
      <c r="P21" s="13" cm="1">
        <f t="array" ref="P21">(G21*1+H21*2+I21*3+J21*4)/E21</f>
        <v>0</v>
      </c>
      <c r="Q21" s="13">
        <v>0.2</v>
      </c>
      <c r="R21" s="15" cm="1">
        <f t="array" ref="R21">Q21+P21</f>
        <v>0.2</v>
      </c>
    </row>
    <row r="22" spans="1:18" ht="17.25" customHeight="1">
      <c r="A22" s="8" t="s">
        <v>42</v>
      </c>
      <c r="B22" s="10">
        <v>1</v>
      </c>
      <c r="C22" s="13" cm="1">
        <f t="array" ref="C22">F22/E22</f>
        <v>0</v>
      </c>
      <c r="D22" s="10">
        <v>3</v>
      </c>
      <c r="E22" s="10">
        <v>2</v>
      </c>
      <c r="F22" s="10">
        <v>0</v>
      </c>
      <c r="G22" s="10" cm="1">
        <f t="array" ref="G22">F22-(H22+I22+J22)</f>
        <v>0</v>
      </c>
      <c r="H22" s="10">
        <v>0</v>
      </c>
      <c r="I22" s="10">
        <v>0</v>
      </c>
      <c r="J22" s="10">
        <v>0</v>
      </c>
      <c r="K22" s="10">
        <v>1</v>
      </c>
      <c r="L22" s="10">
        <v>0</v>
      </c>
      <c r="M22" s="10">
        <v>2</v>
      </c>
      <c r="N22" s="10">
        <v>0</v>
      </c>
      <c r="O22" s="10">
        <v>1</v>
      </c>
      <c r="P22" s="13" cm="1">
        <f t="array" ref="P22">(G22*1+H22*2+I22*3+J22*4)/E22</f>
        <v>0</v>
      </c>
      <c r="Q22" s="13">
        <v>0</v>
      </c>
      <c r="R22" s="15" cm="1">
        <f t="array" ref="R22">Q22+P22</f>
        <v>0</v>
      </c>
    </row>
    <row r="23" spans="1:18" ht="17.25" customHeight="1">
      <c r="A23" s="8" t="s">
        <v>43</v>
      </c>
      <c r="B23" s="10">
        <v>4</v>
      </c>
      <c r="C23" s="13" cm="1">
        <f t="array" ref="C23">F23/E23</f>
        <v>0.2</v>
      </c>
      <c r="D23" s="10">
        <v>10</v>
      </c>
      <c r="E23" s="10">
        <v>10</v>
      </c>
      <c r="F23" s="10">
        <v>2</v>
      </c>
      <c r="G23" s="10" cm="1">
        <f t="array" ref="G23">F23-(H23+I23+J23)</f>
        <v>1</v>
      </c>
      <c r="H23" s="10">
        <v>1</v>
      </c>
      <c r="I23" s="10">
        <v>0</v>
      </c>
      <c r="J23" s="10">
        <v>0</v>
      </c>
      <c r="K23" s="10">
        <v>1</v>
      </c>
      <c r="L23" s="10">
        <v>2</v>
      </c>
      <c r="M23" s="10">
        <v>1</v>
      </c>
      <c r="N23" s="10">
        <v>0</v>
      </c>
      <c r="O23" s="10">
        <v>2</v>
      </c>
      <c r="P23" s="13" cm="1">
        <f t="array" ref="P23">(G23*1+H23*2+I23*3+J23*4)/E23</f>
        <v>0.3</v>
      </c>
      <c r="Q23" s="13">
        <v>0.2</v>
      </c>
      <c r="R23" s="15" cm="1">
        <f t="array" ref="R23">Q23+P23</f>
        <v>0.5</v>
      </c>
    </row>
    <row r="24" spans="1:18" ht="17.25" customHeight="1">
      <c r="A24" s="8" t="s">
        <v>44</v>
      </c>
      <c r="B24" s="10">
        <v>2</v>
      </c>
      <c r="C24" s="13" cm="1">
        <f t="array" ref="C24">F24/E24</f>
        <v>0.25</v>
      </c>
      <c r="D24" s="10">
        <v>7</v>
      </c>
      <c r="E24" s="10">
        <v>4</v>
      </c>
      <c r="F24" s="10">
        <v>1</v>
      </c>
      <c r="G24" s="10" cm="1">
        <f t="array" ref="G24">F24-(H24+I24+J24)</f>
        <v>1</v>
      </c>
      <c r="H24" s="10">
        <v>0</v>
      </c>
      <c r="I24" s="10">
        <v>0</v>
      </c>
      <c r="J24" s="10">
        <v>0</v>
      </c>
      <c r="K24" s="10">
        <v>2</v>
      </c>
      <c r="L24" s="10">
        <v>0</v>
      </c>
      <c r="M24" s="10">
        <v>2</v>
      </c>
      <c r="N24" s="10">
        <v>0</v>
      </c>
      <c r="O24" s="10">
        <v>2</v>
      </c>
      <c r="P24" s="13">
        <v>0.2</v>
      </c>
      <c r="Q24" s="13">
        <v>0.2</v>
      </c>
      <c r="R24" s="15" cm="1">
        <f t="array" ref="R24">Q24+P24</f>
        <v>0.4</v>
      </c>
    </row>
    <row r="25" spans="1:18" ht="17.25" customHeight="1">
      <c r="A25" s="29" t="s">
        <v>45</v>
      </c>
      <c r="B25" s="103"/>
      <c r="C25" s="105" cm="1">
        <f t="array" ref="C25">F25/E25</f>
        <v>0.37</v>
      </c>
      <c r="D25" s="49" cm="1">
        <f t="array" ref="D25">SUM(D4:D24)</f>
        <v>116</v>
      </c>
      <c r="E25" s="49" cm="1">
        <f t="array" ref="E25">SUM(E4:E24)</f>
        <v>100</v>
      </c>
      <c r="F25" s="49" cm="1">
        <f t="array" ref="F25">SUM(F4:F24)</f>
        <v>37</v>
      </c>
      <c r="G25" s="49" cm="1">
        <f t="array" ref="G25">SUM(G4:G24)</f>
        <v>26</v>
      </c>
      <c r="H25" s="49" cm="1">
        <f t="array" ref="H25">SUM(H4:H24)</f>
        <v>9</v>
      </c>
      <c r="I25" s="49" cm="1">
        <f t="array" ref="I25">SUM(I4:I24)</f>
        <v>2</v>
      </c>
      <c r="J25" s="49" cm="1">
        <f t="array" ref="J25">SUM(J4:J24)</f>
        <v>0</v>
      </c>
      <c r="K25" s="49" cm="1">
        <f t="array" ref="K25">SUM(K4:K24)</f>
        <v>30</v>
      </c>
      <c r="L25" s="49" cm="1">
        <f t="array" ref="L25">SUM(L4:L24)</f>
        <v>22</v>
      </c>
      <c r="M25" s="49" cm="1">
        <f t="array" ref="M25">SUM(M4:M24)</f>
        <v>26</v>
      </c>
      <c r="N25" s="49" cm="1">
        <f t="array" ref="N25">SUM(N4:N24)</f>
        <v>0</v>
      </c>
      <c r="O25" s="49" cm="1">
        <f t="array" ref="O25">SUM(O4:O24)</f>
        <v>28</v>
      </c>
      <c r="P25" s="105"/>
      <c r="Q25" s="105"/>
      <c r="R25" s="100"/>
    </row>
    <row r="26" spans="1:18" ht="17.25" customHeight="1">
      <c r="A26" s="111"/>
      <c r="B26" s="112"/>
      <c r="C26" s="113"/>
      <c r="D26" s="112"/>
      <c r="E26" s="112"/>
      <c r="F26" s="112"/>
      <c r="G26" s="112"/>
      <c r="H26" s="112"/>
      <c r="I26" s="112"/>
      <c r="J26" s="112"/>
      <c r="K26" s="112"/>
      <c r="L26" s="112"/>
      <c r="M26" s="112"/>
      <c r="N26" s="112"/>
      <c r="O26" s="112"/>
      <c r="P26" s="113"/>
      <c r="Q26" s="113"/>
      <c r="R26" s="114"/>
    </row>
    <row r="27" spans="1:18" ht="17.25" customHeight="1">
      <c r="A27" s="115" t="s">
        <v>46</v>
      </c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7"/>
      <c r="R27" s="3"/>
    </row>
    <row r="28" spans="1:18" ht="17.25" customHeight="1">
      <c r="A28" s="8" t="s">
        <v>101</v>
      </c>
      <c r="B28" s="8" t="s">
        <v>102</v>
      </c>
      <c r="C28" s="8" t="s">
        <v>47</v>
      </c>
      <c r="D28" s="8" t="s">
        <v>48</v>
      </c>
      <c r="E28" s="8" t="s">
        <v>107</v>
      </c>
      <c r="F28" s="8" t="s">
        <v>50</v>
      </c>
      <c r="G28" s="8" t="s">
        <v>6</v>
      </c>
      <c r="H28" s="8" t="s">
        <v>51</v>
      </c>
      <c r="I28" s="8" t="s">
        <v>52</v>
      </c>
      <c r="J28" s="8" t="s">
        <v>53</v>
      </c>
      <c r="K28" s="8" t="s">
        <v>54</v>
      </c>
      <c r="L28" s="8" t="s">
        <v>55</v>
      </c>
      <c r="M28" s="8" t="s">
        <v>16</v>
      </c>
      <c r="N28" s="8" t="s">
        <v>57</v>
      </c>
      <c r="O28" s="8" t="s">
        <v>105</v>
      </c>
      <c r="P28" s="8" t="s">
        <v>59</v>
      </c>
      <c r="Q28" s="9"/>
      <c r="R28" s="3"/>
    </row>
    <row r="29" spans="1:18" ht="17.25" customHeight="1">
      <c r="A29" s="8" t="s">
        <v>24</v>
      </c>
      <c r="B29" s="10">
        <v>3</v>
      </c>
      <c r="C29" s="10">
        <v>0</v>
      </c>
      <c r="D29" s="10">
        <v>1</v>
      </c>
      <c r="E29" s="10">
        <v>0</v>
      </c>
      <c r="F29" s="10">
        <v>21</v>
      </c>
      <c r="G29" s="10" cm="1">
        <f t="array" ref="G29">F29-K29-L29</f>
        <v>8</v>
      </c>
      <c r="H29" s="39">
        <v>1</v>
      </c>
      <c r="I29" s="10">
        <v>5</v>
      </c>
      <c r="J29" s="10">
        <v>0</v>
      </c>
      <c r="K29" s="10">
        <v>11</v>
      </c>
      <c r="L29" s="10">
        <v>2</v>
      </c>
      <c r="M29" s="10">
        <v>0</v>
      </c>
      <c r="N29" s="10">
        <v>15</v>
      </c>
      <c r="O29" s="10">
        <v>8</v>
      </c>
      <c r="P29" s="40" cm="1">
        <f t="array" ref="P29">O29*9/H29</f>
        <v>72</v>
      </c>
      <c r="Q29" s="9"/>
      <c r="R29" s="3"/>
    </row>
    <row r="30" spans="1:18" ht="17.25" customHeight="1">
      <c r="A30" s="8" t="s">
        <v>29</v>
      </c>
      <c r="B30" s="10">
        <v>0</v>
      </c>
      <c r="C30" s="10">
        <v>0</v>
      </c>
      <c r="D30" s="10">
        <v>0</v>
      </c>
      <c r="E30" s="10">
        <v>0</v>
      </c>
      <c r="F30" s="10">
        <v>0</v>
      </c>
      <c r="G30" s="10" cm="1">
        <f t="array" ref="G30">F30-K30-L30</f>
        <v>0</v>
      </c>
      <c r="H30" s="39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40">
        <v>0</v>
      </c>
      <c r="Q30" s="9"/>
      <c r="R30" s="3"/>
    </row>
    <row r="31" spans="1:18" ht="17.25" customHeight="1">
      <c r="A31" s="8" t="s">
        <v>33</v>
      </c>
      <c r="B31" s="10">
        <v>4</v>
      </c>
      <c r="C31" s="10">
        <v>0</v>
      </c>
      <c r="D31" s="10">
        <v>1</v>
      </c>
      <c r="E31" s="10">
        <v>0</v>
      </c>
      <c r="F31" s="10">
        <v>20</v>
      </c>
      <c r="G31" s="10" cm="1">
        <f t="array" ref="G31">F31-K31-L31</f>
        <v>15</v>
      </c>
      <c r="H31" s="39">
        <v>3</v>
      </c>
      <c r="I31" s="10">
        <v>5</v>
      </c>
      <c r="J31" s="10">
        <v>0</v>
      </c>
      <c r="K31" s="10">
        <v>4</v>
      </c>
      <c r="L31" s="10">
        <v>1</v>
      </c>
      <c r="M31" s="10">
        <v>3</v>
      </c>
      <c r="N31" s="10">
        <v>4</v>
      </c>
      <c r="O31" s="10">
        <v>3</v>
      </c>
      <c r="P31" s="40" cm="1">
        <f t="array" ref="P31">O31*9/H31</f>
        <v>9</v>
      </c>
      <c r="Q31" s="9"/>
      <c r="R31" s="3"/>
    </row>
    <row r="32" spans="1:18" ht="17.25" customHeight="1">
      <c r="A32" s="8" t="s">
        <v>36</v>
      </c>
      <c r="B32" s="10">
        <v>2</v>
      </c>
      <c r="C32" s="10">
        <v>0</v>
      </c>
      <c r="D32" s="10">
        <v>1</v>
      </c>
      <c r="E32" s="10">
        <v>0</v>
      </c>
      <c r="F32" s="10">
        <v>32</v>
      </c>
      <c r="G32" s="10" cm="1">
        <f t="array" ref="G32">F32-K32-L32</f>
        <v>26</v>
      </c>
      <c r="H32" s="39">
        <v>4</v>
      </c>
      <c r="I32" s="10">
        <v>12</v>
      </c>
      <c r="J32" s="10">
        <v>0</v>
      </c>
      <c r="K32" s="10">
        <v>6</v>
      </c>
      <c r="L32" s="10">
        <v>0</v>
      </c>
      <c r="M32" s="10">
        <v>5</v>
      </c>
      <c r="N32" s="10">
        <v>15</v>
      </c>
      <c r="O32" s="10">
        <v>13</v>
      </c>
      <c r="P32" s="40" cm="1">
        <f t="array" ref="P32">O32*9/H32</f>
        <v>29.25</v>
      </c>
      <c r="Q32" s="9"/>
      <c r="R32" s="3"/>
    </row>
    <row r="33" spans="1:18" ht="17.25" customHeight="1">
      <c r="A33" s="8" t="s">
        <v>37</v>
      </c>
      <c r="B33" s="10">
        <v>1</v>
      </c>
      <c r="C33" s="10">
        <v>0</v>
      </c>
      <c r="D33" s="10">
        <v>0</v>
      </c>
      <c r="E33" s="10">
        <v>0</v>
      </c>
      <c r="F33" s="10">
        <v>3</v>
      </c>
      <c r="G33" s="10" cm="1">
        <f t="array" ref="G33">F33-K33-L33</f>
        <v>2</v>
      </c>
      <c r="H33" s="39">
        <v>0.3333333</v>
      </c>
      <c r="I33" s="10">
        <v>1</v>
      </c>
      <c r="J33" s="10">
        <v>0</v>
      </c>
      <c r="K33" s="10">
        <v>1</v>
      </c>
      <c r="L33" s="10">
        <v>0</v>
      </c>
      <c r="M33" s="10">
        <v>1</v>
      </c>
      <c r="N33" s="10">
        <v>0</v>
      </c>
      <c r="O33" s="10">
        <v>0</v>
      </c>
      <c r="P33" s="40" cm="1">
        <f t="array" ref="P33">O33*9/H33</f>
        <v>0</v>
      </c>
      <c r="Q33" s="9"/>
      <c r="R33" s="3"/>
    </row>
    <row r="34" spans="1:18" ht="17.25" customHeight="1">
      <c r="A34" s="8" t="s">
        <v>42</v>
      </c>
      <c r="B34" s="10">
        <v>1</v>
      </c>
      <c r="C34" s="10">
        <v>0</v>
      </c>
      <c r="D34" s="10">
        <v>0</v>
      </c>
      <c r="E34" s="10">
        <v>0</v>
      </c>
      <c r="F34" s="10">
        <v>14</v>
      </c>
      <c r="G34" s="10" cm="1">
        <f t="array" ref="G34">F34-K34-L34</f>
        <v>6</v>
      </c>
      <c r="H34" s="39">
        <v>1.6666666666000001</v>
      </c>
      <c r="I34" s="10">
        <v>2</v>
      </c>
      <c r="J34" s="10">
        <v>0</v>
      </c>
      <c r="K34" s="10">
        <v>8</v>
      </c>
      <c r="L34" s="10">
        <v>0</v>
      </c>
      <c r="M34" s="10">
        <v>0</v>
      </c>
      <c r="N34" s="10">
        <v>6</v>
      </c>
      <c r="O34" s="10">
        <v>1</v>
      </c>
      <c r="P34" s="40" cm="1">
        <f t="array" ref="P34">O34*9/H34</f>
        <v>5.400000000216</v>
      </c>
      <c r="Q34" s="9"/>
      <c r="R34" s="3"/>
    </row>
    <row r="35" spans="1:18" ht="17.25" customHeight="1">
      <c r="A35" s="8" t="s">
        <v>43</v>
      </c>
      <c r="B35" s="10">
        <v>5</v>
      </c>
      <c r="C35" s="10">
        <v>0</v>
      </c>
      <c r="D35" s="10">
        <v>2</v>
      </c>
      <c r="E35" s="10">
        <v>0</v>
      </c>
      <c r="F35" s="10">
        <v>77</v>
      </c>
      <c r="G35" s="10" cm="1">
        <f t="array" ref="G35">F35-K35-L35</f>
        <v>55</v>
      </c>
      <c r="H35" s="39">
        <v>7.3333333329999997</v>
      </c>
      <c r="I35" s="10">
        <v>27</v>
      </c>
      <c r="J35" s="10">
        <v>0</v>
      </c>
      <c r="K35" s="10">
        <v>20</v>
      </c>
      <c r="L35" s="10">
        <v>2</v>
      </c>
      <c r="M35" s="10">
        <v>7</v>
      </c>
      <c r="N35" s="10">
        <v>40</v>
      </c>
      <c r="O35" s="10">
        <v>33</v>
      </c>
      <c r="P35" s="40" cm="1">
        <f t="array" ref="P35">O35*9/H35</f>
        <v>40.50000000184091</v>
      </c>
      <c r="Q35" s="9"/>
      <c r="R35" s="3"/>
    </row>
    <row r="36" spans="1:18" ht="17.25" customHeight="1">
      <c r="A36" s="29" t="s">
        <v>45</v>
      </c>
      <c r="B36" s="103"/>
      <c r="C36" s="49" cm="1">
        <f t="array" ref="C36">SUM(C29:C35)</f>
        <v>0</v>
      </c>
      <c r="D36" s="49" cm="1">
        <f t="array" ref="D36">SUM(D29:D35)</f>
        <v>5</v>
      </c>
      <c r="E36" s="49" cm="1">
        <f t="array" ref="E36">SUM(E29:E35)</f>
        <v>0</v>
      </c>
      <c r="F36" s="49" cm="1">
        <f t="array" ref="F36">SUM(F29:F35)</f>
        <v>167</v>
      </c>
      <c r="G36" s="49" cm="1">
        <f t="array" ref="G36">SUM(G29:G35)</f>
        <v>112</v>
      </c>
      <c r="H36" s="50" cm="1">
        <f t="array" ref="H36">SUM(H29:H35)</f>
        <v>17.3333332996</v>
      </c>
      <c r="I36" s="49" cm="1">
        <f t="array" ref="I36">SUM(I29:I35)</f>
        <v>52</v>
      </c>
      <c r="J36" s="49" cm="1">
        <f t="array" ref="J36">SUM(J29:J35)</f>
        <v>0</v>
      </c>
      <c r="K36" s="49" cm="1">
        <f t="array" ref="K36">SUM(K29:K35)</f>
        <v>50</v>
      </c>
      <c r="L36" s="49" cm="1">
        <f t="array" ref="L36">SUM(L29:L35)</f>
        <v>5</v>
      </c>
      <c r="M36" s="49" cm="1">
        <f t="array" ref="M36">SUM(M29:M35)</f>
        <v>16</v>
      </c>
      <c r="N36" s="49" cm="1">
        <f t="array" ref="N36">SUM(N29:N35)</f>
        <v>80</v>
      </c>
      <c r="O36" s="49" cm="1">
        <f t="array" ref="O36">SUM(O29:O35)</f>
        <v>58</v>
      </c>
      <c r="P36" s="51" cm="1">
        <f t="array" ref="P36">O36*9/H36</f>
        <v>30.115384673993788</v>
      </c>
      <c r="Q36" s="9"/>
      <c r="R36" s="3"/>
    </row>
  </sheetData>
  <phoneticPr fontId="21" type="noConversion"/>
  <pageMargins left="0.69972199999999996" right="0.69972199999999996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5"/>
  <sheetViews>
    <sheetView showGridLines="0" workbookViewId="0"/>
  </sheetViews>
  <sheetFormatPr defaultColWidth="9" defaultRowHeight="16.5" customHeight="1"/>
  <cols>
    <col min="1" max="22" width="8.875" style="1" customWidth="1"/>
    <col min="23" max="23" width="1.375" style="1" customWidth="1"/>
    <col min="24" max="28" width="9.875" style="1" customWidth="1"/>
    <col min="29" max="35" width="9" style="1" customWidth="1"/>
    <col min="36" max="16384" width="9" style="1"/>
  </cols>
  <sheetData>
    <row r="1" spans="1:34" ht="26.25" customHeight="1">
      <c r="A1" s="2" t="s">
        <v>67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3"/>
      <c r="V1" s="3"/>
      <c r="W1" s="3"/>
      <c r="X1" s="6"/>
      <c r="Y1" s="6"/>
      <c r="Z1" s="6"/>
      <c r="AA1" s="6"/>
      <c r="AB1" s="6"/>
      <c r="AC1" s="3"/>
      <c r="AD1" s="3"/>
      <c r="AE1" s="3"/>
      <c r="AF1" s="3"/>
      <c r="AG1" s="3"/>
      <c r="AH1" s="3"/>
    </row>
    <row r="2" spans="1:34" ht="20.25" customHeight="1">
      <c r="A2" s="5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7"/>
      <c r="U2" s="6"/>
      <c r="V2" s="6"/>
      <c r="W2" s="56"/>
      <c r="X2" s="253" t="s">
        <v>68</v>
      </c>
      <c r="Y2" s="254"/>
      <c r="Z2" s="254"/>
      <c r="AA2" s="254"/>
      <c r="AB2" s="254"/>
      <c r="AC2" s="9"/>
      <c r="AD2" s="57"/>
      <c r="AE2" s="57"/>
      <c r="AF2" s="3"/>
      <c r="AG2" s="3"/>
      <c r="AH2" s="3"/>
    </row>
    <row r="3" spans="1:34" ht="34.5" customHeight="1">
      <c r="A3" s="8" t="s">
        <v>2</v>
      </c>
      <c r="B3" s="8" t="s">
        <v>3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10</v>
      </c>
      <c r="J3" s="8" t="s">
        <v>11</v>
      </c>
      <c r="K3" s="8" t="s">
        <v>12</v>
      </c>
      <c r="L3" s="8" t="s">
        <v>13</v>
      </c>
      <c r="M3" s="8" t="s">
        <v>14</v>
      </c>
      <c r="N3" s="8" t="s">
        <v>15</v>
      </c>
      <c r="O3" s="8" t="s">
        <v>16</v>
      </c>
      <c r="P3" s="8" t="s">
        <v>17</v>
      </c>
      <c r="Q3" s="8" t="s">
        <v>18</v>
      </c>
      <c r="R3" s="8" t="s">
        <v>19</v>
      </c>
      <c r="S3" s="8" t="s">
        <v>20</v>
      </c>
      <c r="T3" s="8" t="s">
        <v>21</v>
      </c>
      <c r="U3" s="8" t="s">
        <v>22</v>
      </c>
      <c r="V3" s="8" t="s">
        <v>23</v>
      </c>
      <c r="W3" s="58"/>
      <c r="X3" s="8" t="s">
        <v>4</v>
      </c>
      <c r="Y3" s="8" t="s">
        <v>17</v>
      </c>
      <c r="Z3" s="8" t="s">
        <v>18</v>
      </c>
      <c r="AA3" s="8" t="s">
        <v>19</v>
      </c>
      <c r="AB3" s="8" t="s">
        <v>20</v>
      </c>
      <c r="AC3" s="59"/>
      <c r="AD3" s="60" t="s">
        <v>5</v>
      </c>
      <c r="AE3" s="60" t="s">
        <v>6</v>
      </c>
      <c r="AF3" s="61"/>
      <c r="AG3" s="3"/>
      <c r="AH3" s="3"/>
    </row>
    <row r="4" spans="1:34" ht="15" customHeight="1">
      <c r="A4" s="8" t="s">
        <v>24</v>
      </c>
      <c r="B4" s="10">
        <v>36</v>
      </c>
      <c r="C4" s="62" cm="1">
        <f t="array" ref="C4">F4/E4</f>
        <v>0.46268656716417911</v>
      </c>
      <c r="D4" s="10">
        <v>81</v>
      </c>
      <c r="E4" s="10">
        <v>67</v>
      </c>
      <c r="F4" s="10">
        <v>31</v>
      </c>
      <c r="G4" s="10">
        <v>22</v>
      </c>
      <c r="H4" s="10">
        <v>4</v>
      </c>
      <c r="I4" s="10">
        <v>3</v>
      </c>
      <c r="J4" s="10">
        <v>2</v>
      </c>
      <c r="K4" s="10">
        <v>43</v>
      </c>
      <c r="L4" s="10">
        <v>26</v>
      </c>
      <c r="M4" s="10">
        <v>39</v>
      </c>
      <c r="N4" s="10">
        <v>11</v>
      </c>
      <c r="O4" s="10">
        <v>15</v>
      </c>
      <c r="P4" s="19" cm="1">
        <f t="array" ref="P4">O4/D4</f>
        <v>0.18518518518518517</v>
      </c>
      <c r="Q4" s="13" cm="1">
        <f t="array" ref="Q4">(G4*1+H4*2+I4*3+J4*4)/E4</f>
        <v>0.70149253731343286</v>
      </c>
      <c r="R4" s="14" cm="1">
        <f t="array" ref="R4">(F4+N4)/D4</f>
        <v>0.51851851851851849</v>
      </c>
      <c r="S4" s="15" cm="1">
        <f t="array" ref="S4">R4+Q4</f>
        <v>1.2200110558319515</v>
      </c>
      <c r="T4" s="63" cm="1">
        <f t="array" ref="T4">O4/(D4-(F4+N4))</f>
        <v>0.38461538461538464</v>
      </c>
      <c r="U4" s="17" cm="1">
        <f t="array" ref="U4">RANK(R4,$R$4:$R$26)</f>
        <v>7</v>
      </c>
      <c r="V4" s="18" cm="1">
        <f t="array" ref="V4">RANK(S4,$S$4:$S$26)</f>
        <v>4</v>
      </c>
      <c r="W4" s="58"/>
      <c r="X4" s="64">
        <v>0.462686567164179</v>
      </c>
      <c r="Y4" s="65">
        <v>-0.81481481481481499</v>
      </c>
      <c r="Z4" s="64">
        <v>0.70149253731343297</v>
      </c>
      <c r="AA4" s="64">
        <v>0.51851851851851805</v>
      </c>
      <c r="AB4" s="64">
        <v>1.2200110558319499</v>
      </c>
      <c r="AC4" s="9"/>
      <c r="AD4" s="66">
        <v>60</v>
      </c>
      <c r="AE4" s="66">
        <v>51</v>
      </c>
      <c r="AF4" s="3"/>
      <c r="AG4" s="67" cm="1">
        <f t="array" ref="AG4">AB4*AD4</f>
        <v>73.200663349916994</v>
      </c>
      <c r="AH4" s="67" cm="1">
        <f t="array" ref="AH4">X4*AE4</f>
        <v>23.597014925373127</v>
      </c>
    </row>
    <row r="5" spans="1:34" ht="17.25" customHeight="1">
      <c r="A5" s="8" t="s">
        <v>25</v>
      </c>
      <c r="B5" s="10">
        <v>46</v>
      </c>
      <c r="C5" s="62" cm="1">
        <f t="array" ref="C5">F5/E5</f>
        <v>0.39240506329113922</v>
      </c>
      <c r="D5" s="10">
        <v>113</v>
      </c>
      <c r="E5" s="10">
        <v>79</v>
      </c>
      <c r="F5" s="10">
        <v>31</v>
      </c>
      <c r="G5" s="10">
        <v>15</v>
      </c>
      <c r="H5" s="10">
        <v>13</v>
      </c>
      <c r="I5" s="10">
        <v>2</v>
      </c>
      <c r="J5" s="10">
        <v>1</v>
      </c>
      <c r="K5" s="10">
        <v>38</v>
      </c>
      <c r="L5" s="10">
        <v>32</v>
      </c>
      <c r="M5" s="10">
        <v>23</v>
      </c>
      <c r="N5" s="10">
        <v>30</v>
      </c>
      <c r="O5" s="10">
        <v>20</v>
      </c>
      <c r="P5" s="19" cm="1">
        <f t="array" ref="P5">O5/D5</f>
        <v>0.17699115044247787</v>
      </c>
      <c r="Q5" s="13" cm="1">
        <f t="array" ref="Q5">(G5*1+H5*2+I5*3+J5*4)/E5</f>
        <v>0.64556962025316456</v>
      </c>
      <c r="R5" s="14" cm="1">
        <f t="array" ref="R5">(F5+N5)/D5</f>
        <v>0.53982300884955747</v>
      </c>
      <c r="S5" s="15" cm="1">
        <f t="array" ref="S5">R5+Q5</f>
        <v>1.1853926291027221</v>
      </c>
      <c r="T5" s="63" cm="1">
        <f t="array" ref="T5">O5/(D5-(F5+N5))</f>
        <v>0.38461538461538464</v>
      </c>
      <c r="U5" s="17" cm="1">
        <f t="array" ref="U5">RANK(R5,$R$4:$R$26)</f>
        <v>5</v>
      </c>
      <c r="V5" s="18" cm="1">
        <f t="array" ref="V5">RANK(S5,$S$4:$S$26)</f>
        <v>5</v>
      </c>
      <c r="W5" s="58"/>
      <c r="X5" s="64">
        <v>0.15711094564408001</v>
      </c>
      <c r="Y5" s="65">
        <v>-2.8891202498698601E-2</v>
      </c>
      <c r="Z5" s="64">
        <v>0.41027550260610601</v>
      </c>
      <c r="AA5" s="64">
        <v>-4.8412285268089598E-2</v>
      </c>
      <c r="AB5" s="64">
        <v>0.37793921295365401</v>
      </c>
      <c r="AC5" s="9"/>
      <c r="AD5" s="67">
        <v>109</v>
      </c>
      <c r="AE5" s="67">
        <v>75</v>
      </c>
      <c r="AF5" s="3"/>
      <c r="AG5" s="67" cm="1">
        <f t="array" ref="AG5">AB5*AD5</f>
        <v>41.195374211948284</v>
      </c>
      <c r="AH5" s="67" cm="1">
        <f t="array" ref="AH5">X5*AE5</f>
        <v>11.783320923306</v>
      </c>
    </row>
    <row r="6" spans="1:34" ht="17.25" customHeight="1">
      <c r="A6" s="8" t="s">
        <v>26</v>
      </c>
      <c r="B6" s="10">
        <v>66</v>
      </c>
      <c r="C6" s="62" cm="1">
        <f t="array" ref="C6">F6/E6</f>
        <v>0.54037267080745344</v>
      </c>
      <c r="D6" s="10">
        <v>192</v>
      </c>
      <c r="E6" s="10">
        <v>161</v>
      </c>
      <c r="F6" s="10">
        <v>87</v>
      </c>
      <c r="G6" s="10">
        <v>59</v>
      </c>
      <c r="H6" s="10">
        <v>22</v>
      </c>
      <c r="I6" s="10">
        <v>5</v>
      </c>
      <c r="J6" s="10">
        <v>1</v>
      </c>
      <c r="K6" s="10">
        <v>75</v>
      </c>
      <c r="L6" s="10">
        <v>80</v>
      </c>
      <c r="M6" s="10">
        <v>50</v>
      </c>
      <c r="N6" s="10">
        <v>29</v>
      </c>
      <c r="O6" s="10">
        <v>12</v>
      </c>
      <c r="P6" s="19" cm="1">
        <f t="array" ref="P6">O6/D6</f>
        <v>6.25E-2</v>
      </c>
      <c r="Q6" s="13" cm="1">
        <f t="array" ref="Q6">(G6*1+H6*2+I6*3+J6*4)/E6</f>
        <v>0.75776397515527949</v>
      </c>
      <c r="R6" s="14" cm="1">
        <f t="array" ref="R6">(F6+N6)/D6</f>
        <v>0.60416666666666663</v>
      </c>
      <c r="S6" s="15" cm="1">
        <f t="array" ref="S6">R6+Q6</f>
        <v>1.3619306418219461</v>
      </c>
      <c r="T6" s="63" cm="1">
        <f t="array" ref="T6">O6/(D6-(F6+N6))</f>
        <v>0.15789473684210525</v>
      </c>
      <c r="U6" s="17" cm="1">
        <f t="array" ref="U6">RANK(R6,$R$4:$R$26)</f>
        <v>1</v>
      </c>
      <c r="V6" s="18" cm="1">
        <f t="array" ref="V6">RANK(S6,$S$4:$S$26)</f>
        <v>1</v>
      </c>
      <c r="W6" s="58"/>
      <c r="X6" s="64">
        <v>-9.6273291925466093E-3</v>
      </c>
      <c r="Y6" s="65">
        <v>-1.6025641025640999E-3</v>
      </c>
      <c r="Z6" s="64">
        <v>2.4430641821946202E-2</v>
      </c>
      <c r="AA6" s="64">
        <v>-2.4038461538461599E-2</v>
      </c>
      <c r="AB6" s="64">
        <v>0.26693064182194598</v>
      </c>
      <c r="AC6" s="9"/>
      <c r="AD6" s="67">
        <v>176</v>
      </c>
      <c r="AE6" s="67">
        <v>150</v>
      </c>
      <c r="AF6" s="3"/>
      <c r="AG6" s="67" cm="1">
        <f t="array" ref="AG6">AB6*AD6</f>
        <v>46.979792960662493</v>
      </c>
      <c r="AH6" s="67" cm="1">
        <f t="array" ref="AH6">X6*AE6</f>
        <v>-1.4440993788819914</v>
      </c>
    </row>
    <row r="7" spans="1:34" ht="17.25" customHeight="1">
      <c r="A7" s="8" t="s">
        <v>27</v>
      </c>
      <c r="B7" s="10">
        <v>15</v>
      </c>
      <c r="C7" s="62" cm="1">
        <f t="array" ref="C7">F7/E7</f>
        <v>0.33333333333333331</v>
      </c>
      <c r="D7" s="10">
        <v>31</v>
      </c>
      <c r="E7" s="10">
        <v>24</v>
      </c>
      <c r="F7" s="10">
        <v>8</v>
      </c>
      <c r="G7" s="10">
        <v>6</v>
      </c>
      <c r="H7" s="10">
        <v>1</v>
      </c>
      <c r="I7" s="10">
        <v>1</v>
      </c>
      <c r="J7" s="10">
        <v>0</v>
      </c>
      <c r="K7" s="10">
        <v>11</v>
      </c>
      <c r="L7" s="10">
        <v>11</v>
      </c>
      <c r="M7" s="10">
        <v>9</v>
      </c>
      <c r="N7" s="10">
        <v>7</v>
      </c>
      <c r="O7" s="10">
        <v>8</v>
      </c>
      <c r="P7" s="19" cm="1">
        <f t="array" ref="P7">O7/D7</f>
        <v>0.25806451612903225</v>
      </c>
      <c r="Q7" s="13" cm="1">
        <f t="array" ref="Q7">(G7*1+H7*2+I7*3+J7*4)/E7</f>
        <v>0.45833333333333331</v>
      </c>
      <c r="R7" s="14" cm="1">
        <f t="array" ref="R7">(F7+N7)/D7</f>
        <v>0.4838709677419355</v>
      </c>
      <c r="S7" s="15" cm="1">
        <f t="array" ref="S7">R7+Q7</f>
        <v>0.94220430107526876</v>
      </c>
      <c r="T7" s="63" cm="1">
        <f t="array" ref="T7">O7/(D7-(F7+N7))</f>
        <v>0.5</v>
      </c>
      <c r="U7" s="17" cm="1">
        <f t="array" ref="U7">RANK(R7,$R$4:$R$26)</f>
        <v>10</v>
      </c>
      <c r="V7" s="18" cm="1">
        <f t="array" ref="V7">RANK(S7,$S$4:$S$26)</f>
        <v>11</v>
      </c>
      <c r="W7" s="58"/>
      <c r="X7" s="64">
        <v>0.33333333333333298</v>
      </c>
      <c r="Y7" s="65">
        <v>0.25806451612903197</v>
      </c>
      <c r="Z7" s="64">
        <v>0.45833333333333298</v>
      </c>
      <c r="AA7" s="64">
        <v>0.483870967741935</v>
      </c>
      <c r="AB7" s="64">
        <v>0.94220430107526898</v>
      </c>
      <c r="AC7" s="9"/>
      <c r="AD7" s="67">
        <v>11</v>
      </c>
      <c r="AE7" s="67">
        <v>11</v>
      </c>
      <c r="AF7" s="3"/>
      <c r="AG7" s="67" cm="1">
        <f t="array" ref="AG7">AB7*AD7</f>
        <v>10.36424731182796</v>
      </c>
      <c r="AH7" s="67" cm="1">
        <f t="array" ref="AH7">X7*AE7</f>
        <v>3.666666666666663</v>
      </c>
    </row>
    <row r="8" spans="1:34" ht="17.25" customHeight="1">
      <c r="A8" s="8" t="s">
        <v>28</v>
      </c>
      <c r="B8" s="10">
        <v>53</v>
      </c>
      <c r="C8" s="62" cm="1">
        <f t="array" ref="C8">F8/E8</f>
        <v>0.37755102040816324</v>
      </c>
      <c r="D8" s="10">
        <v>128</v>
      </c>
      <c r="E8" s="10">
        <v>98</v>
      </c>
      <c r="F8" s="10">
        <v>37</v>
      </c>
      <c r="G8" s="10">
        <v>26</v>
      </c>
      <c r="H8" s="10">
        <v>7</v>
      </c>
      <c r="I8" s="10">
        <v>3</v>
      </c>
      <c r="J8" s="10">
        <v>1</v>
      </c>
      <c r="K8" s="10">
        <v>41</v>
      </c>
      <c r="L8" s="10">
        <v>36</v>
      </c>
      <c r="M8" s="10">
        <v>21</v>
      </c>
      <c r="N8" s="10">
        <v>28</v>
      </c>
      <c r="O8" s="10">
        <v>25</v>
      </c>
      <c r="P8" s="19" cm="1">
        <f t="array" ref="P8">O8/D8</f>
        <v>0.1953125</v>
      </c>
      <c r="Q8" s="13" cm="1">
        <f t="array" ref="Q8">(G8*1+H8*2+I8*3+J8*4)/E8</f>
        <v>0.54081632653061229</v>
      </c>
      <c r="R8" s="14" cm="1">
        <f t="array" ref="R8">(F8+N8)/D8</f>
        <v>0.5078125</v>
      </c>
      <c r="S8" s="15" cm="1">
        <f t="array" ref="S8">R8+Q8</f>
        <v>1.0486288265306123</v>
      </c>
      <c r="T8" s="63" cm="1">
        <f t="array" ref="T8">O8/(D8-(F8+N8))</f>
        <v>0.3968253968253968</v>
      </c>
      <c r="U8" s="17" cm="1">
        <f t="array" ref="U8">RANK(R8,$R$4:$R$26)</f>
        <v>8</v>
      </c>
      <c r="V8" s="18" cm="1">
        <f t="array" ref="V8">RANK(S8,$S$4:$S$26)</f>
        <v>8</v>
      </c>
      <c r="W8" s="58"/>
      <c r="X8" s="64">
        <v>1.08843537414966E-2</v>
      </c>
      <c r="Y8" s="65">
        <v>8.6458333333333196E-3</v>
      </c>
      <c r="Z8" s="64">
        <v>-9.1836734693877507E-3</v>
      </c>
      <c r="AA8" s="64">
        <v>2.78125E-2</v>
      </c>
      <c r="AB8" s="64">
        <v>5.1930713323065099E-2</v>
      </c>
      <c r="AC8" s="9"/>
      <c r="AD8" s="67">
        <v>34</v>
      </c>
      <c r="AE8" s="67">
        <v>22</v>
      </c>
      <c r="AF8" s="3"/>
      <c r="AG8" s="67" cm="1">
        <f t="array" ref="AG8">AB8*AD8</f>
        <v>1.7656442529842133</v>
      </c>
      <c r="AH8" s="67" cm="1">
        <f t="array" ref="AH8">X8*AE8</f>
        <v>0.23945578231292519</v>
      </c>
    </row>
    <row r="9" spans="1:34" ht="17.25" customHeight="1">
      <c r="A9" s="8" t="s">
        <v>29</v>
      </c>
      <c r="B9" s="10">
        <v>35</v>
      </c>
      <c r="C9" s="62" cm="1">
        <f t="array" ref="C9">F9/E9</f>
        <v>0.3</v>
      </c>
      <c r="D9" s="10">
        <v>78</v>
      </c>
      <c r="E9" s="10">
        <v>70</v>
      </c>
      <c r="F9" s="10">
        <v>21</v>
      </c>
      <c r="G9" s="10">
        <v>17</v>
      </c>
      <c r="H9" s="10">
        <v>4</v>
      </c>
      <c r="I9" s="10">
        <v>0</v>
      </c>
      <c r="J9" s="10">
        <v>0</v>
      </c>
      <c r="K9" s="10">
        <v>20</v>
      </c>
      <c r="L9" s="10">
        <v>13</v>
      </c>
      <c r="M9" s="10">
        <v>24</v>
      </c>
      <c r="N9" s="10">
        <v>12</v>
      </c>
      <c r="O9" s="10">
        <v>23</v>
      </c>
      <c r="P9" s="19" cm="1">
        <f t="array" ref="P9">O9/D9</f>
        <v>0.29487179487179488</v>
      </c>
      <c r="Q9" s="13" cm="1">
        <f t="array" ref="Q9">(G9*1+H9*2+I9*3+J9*4)/E9</f>
        <v>0.35714285714285715</v>
      </c>
      <c r="R9" s="14" cm="1">
        <f t="array" ref="R9">(F9+N9)/D9</f>
        <v>0.42307692307692307</v>
      </c>
      <c r="S9" s="15" cm="1">
        <f t="array" ref="S9">R9+Q9</f>
        <v>0.78021978021978022</v>
      </c>
      <c r="T9" s="63" cm="1">
        <f t="array" ref="T9">O9/(D9-(F9+N9))</f>
        <v>0.51111111111111107</v>
      </c>
      <c r="U9" s="17" cm="1">
        <f t="array" ref="U9">RANK(R9,$R$4:$R$26)</f>
        <v>18</v>
      </c>
      <c r="V9" s="18" cm="1">
        <f t="array" ref="V9">RANK(S9,$S$4:$S$26)</f>
        <v>18</v>
      </c>
      <c r="W9" s="58"/>
      <c r="X9" s="64">
        <v>7.4193548387096797E-2</v>
      </c>
      <c r="Y9" s="65">
        <v>-9.9865047233468299E-2</v>
      </c>
      <c r="Z9" s="64">
        <v>9.90783410138249E-2</v>
      </c>
      <c r="AA9" s="64">
        <v>5.4655870445344097E-2</v>
      </c>
      <c r="AB9" s="64">
        <v>0.26232504337767498</v>
      </c>
      <c r="AC9" s="9"/>
      <c r="AD9" s="3"/>
      <c r="AE9" s="3"/>
      <c r="AF9" s="3"/>
      <c r="AG9" s="3"/>
      <c r="AH9" s="3"/>
    </row>
    <row r="10" spans="1:34" ht="17.25" customHeight="1">
      <c r="A10" s="8" t="s">
        <v>69</v>
      </c>
      <c r="B10" s="10">
        <v>22</v>
      </c>
      <c r="C10" s="62" cm="1">
        <f t="array" ref="C10">F10/E10</f>
        <v>0.43137254901960786</v>
      </c>
      <c r="D10" s="10">
        <v>62</v>
      </c>
      <c r="E10" s="10">
        <v>51</v>
      </c>
      <c r="F10" s="10">
        <v>22</v>
      </c>
      <c r="G10" s="10">
        <v>17</v>
      </c>
      <c r="H10" s="10">
        <v>5</v>
      </c>
      <c r="I10" s="10">
        <v>0</v>
      </c>
      <c r="J10" s="10">
        <v>0</v>
      </c>
      <c r="K10" s="10">
        <v>15</v>
      </c>
      <c r="L10" s="10">
        <v>19</v>
      </c>
      <c r="M10" s="10">
        <v>18</v>
      </c>
      <c r="N10" s="10">
        <v>11</v>
      </c>
      <c r="O10" s="10">
        <v>3</v>
      </c>
      <c r="P10" s="19" cm="1">
        <f t="array" ref="P10">O10/D10</f>
        <v>4.8387096774193547E-2</v>
      </c>
      <c r="Q10" s="13" cm="1">
        <f t="array" ref="Q10">(G10*1+H10*2+I10*3+J10*4)/E10</f>
        <v>0.52941176470588236</v>
      </c>
      <c r="R10" s="14" cm="1">
        <f t="array" ref="R10">(F10+N10)/D10</f>
        <v>0.532258064516129</v>
      </c>
      <c r="S10" s="15" cm="1">
        <f t="array" ref="S10">R10+Q10</f>
        <v>1.0616698292220113</v>
      </c>
      <c r="T10" s="63" cm="1">
        <f t="array" ref="T10">O10/(D10-(F10+N10))</f>
        <v>0.10344827586206896</v>
      </c>
      <c r="U10" s="17" cm="1">
        <f t="array" ref="U10">RANK(R10,$R$4:$R$26)</f>
        <v>6</v>
      </c>
      <c r="V10" s="18" cm="1">
        <f t="array" ref="V10">RANK(S10,$S$4:$S$26)</f>
        <v>7</v>
      </c>
      <c r="W10" s="58"/>
      <c r="X10" s="64">
        <v>-8.1785345717234295E-2</v>
      </c>
      <c r="Y10" s="65">
        <v>-3.6719286204529897E-2</v>
      </c>
      <c r="Z10" s="64">
        <v>-0.19427244582043299</v>
      </c>
      <c r="AA10" s="64">
        <v>-5.2848318462594399E-2</v>
      </c>
      <c r="AB10" s="64">
        <v>-0.43833017077798903</v>
      </c>
      <c r="AC10" s="9"/>
      <c r="AD10" s="3"/>
      <c r="AE10" s="3"/>
      <c r="AF10" s="3"/>
      <c r="AG10" s="3"/>
      <c r="AH10" s="3"/>
    </row>
    <row r="11" spans="1:34" ht="17.25" customHeight="1">
      <c r="A11" s="8" t="s">
        <v>30</v>
      </c>
      <c r="B11" s="10">
        <v>72</v>
      </c>
      <c r="C11" s="62" cm="1">
        <f t="array" ref="C11">F11/E11</f>
        <v>0.51851851851851849</v>
      </c>
      <c r="D11" s="10">
        <v>205</v>
      </c>
      <c r="E11" s="10">
        <v>162</v>
      </c>
      <c r="F11" s="10">
        <v>84</v>
      </c>
      <c r="G11" s="10">
        <v>63</v>
      </c>
      <c r="H11" s="10">
        <v>13</v>
      </c>
      <c r="I11" s="10">
        <v>9</v>
      </c>
      <c r="J11" s="10">
        <v>1</v>
      </c>
      <c r="K11" s="10">
        <v>85</v>
      </c>
      <c r="L11" s="10">
        <v>58</v>
      </c>
      <c r="M11" s="10">
        <v>95</v>
      </c>
      <c r="N11" s="10">
        <v>37</v>
      </c>
      <c r="O11" s="10">
        <v>17</v>
      </c>
      <c r="P11" s="19" cm="1">
        <f t="array" ref="P11">O11/D11</f>
        <v>8.2926829268292687E-2</v>
      </c>
      <c r="Q11" s="13" cm="1">
        <f t="array" ref="Q11">(G11*1+H11*2+I11*3+J11*4)/E11</f>
        <v>0.7407407407407407</v>
      </c>
      <c r="R11" s="14" cm="1">
        <f t="array" ref="R11">(F11+N11)/D11</f>
        <v>0.59024390243902436</v>
      </c>
      <c r="S11" s="15" cm="1">
        <f t="array" ref="S11">R11+Q11</f>
        <v>1.3309846431797649</v>
      </c>
      <c r="T11" s="63" cm="1">
        <f t="array" ref="T11">O11/(D11-(F11+N11))</f>
        <v>0.20238095238095238</v>
      </c>
      <c r="U11" s="17" cm="1">
        <f t="array" ref="U11">RANK(R11,$R$4:$R$26)</f>
        <v>2</v>
      </c>
      <c r="V11" s="18" cm="1">
        <f t="array" ref="V11">RANK(S11,$S$4:$S$26)</f>
        <v>2</v>
      </c>
      <c r="W11" s="58"/>
      <c r="X11" s="64">
        <v>5.3606237816763401E-3</v>
      </c>
      <c r="Y11" s="65">
        <v>-2.1795537104307098E-3</v>
      </c>
      <c r="Z11" s="64">
        <v>1.7056530214424898E-2</v>
      </c>
      <c r="AA11" s="64">
        <v>5.1375194603009398E-3</v>
      </c>
      <c r="AB11" s="64">
        <v>-0.169015356820235</v>
      </c>
      <c r="AC11" s="9"/>
      <c r="AD11" s="67">
        <v>158</v>
      </c>
      <c r="AE11" s="67">
        <v>126</v>
      </c>
      <c r="AF11" s="3"/>
      <c r="AG11" s="67" cm="1">
        <f t="array" ref="AG11">AB11*AD11</f>
        <v>-26.70442637759713</v>
      </c>
      <c r="AH11" s="67" cm="1">
        <f t="array" ref="AH11">X11*AE11</f>
        <v>0.67543859649121885</v>
      </c>
    </row>
    <row r="12" spans="1:34" ht="17.25" customHeight="1">
      <c r="A12" s="8" t="s">
        <v>31</v>
      </c>
      <c r="B12" s="10">
        <v>50</v>
      </c>
      <c r="C12" s="62" cm="1">
        <f t="array" ref="C12">F12/E12</f>
        <v>0.33663366336633666</v>
      </c>
      <c r="D12" s="10">
        <v>121</v>
      </c>
      <c r="E12" s="10">
        <v>101</v>
      </c>
      <c r="F12" s="10">
        <v>34</v>
      </c>
      <c r="G12" s="10">
        <v>31</v>
      </c>
      <c r="H12" s="10">
        <v>3</v>
      </c>
      <c r="I12" s="10">
        <v>0</v>
      </c>
      <c r="J12" s="10">
        <v>0</v>
      </c>
      <c r="K12" s="10">
        <v>41</v>
      </c>
      <c r="L12" s="10">
        <v>25</v>
      </c>
      <c r="M12" s="10">
        <v>28</v>
      </c>
      <c r="N12" s="10">
        <v>20</v>
      </c>
      <c r="O12" s="10">
        <v>22</v>
      </c>
      <c r="P12" s="19" cm="1">
        <f t="array" ref="P12">O12/D12</f>
        <v>0.18181818181818182</v>
      </c>
      <c r="Q12" s="13" cm="1">
        <f t="array" ref="Q12">(G12*1+H12*2+I12*3+J12*4)/E12</f>
        <v>0.36633663366336633</v>
      </c>
      <c r="R12" s="14" cm="1">
        <f t="array" ref="R12">(F12+N12)/D12</f>
        <v>0.4462809917355372</v>
      </c>
      <c r="S12" s="15" cm="1">
        <f t="array" ref="S12">R12+Q12</f>
        <v>0.81261762539890348</v>
      </c>
      <c r="T12" s="63" cm="1">
        <f t="array" ref="T12">O12/(D12-(F12+N12))</f>
        <v>0.32835820895522388</v>
      </c>
      <c r="U12" s="17" cm="1">
        <f t="array" ref="U12">RANK(R12,$R$4:$R$26)</f>
        <v>14</v>
      </c>
      <c r="V12" s="18" cm="1">
        <f t="array" ref="V12">RANK(S12,$S$4:$S$26)</f>
        <v>17</v>
      </c>
      <c r="W12" s="58"/>
      <c r="X12" s="64">
        <v>5.5383663366336697E-2</v>
      </c>
      <c r="Y12" s="65">
        <v>-4.0404040404040401E-2</v>
      </c>
      <c r="Z12" s="64">
        <v>5.3836633663366301E-2</v>
      </c>
      <c r="AA12" s="64">
        <v>8.5169880624426098E-2</v>
      </c>
      <c r="AB12" s="64">
        <v>0.22255551359766099</v>
      </c>
      <c r="AC12" s="9"/>
      <c r="AD12" s="3"/>
      <c r="AE12" s="3"/>
      <c r="AF12" s="3"/>
      <c r="AG12" s="3"/>
      <c r="AH12" s="3"/>
    </row>
    <row r="13" spans="1:34" ht="17.25" customHeight="1">
      <c r="A13" s="8" t="s">
        <v>32</v>
      </c>
      <c r="B13" s="10">
        <v>28</v>
      </c>
      <c r="C13" s="62" cm="1">
        <f t="array" ref="C13">F13/E13</f>
        <v>0.34210526315789475</v>
      </c>
      <c r="D13" s="10">
        <v>56</v>
      </c>
      <c r="E13" s="10">
        <v>38</v>
      </c>
      <c r="F13" s="10">
        <v>13</v>
      </c>
      <c r="G13" s="10">
        <v>10</v>
      </c>
      <c r="H13" s="10">
        <v>2</v>
      </c>
      <c r="I13" s="10">
        <v>1</v>
      </c>
      <c r="J13" s="10">
        <v>0</v>
      </c>
      <c r="K13" s="10">
        <v>21</v>
      </c>
      <c r="L13" s="10">
        <v>11</v>
      </c>
      <c r="M13" s="10">
        <v>15</v>
      </c>
      <c r="N13" s="10">
        <v>11</v>
      </c>
      <c r="O13" s="10">
        <v>4</v>
      </c>
      <c r="P13" s="19" cm="1">
        <f t="array" ref="P13">O13/D13</f>
        <v>7.1428571428571425E-2</v>
      </c>
      <c r="Q13" s="13" cm="1">
        <f t="array" ref="Q13">(G13*1+H13*2+I13*3+J13*4)/E13</f>
        <v>0.44736842105263158</v>
      </c>
      <c r="R13" s="14" cm="1">
        <f t="array" ref="R13">(F13+N13)/D13</f>
        <v>0.42857142857142855</v>
      </c>
      <c r="S13" s="15" cm="1">
        <f t="array" ref="S13">R13+Q13</f>
        <v>0.87593984962406013</v>
      </c>
      <c r="T13" s="63" cm="1">
        <f t="array" ref="T13">O13/(D13-(F13+N13))</f>
        <v>0.125</v>
      </c>
      <c r="U13" s="17" cm="1">
        <f t="array" ref="U13">RANK(R13,$R$4:$R$26)</f>
        <v>16</v>
      </c>
      <c r="V13" s="18" cm="1">
        <f t="array" ref="V13">RANK(S13,$S$4:$S$26)</f>
        <v>14</v>
      </c>
      <c r="W13" s="58"/>
      <c r="X13" s="64">
        <v>0.175438596491228</v>
      </c>
      <c r="Y13" s="65">
        <v>-3.9682539682539701E-2</v>
      </c>
      <c r="Z13" s="64">
        <v>0.28070175438596501</v>
      </c>
      <c r="AA13" s="64">
        <v>0.317460317460317</v>
      </c>
      <c r="AB13" s="64">
        <v>0.59816207184628201</v>
      </c>
      <c r="AC13" s="9"/>
      <c r="AD13" s="67">
        <v>-15</v>
      </c>
      <c r="AE13" s="67">
        <v>-25</v>
      </c>
      <c r="AF13" s="3"/>
      <c r="AG13" s="67" cm="1">
        <f t="array" ref="AG13">AB13*AD13</f>
        <v>-8.97243107769423</v>
      </c>
      <c r="AH13" s="67" cm="1">
        <f t="array" ref="AH13">X13*AE13</f>
        <v>-4.3859649122807003</v>
      </c>
    </row>
    <row r="14" spans="1:34" ht="17.25" customHeight="1">
      <c r="A14" s="8" t="s">
        <v>33</v>
      </c>
      <c r="B14" s="10">
        <v>54</v>
      </c>
      <c r="C14" s="62" cm="1">
        <f t="array" ref="C14">F14/E14</f>
        <v>0.48760330578512395</v>
      </c>
      <c r="D14" s="10">
        <v>145</v>
      </c>
      <c r="E14" s="10">
        <v>121</v>
      </c>
      <c r="F14" s="10">
        <v>59</v>
      </c>
      <c r="G14" s="10">
        <v>35</v>
      </c>
      <c r="H14" s="10">
        <v>21</v>
      </c>
      <c r="I14" s="10">
        <v>2</v>
      </c>
      <c r="J14" s="10">
        <v>1</v>
      </c>
      <c r="K14" s="10">
        <v>45</v>
      </c>
      <c r="L14" s="10">
        <v>51</v>
      </c>
      <c r="M14" s="10">
        <v>22</v>
      </c>
      <c r="N14" s="10">
        <v>23</v>
      </c>
      <c r="O14" s="10">
        <v>6</v>
      </c>
      <c r="P14" s="19" cm="1">
        <f t="array" ref="P14">O14/D14</f>
        <v>4.1379310344827586E-2</v>
      </c>
      <c r="Q14" s="13" cm="1">
        <f t="array" ref="Q14">(G14*1+H14*2+I14*3+J14*4)/E14</f>
        <v>0.71900826446280997</v>
      </c>
      <c r="R14" s="14" cm="1">
        <f t="array" ref="R14">(F14+N14)/D14</f>
        <v>0.56551724137931036</v>
      </c>
      <c r="S14" s="15" cm="1">
        <f t="array" ref="S14">R14+Q14</f>
        <v>1.2845255058421203</v>
      </c>
      <c r="T14" s="63" cm="1">
        <f t="array" ref="T14">O14/(D14-(F14+N14))</f>
        <v>9.5238095238095233E-2</v>
      </c>
      <c r="U14" s="17" cm="1">
        <f t="array" ref="U14">RANK(R14,$R$4:$R$26)</f>
        <v>3</v>
      </c>
      <c r="V14" s="18" cm="1">
        <f t="array" ref="V14">RANK(S14,$S$4:$S$26)</f>
        <v>3</v>
      </c>
      <c r="W14" s="58"/>
      <c r="X14" s="64">
        <v>-3.16274634456453E-2</v>
      </c>
      <c r="Y14" s="65">
        <v>-4.48275862068966E-2</v>
      </c>
      <c r="Z14" s="64">
        <v>-0.14637635092180501</v>
      </c>
      <c r="AA14" s="64">
        <v>1.37931034482759E-2</v>
      </c>
      <c r="AB14" s="64">
        <v>-0.12733346851685401</v>
      </c>
      <c r="AC14" s="9"/>
      <c r="AD14" s="67">
        <v>67</v>
      </c>
      <c r="AE14" s="67">
        <v>61</v>
      </c>
      <c r="AF14" s="3"/>
      <c r="AG14" s="67" cm="1">
        <f t="array" ref="AG14">AB14*AD14</f>
        <v>-8.5313423906292183</v>
      </c>
      <c r="AH14" s="67" cm="1">
        <f t="array" ref="AH14">X14*AE14</f>
        <v>-1.9292752701843634</v>
      </c>
    </row>
    <row r="15" spans="1:34" ht="17.25" customHeight="1">
      <c r="A15" s="8" t="s">
        <v>35</v>
      </c>
      <c r="B15" s="10">
        <v>47</v>
      </c>
      <c r="C15" s="62" cm="1">
        <f t="array" ref="C15">F15/E15</f>
        <v>0.27058823529411763</v>
      </c>
      <c r="D15" s="10">
        <v>115</v>
      </c>
      <c r="E15" s="10">
        <v>85</v>
      </c>
      <c r="F15" s="10">
        <v>23</v>
      </c>
      <c r="G15" s="10">
        <v>20</v>
      </c>
      <c r="H15" s="10">
        <v>3</v>
      </c>
      <c r="I15" s="10">
        <v>0</v>
      </c>
      <c r="J15" s="10">
        <v>0</v>
      </c>
      <c r="K15" s="10">
        <v>27</v>
      </c>
      <c r="L15" s="10">
        <v>24</v>
      </c>
      <c r="M15" s="10">
        <v>18</v>
      </c>
      <c r="N15" s="10">
        <v>25</v>
      </c>
      <c r="O15" s="10">
        <v>33</v>
      </c>
      <c r="P15" s="19" cm="1">
        <f t="array" ref="P15">O15/D15</f>
        <v>0.28695652173913044</v>
      </c>
      <c r="Q15" s="13" cm="1">
        <f t="array" ref="Q15">(G15*1+H15*2+I15*3+J15*4)/E15</f>
        <v>0.30588235294117649</v>
      </c>
      <c r="R15" s="14" cm="1">
        <f t="array" ref="R15">(F15+N15)/D15</f>
        <v>0.41739130434782606</v>
      </c>
      <c r="S15" s="15" cm="1">
        <f t="array" ref="S15">R15+Q15</f>
        <v>0.72327365728900261</v>
      </c>
      <c r="T15" s="63" cm="1">
        <f t="array" ref="T15">O15/(D15-(F15+N15))</f>
        <v>0.4925373134328358</v>
      </c>
      <c r="U15" s="17" cm="1">
        <f t="array" ref="U15">RANK(R15,$R$4:$R$26)</f>
        <v>19</v>
      </c>
      <c r="V15" s="18" cm="1">
        <f t="array" ref="V15">RANK(S15,$S$4:$S$26)</f>
        <v>20</v>
      </c>
      <c r="W15" s="58"/>
      <c r="X15" s="64">
        <v>0.116742081447964</v>
      </c>
      <c r="Y15" s="65">
        <v>-6.3043478260869507E-2</v>
      </c>
      <c r="Z15" s="64">
        <v>0.152036199095023</v>
      </c>
      <c r="AA15" s="64">
        <v>0.11739130434782601</v>
      </c>
      <c r="AB15" s="64">
        <v>0.26942750344284899</v>
      </c>
      <c r="AC15" s="9"/>
      <c r="AD15" s="67">
        <v>40</v>
      </c>
      <c r="AE15" s="67">
        <v>25</v>
      </c>
      <c r="AF15" s="3"/>
      <c r="AG15" s="67" cm="1">
        <f t="array" ref="AG15">AB15*AD15</f>
        <v>10.77710013771396</v>
      </c>
      <c r="AH15" s="67" cm="1">
        <f t="array" ref="AH15">X15*AE15</f>
        <v>2.9185520361990998</v>
      </c>
    </row>
    <row r="16" spans="1:34" ht="17.25" customHeight="1">
      <c r="A16" s="8" t="s">
        <v>36</v>
      </c>
      <c r="B16" s="10">
        <v>45</v>
      </c>
      <c r="C16" s="62" cm="1">
        <f t="array" ref="C16">F16/E16</f>
        <v>0.352112676056338</v>
      </c>
      <c r="D16" s="10">
        <v>84</v>
      </c>
      <c r="E16" s="10">
        <v>71</v>
      </c>
      <c r="F16" s="10">
        <v>25</v>
      </c>
      <c r="G16" s="10">
        <v>18</v>
      </c>
      <c r="H16" s="10">
        <v>7</v>
      </c>
      <c r="I16" s="10">
        <v>0</v>
      </c>
      <c r="J16" s="10">
        <v>0</v>
      </c>
      <c r="K16" s="10">
        <v>24</v>
      </c>
      <c r="L16" s="10">
        <v>25</v>
      </c>
      <c r="M16" s="10">
        <v>16</v>
      </c>
      <c r="N16" s="10">
        <v>12</v>
      </c>
      <c r="O16" s="10">
        <v>13</v>
      </c>
      <c r="P16" s="19" cm="1">
        <f t="array" ref="P16">O16/D16</f>
        <v>0.15476190476190477</v>
      </c>
      <c r="Q16" s="13" cm="1">
        <f t="array" ref="Q16">(G16*1+H16*2+I16*3+J16*4)/E16</f>
        <v>0.45070422535211269</v>
      </c>
      <c r="R16" s="14" cm="1">
        <f t="array" ref="R16">(F16+N16)/D16</f>
        <v>0.44047619047619047</v>
      </c>
      <c r="S16" s="15" cm="1">
        <f t="array" ref="S16">R16+Q16</f>
        <v>0.89118041582830321</v>
      </c>
      <c r="T16" s="63" cm="1">
        <f t="array" ref="T16">O16/(D16-(F16+N16))</f>
        <v>0.27659574468085107</v>
      </c>
      <c r="U16" s="17" cm="1">
        <f t="array" ref="U16">RANK(R16,$R$4:$R$26)</f>
        <v>15</v>
      </c>
      <c r="V16" s="18" cm="1">
        <f t="array" ref="V16">RANK(S16,$S$4:$S$26)</f>
        <v>13</v>
      </c>
      <c r="W16" s="58"/>
      <c r="X16" s="64">
        <v>-2.2887323943662E-2</v>
      </c>
      <c r="Y16" s="65">
        <v>1.1904761904761901E-2</v>
      </c>
      <c r="Z16" s="64">
        <v>-4.92957746478873E-2</v>
      </c>
      <c r="AA16" s="64">
        <v>-8.3333333333333398E-2</v>
      </c>
      <c r="AB16" s="64">
        <v>-5.3264028616141199E-2</v>
      </c>
      <c r="AC16" s="9"/>
      <c r="AD16" s="67">
        <v>48</v>
      </c>
      <c r="AE16" s="67">
        <v>39</v>
      </c>
      <c r="AF16" s="3"/>
      <c r="AG16" s="67" cm="1">
        <f t="array" ref="AG16">AB16*AD16</f>
        <v>-2.5566733735747773</v>
      </c>
      <c r="AH16" s="67" cm="1">
        <f t="array" ref="AH16">X16*AE16</f>
        <v>-0.89260563380281799</v>
      </c>
    </row>
    <row r="17" spans="1:34" ht="17.25" customHeight="1">
      <c r="A17" s="8" t="s">
        <v>37</v>
      </c>
      <c r="B17" s="10">
        <v>43</v>
      </c>
      <c r="C17" s="62" cm="1">
        <f t="array" ref="C17">F17/E17</f>
        <v>0.3707865168539326</v>
      </c>
      <c r="D17" s="10">
        <v>117</v>
      </c>
      <c r="E17" s="10">
        <v>89</v>
      </c>
      <c r="F17" s="10">
        <v>33</v>
      </c>
      <c r="G17" s="10">
        <v>26</v>
      </c>
      <c r="H17" s="10">
        <v>3</v>
      </c>
      <c r="I17" s="10">
        <v>4</v>
      </c>
      <c r="J17" s="10">
        <v>0</v>
      </c>
      <c r="K17" s="10">
        <v>37</v>
      </c>
      <c r="L17" s="10">
        <v>18</v>
      </c>
      <c r="M17" s="10">
        <v>35</v>
      </c>
      <c r="N17" s="10">
        <v>26</v>
      </c>
      <c r="O17" s="10">
        <v>19</v>
      </c>
      <c r="P17" s="19" cm="1">
        <f t="array" ref="P17">O17/D17</f>
        <v>0.1623931623931624</v>
      </c>
      <c r="Q17" s="13" cm="1">
        <f t="array" ref="Q17">(G17*1+H17*2+I17*3+J17*4)/E17</f>
        <v>0.4943820224719101</v>
      </c>
      <c r="R17" s="14" cm="1">
        <f t="array" ref="R17">(F17+N17)/D17</f>
        <v>0.50427350427350426</v>
      </c>
      <c r="S17" s="15" cm="1">
        <f t="array" ref="S17">R17+Q17</f>
        <v>0.99865552674541436</v>
      </c>
      <c r="T17" s="63" cm="1">
        <f t="array" ref="T17">O17/(D17-(F17+N17))</f>
        <v>0.32758620689655171</v>
      </c>
      <c r="U17" s="17" cm="1">
        <f t="array" ref="U17">RANK(R17,$R$4:$R$26)</f>
        <v>9</v>
      </c>
      <c r="V17" s="18" cm="1">
        <f t="array" ref="V17">RANK(S17,$S$4:$S$26)</f>
        <v>9</v>
      </c>
      <c r="W17" s="58"/>
      <c r="X17" s="64">
        <v>7.0786516853932599E-2</v>
      </c>
      <c r="Y17" s="65">
        <v>-0.170940170940171</v>
      </c>
      <c r="Z17" s="64">
        <v>9.4382022471910104E-2</v>
      </c>
      <c r="AA17" s="64">
        <v>8.7606837606837601E-2</v>
      </c>
      <c r="AB17" s="64">
        <v>0.18198886007874801</v>
      </c>
      <c r="AC17" s="9"/>
      <c r="AD17" s="67">
        <v>59</v>
      </c>
      <c r="AE17" s="67">
        <v>37</v>
      </c>
      <c r="AF17" s="3"/>
      <c r="AG17" s="67" cm="1">
        <f t="array" ref="AG17">AB17*AD17</f>
        <v>10.737342744646133</v>
      </c>
      <c r="AH17" s="67" cm="1">
        <f t="array" ref="AH17">X17*AE17</f>
        <v>2.619101123595506</v>
      </c>
    </row>
    <row r="18" spans="1:34" ht="17.25" customHeight="1">
      <c r="A18" s="8" t="s">
        <v>38</v>
      </c>
      <c r="B18" s="10">
        <v>56</v>
      </c>
      <c r="C18" s="62" cm="1">
        <f t="array" ref="C18">F18/E18</f>
        <v>0.40186915887850466</v>
      </c>
      <c r="D18" s="10">
        <v>126</v>
      </c>
      <c r="E18" s="10">
        <v>107</v>
      </c>
      <c r="F18" s="10">
        <v>43</v>
      </c>
      <c r="G18" s="10">
        <v>35</v>
      </c>
      <c r="H18" s="10">
        <v>6</v>
      </c>
      <c r="I18" s="10">
        <v>1</v>
      </c>
      <c r="J18" s="10">
        <v>1</v>
      </c>
      <c r="K18" s="10">
        <v>29</v>
      </c>
      <c r="L18" s="10">
        <v>23</v>
      </c>
      <c r="M18" s="10">
        <v>15</v>
      </c>
      <c r="N18" s="10">
        <v>15</v>
      </c>
      <c r="O18" s="10">
        <v>19</v>
      </c>
      <c r="P18" s="19" cm="1">
        <f t="array" ref="P18">O18/D18</f>
        <v>0.15079365079365079</v>
      </c>
      <c r="Q18" s="13" cm="1">
        <f t="array" ref="Q18">(G18*1+H18*2+I18*3+J18*4)/E18</f>
        <v>0.50467289719626163</v>
      </c>
      <c r="R18" s="14" cm="1">
        <f t="array" ref="R18">(F18+N18)/D18</f>
        <v>0.46031746031746029</v>
      </c>
      <c r="S18" s="15" cm="1">
        <f t="array" ref="S18">R18+Q18</f>
        <v>0.96499035751372197</v>
      </c>
      <c r="T18" s="63" cm="1">
        <f t="array" ref="T18">O18/(D18-(F18+N18))</f>
        <v>0.27941176470588236</v>
      </c>
      <c r="U18" s="17" cm="1">
        <f t="array" ref="U18">RANK(R18,$R$4:$R$26)</f>
        <v>12</v>
      </c>
      <c r="V18" s="18" cm="1">
        <f t="array" ref="V18">RANK(S18,$S$4:$S$26)</f>
        <v>10</v>
      </c>
      <c r="W18" s="58"/>
      <c r="X18" s="64">
        <v>-0.11425987337956001</v>
      </c>
      <c r="Y18" s="65">
        <v>-1.13685113685114E-2</v>
      </c>
      <c r="Z18" s="64">
        <v>-0.172746457642448</v>
      </c>
      <c r="AA18" s="64">
        <v>-0.107250107250107</v>
      </c>
      <c r="AB18" s="64">
        <v>-0.31834297581961102</v>
      </c>
      <c r="AC18" s="9"/>
      <c r="AD18" s="67">
        <v>86</v>
      </c>
      <c r="AE18" s="67">
        <v>73</v>
      </c>
      <c r="AF18" s="3"/>
      <c r="AG18" s="67" cm="1">
        <f t="array" ref="AG18">AB18*AD18</f>
        <v>-27.377495920486549</v>
      </c>
      <c r="AH18" s="67" cm="1">
        <f t="array" ref="AH18">X18*AE18</f>
        <v>-8.3409707567078808</v>
      </c>
    </row>
    <row r="19" spans="1:34" ht="17.25" customHeight="1">
      <c r="A19" s="8" t="s">
        <v>39</v>
      </c>
      <c r="B19" s="10">
        <v>39</v>
      </c>
      <c r="C19" s="62" cm="1">
        <f t="array" ref="C19">F19/E19</f>
        <v>0.3411764705882353</v>
      </c>
      <c r="D19" s="10">
        <v>105</v>
      </c>
      <c r="E19" s="10">
        <v>85</v>
      </c>
      <c r="F19" s="10">
        <v>29</v>
      </c>
      <c r="G19" s="10">
        <v>25</v>
      </c>
      <c r="H19" s="10">
        <v>1</v>
      </c>
      <c r="I19" s="10">
        <v>1</v>
      </c>
      <c r="J19" s="10">
        <v>2</v>
      </c>
      <c r="K19" s="10">
        <v>27</v>
      </c>
      <c r="L19" s="10">
        <v>32</v>
      </c>
      <c r="M19" s="10">
        <v>12</v>
      </c>
      <c r="N19" s="10">
        <v>16</v>
      </c>
      <c r="O19" s="10">
        <v>13</v>
      </c>
      <c r="P19" s="19" cm="1">
        <f t="array" ref="P19">O19/D19</f>
        <v>0.12380952380952381</v>
      </c>
      <c r="Q19" s="13" cm="1">
        <f t="array" ref="Q19">(G19*1+H19*2+I19*3+J19*4)/E19</f>
        <v>0.44705882352941179</v>
      </c>
      <c r="R19" s="14" cm="1">
        <f t="array" ref="R19">(F19+N19)/D19</f>
        <v>0.42857142857142855</v>
      </c>
      <c r="S19" s="15" cm="1">
        <f t="array" ref="S19">R19+Q19</f>
        <v>0.87563025210084033</v>
      </c>
      <c r="T19" s="63" cm="1">
        <f t="array" ref="T19">O19/(D19-(F19+N19))</f>
        <v>0.21666666666666667</v>
      </c>
      <c r="U19" s="17" cm="1">
        <f t="array" ref="U19">RANK(R19,$R$4:$R$26)</f>
        <v>16</v>
      </c>
      <c r="V19" s="18" cm="1">
        <f t="array" ref="V19">RANK(S19,$S$4:$S$26)</f>
        <v>15</v>
      </c>
      <c r="W19" s="58"/>
      <c r="X19" s="64">
        <v>-4.11764705882353E-2</v>
      </c>
      <c r="Y19" s="65">
        <v>2.3809523809523801E-2</v>
      </c>
      <c r="Z19" s="64">
        <v>6.4705882352941196E-2</v>
      </c>
      <c r="AA19" s="64">
        <v>-2.1428571428571502E-2</v>
      </c>
      <c r="AB19" s="64">
        <v>0.16199388846447699</v>
      </c>
      <c r="AC19" s="9"/>
      <c r="AD19" s="67">
        <v>81</v>
      </c>
      <c r="AE19" s="67">
        <v>66</v>
      </c>
      <c r="AF19" s="3"/>
      <c r="AG19" s="67" cm="1">
        <f t="array" ref="AG19">AB19*AD19</f>
        <v>13.121504965622636</v>
      </c>
      <c r="AH19" s="67" cm="1">
        <f t="array" ref="AH19">X19*AE19</f>
        <v>-2.71764705882353</v>
      </c>
    </row>
    <row r="20" spans="1:34" ht="17.25" customHeight="1">
      <c r="A20" s="8" t="s">
        <v>70</v>
      </c>
      <c r="B20" s="10">
        <v>9</v>
      </c>
      <c r="C20" s="62" cm="1">
        <f t="array" ref="C20">F20/E20</f>
        <v>0.29411764705882354</v>
      </c>
      <c r="D20" s="10">
        <v>20</v>
      </c>
      <c r="E20" s="10">
        <v>17</v>
      </c>
      <c r="F20" s="10">
        <v>5</v>
      </c>
      <c r="G20" s="10">
        <v>5</v>
      </c>
      <c r="H20" s="10">
        <v>0</v>
      </c>
      <c r="I20" s="10">
        <v>0</v>
      </c>
      <c r="J20" s="10">
        <v>0</v>
      </c>
      <c r="K20" s="10">
        <v>4</v>
      </c>
      <c r="L20" s="10">
        <v>2</v>
      </c>
      <c r="M20" s="10">
        <v>3</v>
      </c>
      <c r="N20" s="10">
        <v>2</v>
      </c>
      <c r="O20" s="10">
        <v>2</v>
      </c>
      <c r="P20" s="19" cm="1">
        <f t="array" ref="P20">O20/D20</f>
        <v>0.1</v>
      </c>
      <c r="Q20" s="13" cm="1">
        <f t="array" ref="Q20">(G20*1+H20*2+I20*3+J20*4)/E20</f>
        <v>0.29411764705882354</v>
      </c>
      <c r="R20" s="14" cm="1">
        <f t="array" ref="R20">(F20+N20)/D20</f>
        <v>0.35</v>
      </c>
      <c r="S20" s="15" cm="1">
        <f t="array" ref="S20">R20+Q20</f>
        <v>0.64411764705882346</v>
      </c>
      <c r="T20" s="63" cm="1">
        <f t="array" ref="T20">O20/(D20-(F20+N20))</f>
        <v>0.15384615384615385</v>
      </c>
      <c r="U20" s="17" cm="1">
        <f t="array" ref="U20">RANK(R20,$R$4:$R$26)</f>
        <v>22</v>
      </c>
      <c r="V20" s="18" cm="1">
        <f t="array" ref="V20">RANK(S20,$S$4:$S$26)</f>
        <v>21</v>
      </c>
      <c r="W20" s="58"/>
      <c r="X20" s="64"/>
      <c r="Y20" s="65"/>
      <c r="Z20" s="64"/>
      <c r="AA20" s="64"/>
      <c r="AB20" s="64"/>
      <c r="AC20" s="9"/>
      <c r="AD20" s="67">
        <v>-18</v>
      </c>
      <c r="AE20" s="67">
        <v>-14</v>
      </c>
      <c r="AF20" s="3"/>
      <c r="AG20" s="67" cm="1">
        <f t="array" ref="AG20">AB20*AD20</f>
        <v>0</v>
      </c>
      <c r="AH20" s="67" cm="1">
        <f t="array" ref="AH20">X20*AE20</f>
        <v>0</v>
      </c>
    </row>
    <row r="21" spans="1:34" ht="17.25" customHeight="1">
      <c r="A21" s="8" t="s">
        <v>40</v>
      </c>
      <c r="B21" s="10">
        <v>49</v>
      </c>
      <c r="C21" s="62" cm="1">
        <f t="array" ref="C21">F21/E21</f>
        <v>0.22500000000000001</v>
      </c>
      <c r="D21" s="10">
        <v>111</v>
      </c>
      <c r="E21" s="10">
        <v>80</v>
      </c>
      <c r="F21" s="10">
        <v>18</v>
      </c>
      <c r="G21" s="10">
        <v>12</v>
      </c>
      <c r="H21" s="10">
        <v>5</v>
      </c>
      <c r="I21" s="10">
        <v>1</v>
      </c>
      <c r="J21" s="10">
        <v>0</v>
      </c>
      <c r="K21" s="10">
        <v>30</v>
      </c>
      <c r="L21" s="10">
        <v>27</v>
      </c>
      <c r="M21" s="10">
        <v>28</v>
      </c>
      <c r="N21" s="10">
        <v>28</v>
      </c>
      <c r="O21" s="10">
        <v>24</v>
      </c>
      <c r="P21" s="19" cm="1">
        <f t="array" ref="P21">O21/D21</f>
        <v>0.21621621621621623</v>
      </c>
      <c r="Q21" s="13" cm="1">
        <f t="array" ref="Q21">(G21*1+H21*2+I21*3+J21*4)/E21</f>
        <v>0.3125</v>
      </c>
      <c r="R21" s="14" cm="1">
        <f t="array" ref="R21">(F21+N21)/D21</f>
        <v>0.4144144144144144</v>
      </c>
      <c r="S21" s="15" cm="1">
        <f t="array" ref="S21">R21+Q21</f>
        <v>0.7269144144144144</v>
      </c>
      <c r="T21" s="63" cm="1">
        <f t="array" ref="T21">O21/(D21-(F21+N21))</f>
        <v>0.36923076923076925</v>
      </c>
      <c r="U21" s="17" cm="1">
        <f t="array" ref="U21">RANK(R21,$R$4:$R$26)</f>
        <v>20</v>
      </c>
      <c r="V21" s="18" cm="1">
        <f t="array" ref="V21">RANK(S21,$S$4:$S$26)</f>
        <v>19</v>
      </c>
      <c r="W21" s="58"/>
      <c r="X21" s="64">
        <v>3.05555555555556E-2</v>
      </c>
      <c r="Y21" s="65">
        <v>-0.14548591144335801</v>
      </c>
      <c r="Z21" s="64">
        <v>6.25E-2</v>
      </c>
      <c r="AA21" s="64">
        <v>3.1435691010159098E-2</v>
      </c>
      <c r="AB21" s="64">
        <v>0.28684873296942298</v>
      </c>
      <c r="AC21" s="9"/>
      <c r="AD21" s="67">
        <v>49</v>
      </c>
      <c r="AE21" s="67">
        <v>28</v>
      </c>
      <c r="AF21" s="3"/>
      <c r="AG21" s="67" cm="1">
        <f t="array" ref="AG21">AB21*AD21</f>
        <v>14.055587915501727</v>
      </c>
      <c r="AH21" s="67" cm="1">
        <f t="array" ref="AH21">X21*AE21</f>
        <v>0.85555555555555673</v>
      </c>
    </row>
    <row r="22" spans="1:34" ht="17.25" customHeight="1">
      <c r="A22" s="8" t="s">
        <v>41</v>
      </c>
      <c r="B22" s="10">
        <v>62</v>
      </c>
      <c r="C22" s="62" cm="1">
        <f t="array" ref="C22">F22/E22</f>
        <v>0.4609375</v>
      </c>
      <c r="D22" s="10">
        <v>150</v>
      </c>
      <c r="E22" s="10">
        <v>128</v>
      </c>
      <c r="F22" s="10">
        <v>59</v>
      </c>
      <c r="G22" s="10">
        <v>44</v>
      </c>
      <c r="H22" s="10">
        <v>13</v>
      </c>
      <c r="I22" s="10">
        <v>0</v>
      </c>
      <c r="J22" s="10">
        <v>2</v>
      </c>
      <c r="K22" s="10">
        <v>51</v>
      </c>
      <c r="L22" s="10">
        <v>47</v>
      </c>
      <c r="M22" s="10">
        <v>26</v>
      </c>
      <c r="N22" s="10">
        <v>22</v>
      </c>
      <c r="O22" s="10">
        <v>19</v>
      </c>
      <c r="P22" s="19" cm="1">
        <f t="array" ref="P22">O22/D22</f>
        <v>0.12666666666666668</v>
      </c>
      <c r="Q22" s="13" cm="1">
        <f t="array" ref="Q22">(G22*1+H22*2+I22*3+J22*4)/E22</f>
        <v>0.609375</v>
      </c>
      <c r="R22" s="14" cm="1">
        <f t="array" ref="R22">(F22+N22)/D22</f>
        <v>0.54</v>
      </c>
      <c r="S22" s="15" cm="1">
        <f t="array" ref="S22">R22+Q22</f>
        <v>1.149375</v>
      </c>
      <c r="T22" s="63" cm="1">
        <f t="array" ref="T22">O22/(D22-(F22+N22))</f>
        <v>0.27536231884057971</v>
      </c>
      <c r="U22" s="17" cm="1">
        <f t="array" ref="U22">RANK(R22,$R$4:$R$26)</f>
        <v>4</v>
      </c>
      <c r="V22" s="18" cm="1">
        <f t="array" ref="V22">RANK(S22,$S$4:$S$26)</f>
        <v>6</v>
      </c>
      <c r="W22" s="58"/>
      <c r="X22" s="64">
        <v>3.2366071428571501E-2</v>
      </c>
      <c r="Y22" s="65">
        <v>-1.4178403755868501E-2</v>
      </c>
      <c r="Z22" s="64">
        <v>6.9692460317460306E-2</v>
      </c>
      <c r="AA22" s="64">
        <v>4.7042253521126801E-2</v>
      </c>
      <c r="AB22" s="64">
        <v>0.21755681818181799</v>
      </c>
      <c r="AC22" s="9"/>
      <c r="AD22" s="67">
        <v>149</v>
      </c>
      <c r="AE22" s="67">
        <v>127</v>
      </c>
      <c r="AF22" s="3"/>
      <c r="AG22" s="67" cm="1">
        <f t="array" ref="AG22">AB22*AD22</f>
        <v>32.415965909090879</v>
      </c>
      <c r="AH22" s="67" cm="1">
        <f t="array" ref="AH22">X22*AE22</f>
        <v>4.1104910714285809</v>
      </c>
    </row>
    <row r="23" spans="1:34" ht="17.25" customHeight="1">
      <c r="A23" s="8" t="s">
        <v>42</v>
      </c>
      <c r="B23" s="10">
        <v>40</v>
      </c>
      <c r="C23" s="62" cm="1">
        <f t="array" ref="C23">F23/E23</f>
        <v>0.31818181818181818</v>
      </c>
      <c r="D23" s="10">
        <v>89</v>
      </c>
      <c r="E23" s="10">
        <v>66</v>
      </c>
      <c r="F23" s="10">
        <v>21</v>
      </c>
      <c r="G23" s="10">
        <v>16</v>
      </c>
      <c r="H23" s="10">
        <v>5</v>
      </c>
      <c r="I23" s="10">
        <v>0</v>
      </c>
      <c r="J23" s="10">
        <v>0</v>
      </c>
      <c r="K23" s="10">
        <v>24</v>
      </c>
      <c r="L23" s="10">
        <v>17</v>
      </c>
      <c r="M23" s="10">
        <v>17</v>
      </c>
      <c r="N23" s="10">
        <v>21</v>
      </c>
      <c r="O23" s="10">
        <v>22</v>
      </c>
      <c r="P23" s="19" cm="1">
        <f t="array" ref="P23">O23/D23</f>
        <v>0.24719101123595505</v>
      </c>
      <c r="Q23" s="13" cm="1">
        <f t="array" ref="Q23">(G23*1+H23*2+I23*3+J23*4)/E23</f>
        <v>0.39393939393939392</v>
      </c>
      <c r="R23" s="14" cm="1">
        <f t="array" ref="R23">(F23+N23)/D23</f>
        <v>0.47191011235955055</v>
      </c>
      <c r="S23" s="15" cm="1">
        <f t="array" ref="S23">R23+Q23</f>
        <v>0.86584950629894442</v>
      </c>
      <c r="T23" s="63" cm="1">
        <f t="array" ref="T23">O23/(D23-(F23+N23))</f>
        <v>0.46808510638297873</v>
      </c>
      <c r="U23" s="17" cm="1">
        <f t="array" ref="U23">RANK(R23,$R$4:$R$26)</f>
        <v>11</v>
      </c>
      <c r="V23" s="18" cm="1">
        <f t="array" ref="V23">RANK(S23,$S$4:$S$26)</f>
        <v>16</v>
      </c>
      <c r="W23" s="58"/>
      <c r="X23" s="64">
        <v>2.3923444976076702E-3</v>
      </c>
      <c r="Y23" s="65">
        <v>3.88576779026217E-2</v>
      </c>
      <c r="Z23" s="64">
        <v>7.81499202551834E-2</v>
      </c>
      <c r="AA23" s="64">
        <v>5.5243445692883898E-2</v>
      </c>
      <c r="AB23" s="64">
        <v>0.14362728407672201</v>
      </c>
      <c r="AC23" s="9"/>
      <c r="AD23" s="67">
        <v>77</v>
      </c>
      <c r="AE23" s="67">
        <v>56</v>
      </c>
      <c r="AF23" s="3"/>
      <c r="AG23" s="67" cm="1">
        <f t="array" ref="AG23">AB23*AD23</f>
        <v>11.059300873907596</v>
      </c>
      <c r="AH23" s="67" cm="1">
        <f t="array" ref="AH23">X23*AE23</f>
        <v>0.13397129186602952</v>
      </c>
    </row>
    <row r="24" spans="1:34" ht="17.25" customHeight="1">
      <c r="A24" s="8" t="s">
        <v>43</v>
      </c>
      <c r="B24" s="10">
        <v>52</v>
      </c>
      <c r="C24" s="62" cm="1">
        <f t="array" ref="C24">F24/E24</f>
        <v>0.32038834951456313</v>
      </c>
      <c r="D24" s="10">
        <v>131</v>
      </c>
      <c r="E24" s="10">
        <v>103</v>
      </c>
      <c r="F24" s="10">
        <v>33</v>
      </c>
      <c r="G24" s="10">
        <v>21</v>
      </c>
      <c r="H24" s="10">
        <v>10</v>
      </c>
      <c r="I24" s="10">
        <v>2</v>
      </c>
      <c r="J24" s="10">
        <v>0</v>
      </c>
      <c r="K24" s="10">
        <v>31</v>
      </c>
      <c r="L24" s="10">
        <v>26</v>
      </c>
      <c r="M24" s="10">
        <v>18</v>
      </c>
      <c r="N24" s="10">
        <v>27</v>
      </c>
      <c r="O24" s="10">
        <v>26</v>
      </c>
      <c r="P24" s="19" cm="1">
        <f t="array" ref="P24">O24/D24</f>
        <v>0.19847328244274809</v>
      </c>
      <c r="Q24" s="13" cm="1">
        <f t="array" ref="Q24">(G24*1+H24*2+I24*3+J24*4)/E24</f>
        <v>0.4563106796116505</v>
      </c>
      <c r="R24" s="14" cm="1">
        <f t="array" ref="R24">(F24+N24)/D24</f>
        <v>0.4580152671755725</v>
      </c>
      <c r="S24" s="15" cm="1">
        <f t="array" ref="S24">R24+Q24</f>
        <v>0.91432594678722301</v>
      </c>
      <c r="T24" s="63" cm="1">
        <f t="array" ref="T24">O24/(D24-(F24+N24))</f>
        <v>0.36619718309859156</v>
      </c>
      <c r="U24" s="17" cm="1">
        <f t="array" ref="U24">RANK(R24,$R$4:$R$26)</f>
        <v>13</v>
      </c>
      <c r="V24" s="18" cm="1">
        <f t="array" ref="V24">RANK(S24,$S$4:$S$26)</f>
        <v>12</v>
      </c>
      <c r="W24" s="58"/>
      <c r="X24" s="64">
        <v>-4.4996265870052198E-2</v>
      </c>
      <c r="Y24" s="65">
        <v>4.9248953459739E-3</v>
      </c>
      <c r="Z24" s="64">
        <v>-6.2920089619118796E-2</v>
      </c>
      <c r="AA24" s="64">
        <v>-9.7266683082984397E-3</v>
      </c>
      <c r="AB24" s="64">
        <v>0.15993998187494199</v>
      </c>
      <c r="AC24" s="9"/>
      <c r="AD24" s="67">
        <v>122</v>
      </c>
      <c r="AE24" s="67">
        <v>97</v>
      </c>
      <c r="AF24" s="3"/>
      <c r="AG24" s="67" cm="1">
        <f t="array" ref="AG24">AB24*AD24</f>
        <v>19.512677788742923</v>
      </c>
      <c r="AH24" s="67" cm="1">
        <f t="array" ref="AH24">X24*AE24</f>
        <v>-4.3646377893950632</v>
      </c>
    </row>
    <row r="25" spans="1:34" ht="17.25" customHeight="1">
      <c r="A25" s="8" t="s">
        <v>71</v>
      </c>
      <c r="B25" s="10">
        <v>1</v>
      </c>
      <c r="C25" s="62" cm="1">
        <f t="array" ref="C25">F25/E25</f>
        <v>0</v>
      </c>
      <c r="D25" s="10">
        <v>2</v>
      </c>
      <c r="E25" s="10">
        <v>2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1</v>
      </c>
      <c r="P25" s="19" cm="1">
        <f t="array" ref="P25">O25/D25</f>
        <v>0.5</v>
      </c>
      <c r="Q25" s="13" cm="1">
        <f t="array" ref="Q25">(G25*1+H25*2+I25*3+J25*4)/E25</f>
        <v>0</v>
      </c>
      <c r="R25" s="14" cm="1">
        <f t="array" ref="R25">(F25+N25)/D25</f>
        <v>0</v>
      </c>
      <c r="S25" s="15" cm="1">
        <f t="array" ref="S25">R25+Q25</f>
        <v>0</v>
      </c>
      <c r="T25" s="63" cm="1">
        <f t="array" ref="T25">O25/(D25-(F25+N25))</f>
        <v>0.5</v>
      </c>
      <c r="U25" s="17" cm="1">
        <f t="array" ref="U25">RANK(R25,$R$4:$R$26)</f>
        <v>23</v>
      </c>
      <c r="V25" s="18" cm="1">
        <f t="array" ref="V25">RANK(S25,$S$4:$S$26)</f>
        <v>23</v>
      </c>
      <c r="W25" s="58"/>
      <c r="X25" s="64"/>
      <c r="Y25" s="65"/>
      <c r="Z25" s="64"/>
      <c r="AA25" s="64"/>
      <c r="AB25" s="64"/>
      <c r="AC25" s="9"/>
      <c r="AD25" s="67">
        <v>-32</v>
      </c>
      <c r="AE25" s="67">
        <v>-15</v>
      </c>
      <c r="AF25" s="3"/>
      <c r="AG25" s="67" cm="1">
        <f t="array" ref="AG25">AB25*AD25</f>
        <v>0</v>
      </c>
      <c r="AH25" s="67" cm="1">
        <f t="array" ref="AH25">X25*AE25</f>
        <v>0</v>
      </c>
    </row>
    <row r="26" spans="1:34" ht="17.25" customHeight="1">
      <c r="A26" s="8" t="s">
        <v>44</v>
      </c>
      <c r="B26" s="10">
        <v>22</v>
      </c>
      <c r="C26" s="62" cm="1">
        <f t="array" ref="C26">F26/E26</f>
        <v>0.22222222222222221</v>
      </c>
      <c r="D26" s="10">
        <v>56</v>
      </c>
      <c r="E26" s="10">
        <v>36</v>
      </c>
      <c r="F26" s="10">
        <v>8</v>
      </c>
      <c r="G26" s="10">
        <v>8</v>
      </c>
      <c r="H26" s="10">
        <v>0</v>
      </c>
      <c r="I26" s="10">
        <v>0</v>
      </c>
      <c r="J26" s="10">
        <v>0</v>
      </c>
      <c r="K26" s="10">
        <v>16</v>
      </c>
      <c r="L26" s="10">
        <v>5</v>
      </c>
      <c r="M26" s="10">
        <v>6</v>
      </c>
      <c r="N26" s="10">
        <v>13</v>
      </c>
      <c r="O26" s="10">
        <v>9</v>
      </c>
      <c r="P26" s="19" cm="1">
        <f t="array" ref="P26">O26/D26</f>
        <v>0.16071428571428573</v>
      </c>
      <c r="Q26" s="13" cm="1">
        <f t="array" ref="Q26">(G26*1+H26*2+I26*3+J26*4)/E26</f>
        <v>0.22222222222222221</v>
      </c>
      <c r="R26" s="14" cm="1">
        <f t="array" ref="R26">(F26+N26)/D26</f>
        <v>0.375</v>
      </c>
      <c r="S26" s="15" cm="1">
        <f t="array" ref="S26">R26+Q26</f>
        <v>0.59722222222222221</v>
      </c>
      <c r="T26" s="63" cm="1">
        <f t="array" ref="T26">O26/(D26-(F26+N26))</f>
        <v>0.25714285714285712</v>
      </c>
      <c r="U26" s="17" cm="1">
        <f t="array" ref="U26">RANK(R26,$R$4:$R$26)</f>
        <v>21</v>
      </c>
      <c r="V26" s="18" cm="1">
        <f t="array" ref="V26">RANK(S26,$S$4:$S$26)</f>
        <v>22</v>
      </c>
      <c r="W26" s="58"/>
      <c r="X26" s="64">
        <v>0.13131313131313099</v>
      </c>
      <c r="Y26" s="65">
        <v>-2.6785714285714302E-2</v>
      </c>
      <c r="Z26" s="64">
        <v>0.13131313131313099</v>
      </c>
      <c r="AA26" s="64">
        <v>0.1875</v>
      </c>
      <c r="AB26" s="64">
        <v>0.31881313131313099</v>
      </c>
      <c r="AC26" s="9"/>
      <c r="AD26" s="67">
        <v>19</v>
      </c>
      <c r="AE26" s="67">
        <v>5</v>
      </c>
      <c r="AF26" s="3"/>
      <c r="AG26" s="67" cm="1">
        <f t="array" ref="AG26">AB26*AD26</f>
        <v>6.0574494949494886</v>
      </c>
      <c r="AH26" s="67" cm="1">
        <f t="array" ref="AH26">X26*AE26</f>
        <v>0.65656565656565502</v>
      </c>
    </row>
    <row r="27" spans="1:34" ht="17.25" customHeight="1">
      <c r="A27" s="29" t="s">
        <v>45</v>
      </c>
      <c r="B27" s="30"/>
      <c r="C27" s="31" cm="1">
        <f t="array" ref="C27">F27/E27</f>
        <v>0.39326453014665941</v>
      </c>
      <c r="D27" s="32" cm="1">
        <f t="array" ref="D27">SUM(D4:D26)</f>
        <v>2318</v>
      </c>
      <c r="E27" s="32" cm="1">
        <f t="array" ref="E27">SUM(E4:E26)</f>
        <v>1841</v>
      </c>
      <c r="F27" s="32" cm="1">
        <f t="array" ref="F27">SUM(F4:F26)</f>
        <v>724</v>
      </c>
      <c r="G27" s="32" cm="1">
        <f t="array" ref="G27">SUM(G4:G26)</f>
        <v>531</v>
      </c>
      <c r="H27" s="32" cm="1">
        <f t="array" ref="H27">SUM(H4:H26)</f>
        <v>148</v>
      </c>
      <c r="I27" s="32" cm="1">
        <f t="array" ref="I27">SUM(I4:I26)</f>
        <v>35</v>
      </c>
      <c r="J27" s="32" cm="1">
        <f t="array" ref="J27">SUM(J4:J26)</f>
        <v>12</v>
      </c>
      <c r="K27" s="32" cm="1">
        <f t="array" ref="K27">SUM(K4:K26)</f>
        <v>735</v>
      </c>
      <c r="L27" s="32" cm="1">
        <f t="array" ref="L27">SUM(L4:L26)</f>
        <v>608</v>
      </c>
      <c r="M27" s="32" cm="1">
        <f t="array" ref="M27">SUM(M4:M26)</f>
        <v>538</v>
      </c>
      <c r="N27" s="32" cm="1">
        <f t="array" ref="N27">SUM(N4:N26)</f>
        <v>426</v>
      </c>
      <c r="O27" s="32" cm="1">
        <f t="array" ref="O27">SUM(O4:O26)</f>
        <v>355</v>
      </c>
      <c r="P27" s="33" cm="1">
        <f t="array" ref="P27">O27/D27</f>
        <v>0.15314926660914582</v>
      </c>
      <c r="Q27" s="31" cm="1">
        <f t="array" ref="Q27">(G27*1+H27*2+I27*3+J27*4)/E27</f>
        <v>0.53231939163498099</v>
      </c>
      <c r="R27" s="31" cm="1">
        <f t="array" ref="R27">(F27+N27)/D27</f>
        <v>0.49611734253666956</v>
      </c>
      <c r="S27" s="31" cm="1">
        <f t="array" ref="S27">R27+Q27</f>
        <v>1.0284367341716505</v>
      </c>
      <c r="T27" s="31"/>
      <c r="U27" s="31"/>
      <c r="V27" s="31"/>
      <c r="W27" s="58"/>
      <c r="X27" s="64">
        <v>1.3634900517029799E-2</v>
      </c>
      <c r="Y27" s="65">
        <v>-3.3517400057520901E-2</v>
      </c>
      <c r="Z27" s="64">
        <v>-1.7680608365019099E-2</v>
      </c>
      <c r="AA27" s="64">
        <v>1.6117342536669601E-2</v>
      </c>
      <c r="AB27" s="64">
        <v>3.1738620964103299E-2</v>
      </c>
      <c r="AC27" s="9"/>
      <c r="AD27" s="3"/>
      <c r="AE27" s="3"/>
      <c r="AF27" s="3"/>
      <c r="AG27" s="3"/>
      <c r="AH27" s="3"/>
    </row>
    <row r="28" spans="1:34" ht="16.5" customHeight="1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5"/>
      <c r="U28" s="34"/>
      <c r="V28" s="34"/>
      <c r="W28" s="3"/>
      <c r="X28" s="34"/>
      <c r="Y28" s="34"/>
      <c r="Z28" s="34"/>
      <c r="AA28" s="34"/>
      <c r="AB28" s="34"/>
      <c r="AC28" s="3"/>
      <c r="AD28" s="3"/>
      <c r="AE28" s="3"/>
      <c r="AF28" s="3"/>
      <c r="AG28" s="3"/>
      <c r="AH28" s="3"/>
    </row>
    <row r="29" spans="1:34" ht="17.25" customHeight="1">
      <c r="A29" s="5" t="s">
        <v>46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7"/>
      <c r="U29" s="36"/>
      <c r="V29" s="36"/>
      <c r="W29" s="3"/>
      <c r="X29" s="6"/>
      <c r="Y29" s="6"/>
      <c r="Z29" s="6"/>
      <c r="AA29" s="6"/>
      <c r="AB29" s="6"/>
      <c r="AC29" s="3"/>
      <c r="AD29" s="3"/>
      <c r="AE29" s="3"/>
      <c r="AF29" s="3"/>
      <c r="AG29" s="3"/>
      <c r="AH29" s="3"/>
    </row>
    <row r="30" spans="1:34" ht="34.5" customHeight="1">
      <c r="A30" s="8" t="s">
        <v>2</v>
      </c>
      <c r="B30" s="8" t="s">
        <v>3</v>
      </c>
      <c r="C30" s="8" t="s">
        <v>47</v>
      </c>
      <c r="D30" s="8" t="s">
        <v>48</v>
      </c>
      <c r="E30" s="8" t="s">
        <v>49</v>
      </c>
      <c r="F30" s="8" t="s">
        <v>50</v>
      </c>
      <c r="G30" s="8" t="s">
        <v>6</v>
      </c>
      <c r="H30" s="8" t="s">
        <v>51</v>
      </c>
      <c r="I30" s="8" t="s">
        <v>52</v>
      </c>
      <c r="J30" s="8" t="s">
        <v>53</v>
      </c>
      <c r="K30" s="8" t="s">
        <v>54</v>
      </c>
      <c r="L30" s="8" t="s">
        <v>55</v>
      </c>
      <c r="M30" s="8" t="s">
        <v>56</v>
      </c>
      <c r="N30" s="8" t="s">
        <v>57</v>
      </c>
      <c r="O30" s="8" t="s">
        <v>58</v>
      </c>
      <c r="P30" s="8" t="s">
        <v>59</v>
      </c>
      <c r="Q30" s="8" t="s">
        <v>72</v>
      </c>
      <c r="R30" s="8" t="s">
        <v>61</v>
      </c>
      <c r="S30" s="8" t="s">
        <v>62</v>
      </c>
      <c r="T30" s="8" t="s">
        <v>63</v>
      </c>
      <c r="U30" s="8" t="s">
        <v>64</v>
      </c>
      <c r="V30" s="8" t="s">
        <v>65</v>
      </c>
      <c r="W30" s="58"/>
      <c r="X30" s="8" t="s">
        <v>51</v>
      </c>
      <c r="Y30" s="8" t="s">
        <v>61</v>
      </c>
      <c r="Z30" s="8" t="s">
        <v>73</v>
      </c>
      <c r="AA30" s="8" t="s">
        <v>74</v>
      </c>
      <c r="AB30" s="8" t="s">
        <v>65</v>
      </c>
      <c r="AC30" s="9"/>
      <c r="AD30" s="3"/>
      <c r="AE30" s="3"/>
      <c r="AF30" s="3"/>
      <c r="AG30" s="3"/>
      <c r="AH30" s="3"/>
    </row>
    <row r="31" spans="1:34" ht="17.25" customHeight="1">
      <c r="A31" s="38" t="s">
        <v>24</v>
      </c>
      <c r="B31" s="10">
        <v>26</v>
      </c>
      <c r="C31" s="10">
        <v>4</v>
      </c>
      <c r="D31" s="10">
        <v>2</v>
      </c>
      <c r="E31" s="10">
        <v>0</v>
      </c>
      <c r="F31" s="10">
        <v>280</v>
      </c>
      <c r="G31" s="10">
        <v>189</v>
      </c>
      <c r="H31" s="39">
        <v>36.999659999329999</v>
      </c>
      <c r="I31" s="10">
        <v>71</v>
      </c>
      <c r="J31" s="10">
        <v>1</v>
      </c>
      <c r="K31" s="10">
        <v>76</v>
      </c>
      <c r="L31" s="10">
        <v>13</v>
      </c>
      <c r="M31" s="10">
        <v>28</v>
      </c>
      <c r="N31" s="10">
        <v>104</v>
      </c>
      <c r="O31" s="10">
        <v>73</v>
      </c>
      <c r="P31" s="40" cm="1">
        <f t="array" ref="P31">O31*9/H31</f>
        <v>17.756919928774945</v>
      </c>
      <c r="Q31" s="41" cm="1">
        <f t="array" ref="Q31">(K31+L31)/H31</f>
        <v>2.4054275093774278</v>
      </c>
      <c r="R31" s="42" cm="1">
        <f t="array" ref="R31">I31/H31</f>
        <v>1.9189365524246895</v>
      </c>
      <c r="S31" s="42" cm="1">
        <f t="array" ref="S31">H31/B31</f>
        <v>1.4230638461280769</v>
      </c>
      <c r="T31" s="43" cm="1">
        <f t="array" ref="T31">M31/H31</f>
        <v>0.75676371081537053</v>
      </c>
      <c r="U31" s="44" cm="1">
        <f t="array" ref="U31">O31/N31</f>
        <v>0.70192307692307687</v>
      </c>
      <c r="V31" s="41" cm="1">
        <f t="array" ref="V31">(I31+K31+L31)/H31</f>
        <v>4.3243640618021173</v>
      </c>
      <c r="W31" s="58"/>
      <c r="X31" s="68"/>
      <c r="Y31" s="69"/>
      <c r="Z31" s="68"/>
      <c r="AA31" s="68"/>
      <c r="AB31" s="69"/>
      <c r="AC31" s="9"/>
      <c r="AD31" s="3"/>
      <c r="AE31" s="3"/>
      <c r="AF31" s="3"/>
      <c r="AG31" s="3"/>
      <c r="AH31" s="3"/>
    </row>
    <row r="32" spans="1:34" ht="17.25" customHeight="1">
      <c r="A32" s="38" t="s">
        <v>27</v>
      </c>
      <c r="B32" s="10">
        <v>9</v>
      </c>
      <c r="C32" s="10">
        <v>4</v>
      </c>
      <c r="D32" s="10">
        <v>2</v>
      </c>
      <c r="E32" s="10">
        <v>0</v>
      </c>
      <c r="F32" s="10">
        <v>119</v>
      </c>
      <c r="G32" s="10">
        <v>103</v>
      </c>
      <c r="H32" s="39">
        <v>25</v>
      </c>
      <c r="I32" s="10">
        <v>25</v>
      </c>
      <c r="J32" s="10">
        <v>0</v>
      </c>
      <c r="K32" s="10">
        <v>13</v>
      </c>
      <c r="L32" s="10">
        <v>2</v>
      </c>
      <c r="M32" s="10">
        <v>29</v>
      </c>
      <c r="N32" s="10">
        <v>24</v>
      </c>
      <c r="O32" s="10">
        <v>11</v>
      </c>
      <c r="P32" s="40">
        <v>0</v>
      </c>
      <c r="Q32" s="45" t="s">
        <v>66</v>
      </c>
      <c r="R32" s="45" t="s">
        <v>66</v>
      </c>
      <c r="S32" s="42" cm="1">
        <f t="array" ref="S32">H32/B32</f>
        <v>2.7777777777777777</v>
      </c>
      <c r="T32" s="46" t="s">
        <v>66</v>
      </c>
      <c r="U32" s="44"/>
      <c r="V32" s="45" t="s">
        <v>66</v>
      </c>
      <c r="W32" s="58"/>
      <c r="X32" s="68">
        <v>-29.999966662999999</v>
      </c>
      <c r="Y32" s="69"/>
      <c r="Z32" s="69">
        <v>-1.30909206624368</v>
      </c>
      <c r="AA32" s="68">
        <v>1.90000211134568</v>
      </c>
      <c r="AB32" s="69"/>
      <c r="AC32" s="9"/>
      <c r="AD32" s="3"/>
      <c r="AE32" s="3"/>
      <c r="AF32" s="3"/>
      <c r="AG32" s="3"/>
      <c r="AH32" s="3"/>
    </row>
    <row r="33" spans="1:34" ht="17.25" customHeight="1">
      <c r="A33" s="38" t="s">
        <v>29</v>
      </c>
      <c r="B33" s="10">
        <v>24</v>
      </c>
      <c r="C33" s="10">
        <v>4</v>
      </c>
      <c r="D33" s="10">
        <v>8</v>
      </c>
      <c r="E33" s="10">
        <v>0</v>
      </c>
      <c r="F33" s="10">
        <v>298</v>
      </c>
      <c r="G33" s="10">
        <v>215</v>
      </c>
      <c r="H33" s="39">
        <v>35.666632996666699</v>
      </c>
      <c r="I33" s="10">
        <v>77</v>
      </c>
      <c r="J33" s="10">
        <v>4</v>
      </c>
      <c r="K33" s="10">
        <v>69</v>
      </c>
      <c r="L33" s="10">
        <v>12</v>
      </c>
      <c r="M33" s="10">
        <v>42</v>
      </c>
      <c r="N33" s="10">
        <v>130</v>
      </c>
      <c r="O33" s="10">
        <v>78</v>
      </c>
      <c r="P33" s="40" cm="1">
        <f t="array" ref="P33">O33*9/H33</f>
        <v>19.682261571077003</v>
      </c>
      <c r="Q33" s="41" cm="1">
        <f t="array" ref="Q33">(K33+L33)/H33</f>
        <v>2.2710301812781157</v>
      </c>
      <c r="R33" s="42" cm="1">
        <f t="array" ref="R33">I33/H33</f>
        <v>2.1588805426964806</v>
      </c>
      <c r="S33" s="42" cm="1">
        <f t="array" ref="S33">H33/B33</f>
        <v>1.4861097081944459</v>
      </c>
      <c r="T33" s="43" cm="1">
        <f t="array" ref="T33">M33/H33</f>
        <v>1.1775712051071712</v>
      </c>
      <c r="U33" s="44" cm="1">
        <f t="array" ref="U33">O33/N33</f>
        <v>0.6</v>
      </c>
      <c r="V33" s="41" cm="1">
        <f t="array" ref="V33">(I33+K33+L33)/H33</f>
        <v>4.4299107239745963</v>
      </c>
      <c r="W33" s="58"/>
      <c r="X33" s="70" t="s">
        <v>66</v>
      </c>
      <c r="Y33" s="69">
        <v>-0.379580995765056</v>
      </c>
      <c r="Z33" s="71">
        <v>53</v>
      </c>
      <c r="AA33" s="72">
        <v>31</v>
      </c>
      <c r="AB33" s="69">
        <v>-0.26239696833309201</v>
      </c>
      <c r="AC33" s="9"/>
      <c r="AD33" s="3"/>
      <c r="AE33" s="3"/>
      <c r="AF33" s="3"/>
      <c r="AG33" s="3"/>
      <c r="AH33" s="3"/>
    </row>
    <row r="34" spans="1:34" ht="17.25" customHeight="1">
      <c r="A34" s="38" t="s">
        <v>33</v>
      </c>
      <c r="B34" s="10">
        <v>42</v>
      </c>
      <c r="C34" s="10">
        <v>13</v>
      </c>
      <c r="D34" s="10">
        <v>8</v>
      </c>
      <c r="E34" s="10">
        <v>2</v>
      </c>
      <c r="F34" s="10">
        <v>569</v>
      </c>
      <c r="G34" s="10">
        <v>467</v>
      </c>
      <c r="H34" s="39">
        <v>99.999933233329998</v>
      </c>
      <c r="I34" s="10">
        <v>141</v>
      </c>
      <c r="J34" s="10">
        <v>2</v>
      </c>
      <c r="K34" s="10">
        <v>89</v>
      </c>
      <c r="L34" s="10">
        <v>18</v>
      </c>
      <c r="M34" s="10">
        <v>132</v>
      </c>
      <c r="N34" s="10">
        <v>151</v>
      </c>
      <c r="O34" s="10">
        <v>95</v>
      </c>
      <c r="P34" s="40" cm="1">
        <f t="array" ref="P34">O34*9/H34</f>
        <v>8.5500057085540959</v>
      </c>
      <c r="Q34" s="41" cm="1">
        <f t="array" ref="Q34">(K34+L34)/H34</f>
        <v>1.0700007144038459</v>
      </c>
      <c r="R34" s="42" cm="1">
        <f t="array" ref="R34">I34/H34</f>
        <v>1.4100009414106756</v>
      </c>
      <c r="S34" s="42" cm="1">
        <f t="array" ref="S34">H34/B34</f>
        <v>2.3809507912697621</v>
      </c>
      <c r="T34" s="43" cm="1">
        <f t="array" ref="T34">M34/H34</f>
        <v>1.3200008813206325</v>
      </c>
      <c r="U34" s="44" cm="1">
        <f t="array" ref="U34">O34/N34</f>
        <v>0.62913907284768211</v>
      </c>
      <c r="V34" s="41" cm="1">
        <f t="array" ref="V34">(I34+K34+L34)/H34</f>
        <v>2.4800016558145215</v>
      </c>
      <c r="W34" s="58"/>
      <c r="X34" s="70" t="s">
        <v>66</v>
      </c>
      <c r="Y34" s="69">
        <v>-0.82880502873857798</v>
      </c>
      <c r="Z34" s="71">
        <v>1</v>
      </c>
      <c r="AA34" s="72">
        <v>128</v>
      </c>
      <c r="AB34" s="69">
        <v>-4.9826849113496596</v>
      </c>
      <c r="AC34" s="9"/>
      <c r="AD34" s="3"/>
      <c r="AE34" s="3"/>
      <c r="AF34" s="3"/>
      <c r="AG34" s="3"/>
      <c r="AH34" s="3"/>
    </row>
    <row r="35" spans="1:34" ht="17.25" customHeight="1">
      <c r="A35" s="38" t="s">
        <v>35</v>
      </c>
      <c r="B35" s="10">
        <v>8</v>
      </c>
      <c r="C35" s="10">
        <v>0</v>
      </c>
      <c r="D35" s="10">
        <v>0</v>
      </c>
      <c r="E35" s="10">
        <v>0</v>
      </c>
      <c r="F35" s="10">
        <v>63</v>
      </c>
      <c r="G35" s="10">
        <v>50</v>
      </c>
      <c r="H35" s="39">
        <v>9.6666666330000002</v>
      </c>
      <c r="I35" s="10">
        <v>20</v>
      </c>
      <c r="J35" s="10">
        <v>0</v>
      </c>
      <c r="K35" s="10">
        <v>11</v>
      </c>
      <c r="L35" s="10">
        <v>2</v>
      </c>
      <c r="M35" s="10">
        <v>10</v>
      </c>
      <c r="N35" s="10">
        <v>22</v>
      </c>
      <c r="O35" s="10">
        <v>19</v>
      </c>
      <c r="P35" s="40" cm="1">
        <f t="array" ref="P35">O35*9/H35</f>
        <v>17.689655234022592</v>
      </c>
      <c r="Q35" s="45" t="s">
        <v>66</v>
      </c>
      <c r="R35" s="45" t="s">
        <v>66</v>
      </c>
      <c r="S35" s="45" t="s">
        <v>66</v>
      </c>
      <c r="T35" s="46" t="s">
        <v>66</v>
      </c>
      <c r="U35" s="44"/>
      <c r="V35" s="45" t="s">
        <v>66</v>
      </c>
      <c r="W35" s="58"/>
      <c r="X35" s="68">
        <v>-3.3333000336</v>
      </c>
      <c r="Y35" s="69"/>
      <c r="Z35" s="69">
        <v>-1.9628731981027401</v>
      </c>
      <c r="AA35" s="72">
        <v>0.90000899101781895</v>
      </c>
      <c r="AB35" s="69"/>
      <c r="AC35" s="9"/>
      <c r="AD35" s="3"/>
      <c r="AE35" s="3"/>
      <c r="AF35" s="3"/>
      <c r="AG35" s="3"/>
      <c r="AH35" s="3"/>
    </row>
    <row r="36" spans="1:34" ht="17.25" customHeight="1">
      <c r="A36" s="38" t="s">
        <v>36</v>
      </c>
      <c r="B36" s="10">
        <v>26</v>
      </c>
      <c r="C36" s="10">
        <v>3</v>
      </c>
      <c r="D36" s="10">
        <v>7</v>
      </c>
      <c r="E36" s="10">
        <v>0</v>
      </c>
      <c r="F36" s="10">
        <v>275</v>
      </c>
      <c r="G36" s="10">
        <v>196</v>
      </c>
      <c r="H36" s="39">
        <v>33.333259332600001</v>
      </c>
      <c r="I36" s="10">
        <v>80</v>
      </c>
      <c r="J36" s="10">
        <v>2</v>
      </c>
      <c r="K36" s="10">
        <v>66</v>
      </c>
      <c r="L36" s="10">
        <v>13</v>
      </c>
      <c r="M36" s="10">
        <v>40</v>
      </c>
      <c r="N36" s="10">
        <v>121</v>
      </c>
      <c r="O36" s="10">
        <v>92</v>
      </c>
      <c r="P36" s="40" cm="1">
        <f t="array" ref="P36">O36*9/H36</f>
        <v>24.840055145468902</v>
      </c>
      <c r="Q36" s="41" cm="1">
        <f t="array" ref="Q36">(K36+L36)/H36</f>
        <v>2.3700052614638203</v>
      </c>
      <c r="R36" s="42" cm="1">
        <f t="array" ref="R36">I36/H36</f>
        <v>2.4000053280646285</v>
      </c>
      <c r="S36" s="42" cm="1">
        <f t="array" ref="S36">H36/B36</f>
        <v>1.2820484358692308</v>
      </c>
      <c r="T36" s="43" cm="1">
        <f t="array" ref="T36">M36/H36</f>
        <v>1.2000026640323143</v>
      </c>
      <c r="U36" s="44" cm="1">
        <f t="array" ref="U36">O36/N36</f>
        <v>0.76033057851239672</v>
      </c>
      <c r="V36" s="41" cm="1">
        <f t="array" ref="V36">(I36+K36+L36)/H36</f>
        <v>4.7700105895284493</v>
      </c>
      <c r="W36" s="58"/>
      <c r="X36" s="68">
        <v>6.0002593325999998</v>
      </c>
      <c r="Y36" s="69">
        <v>0.97315865920281297</v>
      </c>
      <c r="Z36" s="69">
        <v>1.49194577293347</v>
      </c>
      <c r="AA36" s="68">
        <v>0.16665946329467801</v>
      </c>
      <c r="AB36" s="69">
        <v>2.46510443213629</v>
      </c>
      <c r="AC36" s="9"/>
      <c r="AD36" s="3"/>
      <c r="AE36" s="3"/>
      <c r="AF36" s="3"/>
      <c r="AG36" s="3"/>
      <c r="AH36" s="3"/>
    </row>
    <row r="37" spans="1:34" ht="17.25" customHeight="1">
      <c r="A37" s="38" t="s">
        <v>37</v>
      </c>
      <c r="B37" s="10">
        <v>12</v>
      </c>
      <c r="C37" s="10">
        <v>2</v>
      </c>
      <c r="D37" s="10">
        <v>3</v>
      </c>
      <c r="E37" s="10">
        <v>0</v>
      </c>
      <c r="F37" s="10">
        <v>178</v>
      </c>
      <c r="G37" s="10">
        <v>128</v>
      </c>
      <c r="H37" s="39">
        <v>23.6666326333333</v>
      </c>
      <c r="I37" s="10">
        <v>66</v>
      </c>
      <c r="J37" s="10">
        <v>1</v>
      </c>
      <c r="K37" s="10">
        <v>36</v>
      </c>
      <c r="L37" s="10">
        <v>10</v>
      </c>
      <c r="M37" s="10">
        <v>27</v>
      </c>
      <c r="N37" s="10">
        <v>78</v>
      </c>
      <c r="O37" s="10">
        <v>63</v>
      </c>
      <c r="P37" s="40" cm="1">
        <f t="array" ref="P37">O37*9/H37</f>
        <v>23.957780930837117</v>
      </c>
      <c r="Q37" s="41" cm="1">
        <f t="array" ref="Q37">(K37+L37)/H37</f>
        <v>1.9436647668756746</v>
      </c>
      <c r="R37" s="42" cm="1">
        <f t="array" ref="R37">I37/H37</f>
        <v>2.788736404647707</v>
      </c>
      <c r="S37" s="42" cm="1">
        <f t="array" ref="S37">H37/B37</f>
        <v>1.9722193861111084</v>
      </c>
      <c r="T37" s="43" cm="1">
        <f t="array" ref="T37">M37/H37</f>
        <v>1.1408467109922438</v>
      </c>
      <c r="U37" s="44" cm="1">
        <f t="array" ref="U37">O37/N37</f>
        <v>0.80769230769230771</v>
      </c>
      <c r="V37" s="41" cm="1">
        <f t="array" ref="V37">(I37+K37+L37)/H37</f>
        <v>4.7324011715233816</v>
      </c>
      <c r="W37" s="58"/>
      <c r="X37" s="68"/>
      <c r="Y37" s="69"/>
      <c r="Z37" s="68"/>
      <c r="AA37" s="68"/>
      <c r="AB37" s="69"/>
      <c r="AC37" s="9"/>
      <c r="AD37" s="3"/>
      <c r="AE37" s="3"/>
      <c r="AF37" s="3"/>
      <c r="AG37" s="3"/>
      <c r="AH37" s="3"/>
    </row>
    <row r="38" spans="1:34" ht="17.25" customHeight="1">
      <c r="A38" s="38" t="s">
        <v>40</v>
      </c>
      <c r="B38" s="10">
        <v>5</v>
      </c>
      <c r="C38" s="10">
        <v>0</v>
      </c>
      <c r="D38" s="10">
        <v>2</v>
      </c>
      <c r="E38" s="10">
        <v>0</v>
      </c>
      <c r="F38" s="10">
        <v>54</v>
      </c>
      <c r="G38" s="10">
        <v>43</v>
      </c>
      <c r="H38" s="39">
        <v>4.9999999666599999</v>
      </c>
      <c r="I38" s="10">
        <v>26</v>
      </c>
      <c r="J38" s="10">
        <v>2</v>
      </c>
      <c r="K38" s="10">
        <v>8</v>
      </c>
      <c r="L38" s="10">
        <v>3</v>
      </c>
      <c r="M38" s="10">
        <v>6</v>
      </c>
      <c r="N38" s="10">
        <v>31</v>
      </c>
      <c r="O38" s="10">
        <v>23</v>
      </c>
      <c r="P38" s="40" cm="1">
        <f t="array" ref="P38">O38*9/H38</f>
        <v>41.400000276055202</v>
      </c>
      <c r="Q38" s="45" t="s">
        <v>66</v>
      </c>
      <c r="R38" s="45" t="s">
        <v>66</v>
      </c>
      <c r="S38" s="45" t="s">
        <v>66</v>
      </c>
      <c r="T38" s="46" t="s">
        <v>66</v>
      </c>
      <c r="U38" s="44" cm="1">
        <f t="array" ref="U38">O38/N38</f>
        <v>0.74193548387096775</v>
      </c>
      <c r="V38" s="45" t="s">
        <v>66</v>
      </c>
      <c r="W38" s="58"/>
      <c r="X38" s="68">
        <v>3.9999999666599999</v>
      </c>
      <c r="Y38" s="69"/>
      <c r="Z38" s="69">
        <v>1.2000000146695999</v>
      </c>
      <c r="AA38" s="68">
        <v>1.2500000104187501</v>
      </c>
      <c r="AB38" s="69"/>
      <c r="AC38" s="9"/>
      <c r="AD38" s="3"/>
      <c r="AE38" s="3"/>
      <c r="AF38" s="3"/>
      <c r="AG38" s="3"/>
      <c r="AH38" s="3"/>
    </row>
    <row r="39" spans="1:34" ht="17.25" customHeight="1">
      <c r="A39" s="38" t="s">
        <v>41</v>
      </c>
      <c r="B39" s="10">
        <v>0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39">
        <v>0</v>
      </c>
      <c r="I39" s="10">
        <v>0</v>
      </c>
      <c r="J39" s="10">
        <v>0</v>
      </c>
      <c r="K39" s="10">
        <v>0</v>
      </c>
      <c r="L39" s="10">
        <v>0</v>
      </c>
      <c r="M39" s="10">
        <v>0</v>
      </c>
      <c r="N39" s="10">
        <v>0</v>
      </c>
      <c r="O39" s="10">
        <v>0</v>
      </c>
      <c r="P39" s="40"/>
      <c r="Q39" s="73"/>
      <c r="R39" s="73"/>
      <c r="S39" s="40"/>
      <c r="T39" s="73"/>
      <c r="U39" s="73"/>
      <c r="V39" s="73"/>
      <c r="W39" s="58"/>
      <c r="X39" s="68"/>
      <c r="Y39" s="69"/>
      <c r="Z39" s="68"/>
      <c r="AA39" s="68"/>
      <c r="AB39" s="69"/>
      <c r="AC39" s="9"/>
      <c r="AD39" s="3"/>
      <c r="AE39" s="3"/>
      <c r="AF39" s="3"/>
      <c r="AG39" s="3"/>
      <c r="AH39" s="3"/>
    </row>
    <row r="40" spans="1:34" ht="17.25" customHeight="1">
      <c r="A40" s="38" t="s">
        <v>42</v>
      </c>
      <c r="B40" s="10">
        <v>8</v>
      </c>
      <c r="C40" s="10">
        <v>2</v>
      </c>
      <c r="D40" s="10">
        <v>2</v>
      </c>
      <c r="E40" s="10">
        <v>1</v>
      </c>
      <c r="F40" s="10">
        <v>102</v>
      </c>
      <c r="G40" s="10">
        <v>55</v>
      </c>
      <c r="H40" s="39">
        <v>13.666633329932999</v>
      </c>
      <c r="I40" s="10">
        <v>16</v>
      </c>
      <c r="J40" s="10">
        <v>1</v>
      </c>
      <c r="K40" s="10">
        <v>45</v>
      </c>
      <c r="L40" s="10">
        <v>1</v>
      </c>
      <c r="M40" s="10">
        <v>13</v>
      </c>
      <c r="N40" s="10">
        <v>36</v>
      </c>
      <c r="O40" s="10">
        <v>21</v>
      </c>
      <c r="P40" s="40" cm="1">
        <f t="array" ref="P40">O40*9/H40</f>
        <v>13.829302026128667</v>
      </c>
      <c r="Q40" s="41" cm="1">
        <f t="array" ref="Q40">(K40+L40)/H40</f>
        <v>3.3658618687932207</v>
      </c>
      <c r="R40" s="42" cm="1">
        <f t="array" ref="R40">I40/H40</f>
        <v>1.1707345630585115</v>
      </c>
      <c r="S40" s="42" cm="1">
        <f t="array" ref="S40">H40/B40</f>
        <v>1.7083291662416249</v>
      </c>
      <c r="T40" s="43" cm="1">
        <f t="array" ref="T40">M40/H40</f>
        <v>0.95122183248504055</v>
      </c>
      <c r="U40" s="44" cm="1">
        <f t="array" ref="U40">O40/N40</f>
        <v>0.58333333333333337</v>
      </c>
      <c r="V40" s="41" cm="1">
        <f t="array" ref="V40">(I40+K40+L40)/H40</f>
        <v>4.5365964318517324</v>
      </c>
      <c r="W40" s="58"/>
      <c r="X40" s="68">
        <v>-5.3333666700669999</v>
      </c>
      <c r="Y40" s="69">
        <v>-0.987160173783594</v>
      </c>
      <c r="Z40" s="69">
        <v>1.2079671319511101</v>
      </c>
      <c r="AA40" s="68">
        <v>1.49999062410226</v>
      </c>
      <c r="AB40" s="69">
        <v>0.22080695816752099</v>
      </c>
      <c r="AC40" s="9"/>
      <c r="AD40" s="3"/>
      <c r="AE40" s="3"/>
      <c r="AF40" s="3"/>
      <c r="AG40" s="3"/>
      <c r="AH40" s="3"/>
    </row>
    <row r="41" spans="1:34" ht="17.25" customHeight="1">
      <c r="A41" s="38" t="s">
        <v>43</v>
      </c>
      <c r="B41" s="10">
        <v>38</v>
      </c>
      <c r="C41" s="10">
        <v>8</v>
      </c>
      <c r="D41" s="10">
        <v>11</v>
      </c>
      <c r="E41" s="10">
        <v>3</v>
      </c>
      <c r="F41" s="10">
        <v>550</v>
      </c>
      <c r="G41" s="10">
        <v>397</v>
      </c>
      <c r="H41" s="39">
        <v>81.666632983</v>
      </c>
      <c r="I41" s="10">
        <v>133</v>
      </c>
      <c r="J41" s="10">
        <v>1</v>
      </c>
      <c r="K41" s="10">
        <v>123</v>
      </c>
      <c r="L41" s="10">
        <v>25</v>
      </c>
      <c r="M41" s="10">
        <v>131</v>
      </c>
      <c r="N41" s="10">
        <v>183</v>
      </c>
      <c r="O41" s="10">
        <v>130</v>
      </c>
      <c r="P41" s="40" cm="1">
        <f t="array" ref="P41">O41*9/H41</f>
        <v>14.326536521268743</v>
      </c>
      <c r="Q41" s="41" cm="1">
        <f t="array" ref="Q41">(K41+L41)/H41</f>
        <v>1.8122456454254479</v>
      </c>
      <c r="R41" s="42" cm="1">
        <f t="array" ref="R41">I41/H41</f>
        <v>1.6285721002809768</v>
      </c>
      <c r="S41" s="42" cm="1">
        <f t="array" ref="S41">H41/B41</f>
        <v>2.1491219206052632</v>
      </c>
      <c r="T41" s="43" cm="1">
        <f t="array" ref="T41">M41/H41</f>
        <v>1.6040822942617139</v>
      </c>
      <c r="U41" s="44" cm="1">
        <f t="array" ref="U41">O41/N41</f>
        <v>0.7103825136612022</v>
      </c>
      <c r="V41" s="41" cm="1">
        <f t="array" ref="V41">(I41+K41+L41)/H41</f>
        <v>3.4408177457064246</v>
      </c>
      <c r="W41" s="58"/>
      <c r="X41" s="70" t="s">
        <v>66</v>
      </c>
      <c r="Y41" s="70" t="s">
        <v>66</v>
      </c>
      <c r="Z41" s="70" t="s">
        <v>66</v>
      </c>
      <c r="AA41" s="70" t="s">
        <v>66</v>
      </c>
      <c r="AB41" s="70" t="s">
        <v>66</v>
      </c>
      <c r="AC41" s="9"/>
      <c r="AD41" s="3"/>
      <c r="AE41" s="3"/>
      <c r="AF41" s="3"/>
      <c r="AG41" s="3"/>
      <c r="AH41" s="3"/>
    </row>
    <row r="42" spans="1:34" ht="17.25" customHeight="1">
      <c r="A42" s="29" t="s">
        <v>45</v>
      </c>
      <c r="B42" s="49" cm="1">
        <f t="array" ref="B42">SUM(B31:B41)</f>
        <v>198</v>
      </c>
      <c r="C42" s="49" cm="1">
        <f t="array" ref="C42">SUM(C31:C41)</f>
        <v>40</v>
      </c>
      <c r="D42" s="49" cm="1">
        <f t="array" ref="D42">SUM(D31:D41)</f>
        <v>45</v>
      </c>
      <c r="E42" s="49" cm="1">
        <f t="array" ref="E42">SUM(E31:E41)</f>
        <v>6</v>
      </c>
      <c r="F42" s="49" cm="1">
        <f t="array" ref="F42">SUM(F31:F41)</f>
        <v>2488</v>
      </c>
      <c r="G42" s="49" cm="1">
        <f t="array" ref="G42">SUM(G31:G41)</f>
        <v>1843</v>
      </c>
      <c r="H42" s="50" cm="1">
        <f t="array" ref="H42">SUM(H31:H41)</f>
        <v>364.66605110785304</v>
      </c>
      <c r="I42" s="49" cm="1">
        <f t="array" ref="I42">SUM(I31:I41)</f>
        <v>655</v>
      </c>
      <c r="J42" s="49" cm="1">
        <f t="array" ref="J42">SUM(J31:J41)</f>
        <v>14</v>
      </c>
      <c r="K42" s="49" cm="1">
        <f t="array" ref="K42">SUM(K31:K41)</f>
        <v>536</v>
      </c>
      <c r="L42" s="49" cm="1">
        <f t="array" ref="L42">SUM(L31:L41)</f>
        <v>99</v>
      </c>
      <c r="M42" s="49" cm="1">
        <f t="array" ref="M42">SUM(M31:M41)</f>
        <v>458</v>
      </c>
      <c r="N42" s="49" cm="1">
        <f t="array" ref="N42">SUM(N31:N41)</f>
        <v>880</v>
      </c>
      <c r="O42" s="49" cm="1">
        <f t="array" ref="O42">SUM(O31:O41)</f>
        <v>605</v>
      </c>
      <c r="P42" s="51" cm="1">
        <f t="array" ref="P42">O42*9/H42</f>
        <v>14.931469445697306</v>
      </c>
      <c r="Q42" s="52" cm="1">
        <f t="array" ref="Q42">(K42+L42)/H42</f>
        <v>1.7413192099206225</v>
      </c>
      <c r="R42" s="53" cm="1">
        <f t="array" ref="R42">I42/H42</f>
        <v>1.7961639094456814</v>
      </c>
      <c r="S42" s="53" cm="1">
        <f t="array" ref="S42">H42/B42</f>
        <v>1.8417477328679446</v>
      </c>
      <c r="T42" s="54" cm="1">
        <f t="array" ref="T42">M42/H42</f>
        <v>1.2559436191238507</v>
      </c>
      <c r="U42" s="55" cm="1">
        <f t="array" ref="U42">O42/N42</f>
        <v>0.6875</v>
      </c>
      <c r="V42" s="52" cm="1">
        <f t="array" ref="V42">(I42+K42+L42)/H42</f>
        <v>3.5374831193663039</v>
      </c>
      <c r="W42" s="9"/>
      <c r="X42" s="34"/>
      <c r="Y42" s="34"/>
      <c r="Z42" s="34"/>
      <c r="AA42" s="34"/>
      <c r="AB42" s="34"/>
      <c r="AC42" s="3"/>
      <c r="AD42" s="3"/>
      <c r="AE42" s="3"/>
      <c r="AF42" s="3"/>
      <c r="AG42" s="3"/>
      <c r="AH42" s="3"/>
    </row>
    <row r="43" spans="1:34" ht="16.5" customHeight="1">
      <c r="A43" s="34"/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5"/>
      <c r="U43" s="34"/>
      <c r="V43" s="34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 ht="16.5" customHeight="1">
      <c r="A44" s="3"/>
      <c r="B44" s="3"/>
      <c r="C44" s="3"/>
      <c r="D44" s="3"/>
      <c r="E44" s="3"/>
      <c r="F44" s="3"/>
      <c r="G44" s="6"/>
      <c r="H44" s="6"/>
      <c r="I44" s="6"/>
      <c r="J44" s="6"/>
      <c r="K44" s="6"/>
      <c r="L44" s="3"/>
      <c r="M44" s="3"/>
      <c r="N44" s="3"/>
      <c r="O44" s="3"/>
      <c r="P44" s="3"/>
      <c r="Q44" s="3"/>
      <c r="R44" s="3"/>
      <c r="S44" s="3"/>
      <c r="T44" s="4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45" spans="1:34" ht="16.5" customHeight="1">
      <c r="A45" s="3"/>
      <c r="B45" s="3"/>
      <c r="C45" s="3"/>
      <c r="D45" s="3"/>
      <c r="E45" s="3"/>
      <c r="F45" s="56"/>
      <c r="G45" s="74" t="s">
        <v>75</v>
      </c>
      <c r="H45" s="74" t="s">
        <v>76</v>
      </c>
      <c r="I45" s="74" t="s">
        <v>77</v>
      </c>
      <c r="J45" s="74" t="s">
        <v>78</v>
      </c>
      <c r="K45" s="74" t="s">
        <v>79</v>
      </c>
      <c r="L45" s="9"/>
      <c r="M45" s="3"/>
      <c r="N45" s="3"/>
      <c r="O45" s="3"/>
      <c r="P45" s="3"/>
      <c r="Q45" s="3"/>
      <c r="R45" s="3"/>
      <c r="S45" s="75"/>
      <c r="T45" s="4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</row>
    <row r="46" spans="1:34" ht="17.25" customHeight="1">
      <c r="A46" s="3"/>
      <c r="B46" s="3"/>
      <c r="C46" s="3"/>
      <c r="D46" s="3"/>
      <c r="E46" s="3"/>
      <c r="F46" s="56"/>
      <c r="G46" s="38" t="s">
        <v>24</v>
      </c>
      <c r="H46" s="76"/>
      <c r="I46" s="76">
        <v>43.661971830985898</v>
      </c>
      <c r="J46" s="76" cm="1">
        <f t="array" ref="J46">(K31+L31)/F31*100</f>
        <v>31.785714285714285</v>
      </c>
      <c r="K46" s="77">
        <v>45.569620253164601</v>
      </c>
      <c r="L46" s="9"/>
      <c r="M46" s="3"/>
      <c r="N46" s="3"/>
      <c r="O46" s="3"/>
      <c r="P46" s="3"/>
      <c r="Q46" s="3"/>
      <c r="R46" s="3"/>
      <c r="S46" s="3"/>
      <c r="T46" s="4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</row>
    <row r="47" spans="1:34" ht="17.25" customHeight="1">
      <c r="A47" s="3"/>
      <c r="B47" s="3"/>
      <c r="C47" s="3"/>
      <c r="D47" s="3"/>
      <c r="E47" s="3"/>
      <c r="F47" s="56"/>
      <c r="G47" s="38" t="s">
        <v>27</v>
      </c>
      <c r="H47" s="76"/>
      <c r="I47" s="76"/>
      <c r="J47" s="76"/>
      <c r="K47" s="77"/>
      <c r="L47" s="9"/>
      <c r="M47" s="3"/>
      <c r="N47" s="3"/>
      <c r="O47" s="3"/>
      <c r="P47" s="3"/>
      <c r="Q47" s="3"/>
      <c r="R47" s="3"/>
      <c r="S47" s="75"/>
      <c r="T47" s="4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</row>
    <row r="48" spans="1:34" ht="17.25" customHeight="1">
      <c r="A48" s="3"/>
      <c r="B48" s="3"/>
      <c r="C48" s="3"/>
      <c r="D48" s="3"/>
      <c r="E48" s="3"/>
      <c r="F48" s="56"/>
      <c r="G48" s="38" t="s">
        <v>29</v>
      </c>
      <c r="H48" s="76"/>
      <c r="I48" s="76">
        <v>24.778761061946899</v>
      </c>
      <c r="J48" s="76" cm="1">
        <f t="array" ref="J48">(K33+L33)/F33*100</f>
        <v>27.181208053691275</v>
      </c>
      <c r="K48" s="77">
        <v>25</v>
      </c>
      <c r="L48" s="9"/>
      <c r="M48" s="3"/>
      <c r="N48" s="3"/>
      <c r="O48" s="3"/>
      <c r="P48" s="3"/>
      <c r="Q48" s="3"/>
      <c r="R48" s="3"/>
      <c r="S48" s="75"/>
      <c r="T48" s="4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</row>
    <row r="49" spans="1:34" ht="17.25" customHeight="1">
      <c r="A49" s="3"/>
      <c r="B49" s="3"/>
      <c r="C49" s="3"/>
      <c r="D49" s="3"/>
      <c r="E49" s="3"/>
      <c r="F49" s="56"/>
      <c r="G49" s="38" t="s">
        <v>33</v>
      </c>
      <c r="H49" s="76">
        <v>16.6666666666667</v>
      </c>
      <c r="I49" s="76">
        <v>15.6521739130435</v>
      </c>
      <c r="J49" s="76" cm="1">
        <f t="array" ref="J49">(K34+L34)/F34*100</f>
        <v>18.804920913884008</v>
      </c>
      <c r="K49" s="77">
        <v>17.434210526315798</v>
      </c>
      <c r="L49" s="9"/>
      <c r="M49" s="3"/>
      <c r="N49" s="3"/>
      <c r="O49" s="3"/>
      <c r="P49" s="3"/>
      <c r="Q49" s="3"/>
      <c r="R49" s="3"/>
      <c r="S49" s="75"/>
      <c r="T49" s="4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</row>
    <row r="50" spans="1:34" ht="17.25" customHeight="1">
      <c r="A50" s="3"/>
      <c r="B50" s="3"/>
      <c r="C50" s="3"/>
      <c r="D50" s="3"/>
      <c r="E50" s="3"/>
      <c r="F50" s="56"/>
      <c r="G50" s="38" t="s">
        <v>35</v>
      </c>
      <c r="H50" s="76"/>
      <c r="I50" s="76"/>
      <c r="J50" s="76" cm="1">
        <f t="array" ref="J50">(K35+L35)/F35*100</f>
        <v>20.634920634920633</v>
      </c>
      <c r="K50" s="77">
        <v>66.6666666666667</v>
      </c>
      <c r="L50" s="9"/>
      <c r="M50" s="3"/>
      <c r="N50" s="3"/>
      <c r="O50" s="3"/>
      <c r="P50" s="3"/>
      <c r="Q50" s="3"/>
      <c r="R50" s="3"/>
      <c r="S50" s="75"/>
      <c r="T50" s="4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</row>
    <row r="51" spans="1:34" ht="17.25" customHeight="1">
      <c r="A51" s="3"/>
      <c r="B51" s="3"/>
      <c r="C51" s="3"/>
      <c r="D51" s="3"/>
      <c r="E51" s="3"/>
      <c r="F51" s="56"/>
      <c r="G51" s="38" t="s">
        <v>36</v>
      </c>
      <c r="H51" s="76">
        <v>37.5</v>
      </c>
      <c r="I51" s="76">
        <v>27.559055118110201</v>
      </c>
      <c r="J51" s="76" cm="1">
        <f t="array" ref="J51">(K36+L36)/F36*100</f>
        <v>28.72727272727273</v>
      </c>
      <c r="K51" s="77">
        <v>30.882352941176499</v>
      </c>
      <c r="L51" s="78"/>
      <c r="M51" s="3"/>
      <c r="N51" s="3"/>
      <c r="O51" s="3"/>
      <c r="P51" s="3"/>
      <c r="Q51" s="3"/>
      <c r="R51" s="3"/>
      <c r="S51" s="3"/>
      <c r="T51" s="4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</row>
    <row r="52" spans="1:34" ht="17.25" customHeight="1">
      <c r="A52" s="3"/>
      <c r="B52" s="3"/>
      <c r="C52" s="3"/>
      <c r="D52" s="3"/>
      <c r="E52" s="3"/>
      <c r="F52" s="56"/>
      <c r="G52" s="38" t="s">
        <v>37</v>
      </c>
      <c r="H52" s="76"/>
      <c r="I52" s="76">
        <v>33.3333333333333</v>
      </c>
      <c r="J52" s="76" cm="1">
        <f t="array" ref="J52">(K37+L37)/F37*100</f>
        <v>25.842696629213485</v>
      </c>
      <c r="K52" s="77">
        <v>26.5486725663717</v>
      </c>
      <c r="L52" s="79"/>
      <c r="M52" s="3"/>
      <c r="N52" s="3"/>
      <c r="O52" s="3"/>
      <c r="P52" s="3"/>
      <c r="Q52" s="3"/>
      <c r="R52" s="3"/>
      <c r="S52" s="3"/>
      <c r="T52" s="4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</row>
    <row r="53" spans="1:34" ht="17.25" customHeight="1">
      <c r="A53" s="3"/>
      <c r="B53" s="3"/>
      <c r="C53" s="3"/>
      <c r="D53" s="3"/>
      <c r="E53" s="3"/>
      <c r="F53" s="56"/>
      <c r="G53" s="38" t="s">
        <v>40</v>
      </c>
      <c r="H53" s="76"/>
      <c r="I53" s="76"/>
      <c r="J53" s="76" cm="1">
        <f t="array" ref="J53">(K38+L38)/F38*100</f>
        <v>20.37037037037037</v>
      </c>
      <c r="K53" s="77">
        <v>19.230769230769202</v>
      </c>
      <c r="L53" s="78"/>
      <c r="M53" s="3"/>
      <c r="N53" s="3"/>
      <c r="O53" s="3"/>
      <c r="P53" s="3"/>
      <c r="Q53" s="3"/>
      <c r="R53" s="3"/>
      <c r="S53" s="3"/>
      <c r="T53" s="4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</row>
    <row r="54" spans="1:34" ht="17.25" customHeight="1">
      <c r="A54" s="3"/>
      <c r="B54" s="3"/>
      <c r="C54" s="3"/>
      <c r="D54" s="3"/>
      <c r="E54" s="3"/>
      <c r="F54" s="56"/>
      <c r="G54" s="38" t="s">
        <v>42</v>
      </c>
      <c r="H54" s="76">
        <v>38.636363636363598</v>
      </c>
      <c r="I54" s="76">
        <v>49.056603773584897</v>
      </c>
      <c r="J54" s="76" cm="1">
        <f t="array" ref="J54">(K40+L40)/F40*100</f>
        <v>45.098039215686278</v>
      </c>
      <c r="K54" s="77">
        <v>44.4444444444444</v>
      </c>
      <c r="L54" s="78"/>
      <c r="M54" s="3"/>
      <c r="N54" s="3"/>
      <c r="O54" s="3"/>
      <c r="P54" s="3"/>
      <c r="Q54" s="3"/>
      <c r="R54" s="3"/>
      <c r="S54" s="3"/>
      <c r="T54" s="4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</row>
    <row r="55" spans="1:34" ht="17.25" customHeight="1">
      <c r="A55" s="3"/>
      <c r="B55" s="3"/>
      <c r="C55" s="3"/>
      <c r="D55" s="3"/>
      <c r="E55" s="3"/>
      <c r="F55" s="56"/>
      <c r="G55" s="38" t="s">
        <v>43</v>
      </c>
      <c r="H55" s="76">
        <v>29.4444444444444</v>
      </c>
      <c r="I55" s="76">
        <v>24.761904761904798</v>
      </c>
      <c r="J55" s="76" cm="1">
        <f t="array" ref="J55">(K41+L41)/F41*100</f>
        <v>26.90909090909091</v>
      </c>
      <c r="K55" s="77">
        <v>27.426160337552702</v>
      </c>
      <c r="L55" s="79"/>
      <c r="M55" s="3"/>
      <c r="N55" s="3"/>
      <c r="O55" s="3"/>
      <c r="P55" s="3"/>
      <c r="Q55" s="3"/>
      <c r="R55" s="3"/>
      <c r="S55" s="3"/>
      <c r="T55" s="4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</row>
  </sheetData>
  <mergeCells count="1">
    <mergeCell ref="X2:AB2"/>
  </mergeCells>
  <phoneticPr fontId="21" type="noConversion"/>
  <conditionalFormatting sqref="P4:P26">
    <cfRule type="cellIs" dxfId="5" priority="1" stopIfTrue="1" operator="greaterThan">
      <formula>0.3</formula>
    </cfRule>
  </conditionalFormatting>
  <conditionalFormatting sqref="T4:T26">
    <cfRule type="cellIs" dxfId="4" priority="2" stopIfTrue="1" operator="greaterThan">
      <formula>0.35</formula>
    </cfRule>
  </conditionalFormatting>
  <conditionalFormatting sqref="X4:X27 Z4:AB27 AA31:AA32 X31:X41 Z36:AA37 AA38:AA40">
    <cfRule type="cellIs" dxfId="3" priority="3" stopIfTrue="1" operator="greaterThanOrEqual">
      <formula>0</formula>
    </cfRule>
    <cfRule type="cellIs" dxfId="2" priority="3" stopIfTrue="1" operator="lessThan">
      <formula>0</formula>
    </cfRule>
  </conditionalFormatting>
  <conditionalFormatting sqref="Y4:Y27 Y31:Z32 AB31:AB41 Y33:Y38 Z35 Z38 Y39:Z40 Y41 H46:K55">
    <cfRule type="cellIs" dxfId="1" priority="4" stopIfTrue="1" operator="lessThan">
      <formula>0</formula>
    </cfRule>
  </conditionalFormatting>
  <pageMargins left="0.69972199999999996" right="0.69972199999999996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AR46"/>
  <sheetViews>
    <sheetView showGridLines="0" zoomScale="70" zoomScaleNormal="70" workbookViewId="0">
      <selection activeCell="D4" sqref="D4:E26"/>
    </sheetView>
  </sheetViews>
  <sheetFormatPr defaultColWidth="9" defaultRowHeight="16.5" customHeight="1"/>
  <cols>
    <col min="1" max="18" width="8.875" style="1" customWidth="1"/>
    <col min="19" max="19" width="10.875" style="1" customWidth="1"/>
    <col min="20" max="22" width="9" style="1" customWidth="1"/>
    <col min="23" max="23" width="11.375" style="1" customWidth="1"/>
    <col min="24" max="24" width="2.625" style="1" customWidth="1"/>
    <col min="25" max="30" width="9" style="1" customWidth="1"/>
    <col min="31" max="16384" width="9" style="1"/>
  </cols>
  <sheetData>
    <row r="1" spans="1:36" ht="26.25" customHeight="1">
      <c r="A1" s="118" t="s">
        <v>108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120"/>
    </row>
    <row r="2" spans="1:36" ht="17.25" customHeight="1">
      <c r="A2" s="121" t="s">
        <v>1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3"/>
      <c r="Y2" s="122"/>
      <c r="Z2" s="122"/>
      <c r="AA2" s="122"/>
      <c r="AB2" s="122"/>
      <c r="AC2" s="124"/>
    </row>
    <row r="3" spans="1:36" ht="34.5" customHeight="1">
      <c r="A3" s="8" t="s">
        <v>101</v>
      </c>
      <c r="B3" s="8" t="s">
        <v>3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10</v>
      </c>
      <c r="J3" s="8" t="s">
        <v>11</v>
      </c>
      <c r="K3" s="8" t="s">
        <v>12</v>
      </c>
      <c r="L3" s="8" t="s">
        <v>13</v>
      </c>
      <c r="M3" s="8" t="s">
        <v>14</v>
      </c>
      <c r="N3" s="8" t="s">
        <v>15</v>
      </c>
      <c r="O3" s="8" t="s">
        <v>16</v>
      </c>
      <c r="P3" s="8" t="s">
        <v>109</v>
      </c>
      <c r="Q3" s="8" t="s">
        <v>18</v>
      </c>
      <c r="R3" s="8" t="s">
        <v>19</v>
      </c>
      <c r="S3" s="8" t="s">
        <v>20</v>
      </c>
      <c r="T3" s="8" t="s">
        <v>110</v>
      </c>
      <c r="U3" s="8" t="s">
        <v>22</v>
      </c>
      <c r="V3" s="8" t="s">
        <v>23</v>
      </c>
      <c r="W3" s="8" t="s">
        <v>111</v>
      </c>
      <c r="X3" s="125"/>
      <c r="Y3" s="8" t="s">
        <v>112</v>
      </c>
      <c r="Z3" s="8" t="s">
        <v>55</v>
      </c>
      <c r="AA3" s="8" t="s">
        <v>113</v>
      </c>
      <c r="AB3" s="8" t="s">
        <v>114</v>
      </c>
      <c r="AC3" s="8" t="s">
        <v>115</v>
      </c>
    </row>
    <row r="4" spans="1:36" ht="19.5" customHeight="1">
      <c r="A4" s="8" t="s">
        <v>30</v>
      </c>
      <c r="B4" s="10">
        <v>16</v>
      </c>
      <c r="C4" s="126" cm="1">
        <f t="array" ref="C4">F4/E4</f>
        <v>0.60869565217391308</v>
      </c>
      <c r="D4" s="10">
        <v>56</v>
      </c>
      <c r="E4" s="10">
        <v>46</v>
      </c>
      <c r="F4" s="10">
        <v>28</v>
      </c>
      <c r="G4" s="10">
        <v>20</v>
      </c>
      <c r="H4" s="10">
        <v>4</v>
      </c>
      <c r="I4" s="10">
        <v>2</v>
      </c>
      <c r="J4" s="10">
        <v>2</v>
      </c>
      <c r="K4" s="10">
        <v>35</v>
      </c>
      <c r="L4" s="10">
        <v>22</v>
      </c>
      <c r="M4" s="10">
        <v>29</v>
      </c>
      <c r="N4" s="10">
        <v>7</v>
      </c>
      <c r="O4" s="10">
        <v>4</v>
      </c>
      <c r="P4" s="127" cm="1">
        <f t="array" ref="P4">O4/D4</f>
        <v>7.1428571428571425E-2</v>
      </c>
      <c r="Q4" s="13" cm="1">
        <f t="array" ref="Q4">(G4*1+H4*2+I4*3+J4*4)/E4</f>
        <v>0.91304347826086951</v>
      </c>
      <c r="R4" s="13" cm="1">
        <f t="array" ref="R4">(F4+N4)/D4</f>
        <v>0.625</v>
      </c>
      <c r="S4" s="15" cm="1">
        <f t="array" ref="S4">R4+Q4</f>
        <v>1.5380434782608696</v>
      </c>
      <c r="T4" s="128" cm="1">
        <f t="array" ref="T4">O4/(D4-(F4+N4))</f>
        <v>0.19047619047619047</v>
      </c>
      <c r="U4" s="17" cm="1">
        <f t="array" ref="U4">RANK(R4,$R$4:$R$26)</f>
        <v>2</v>
      </c>
      <c r="V4" s="18" cm="1">
        <f t="array" ref="V4">RANK(S4,$S$4:$S$26)</f>
        <v>1</v>
      </c>
      <c r="W4" s="129" cm="1">
        <f t="array" ref="W4">RANK(C4,$C$4:$C$26)</f>
        <v>1</v>
      </c>
      <c r="X4" s="130"/>
      <c r="Y4" s="48">
        <v>0</v>
      </c>
      <c r="Z4" s="48">
        <v>2</v>
      </c>
      <c r="AA4" s="48">
        <v>0</v>
      </c>
      <c r="AB4" s="48">
        <v>0</v>
      </c>
      <c r="AC4" s="48">
        <v>0</v>
      </c>
    </row>
    <row r="5" spans="1:36" ht="19.5" customHeight="1">
      <c r="A5" s="8" t="s">
        <v>26</v>
      </c>
      <c r="B5" s="10">
        <v>17</v>
      </c>
      <c r="C5" s="126" cm="1">
        <f t="array" ref="C5">F5/E5</f>
        <v>0.52083333333333337</v>
      </c>
      <c r="D5" s="10">
        <v>58</v>
      </c>
      <c r="E5" s="10">
        <v>48</v>
      </c>
      <c r="F5" s="10">
        <v>25</v>
      </c>
      <c r="G5" s="10">
        <v>11</v>
      </c>
      <c r="H5" s="10">
        <v>11</v>
      </c>
      <c r="I5" s="10">
        <v>2</v>
      </c>
      <c r="J5" s="10">
        <v>1</v>
      </c>
      <c r="K5" s="10">
        <v>26</v>
      </c>
      <c r="L5" s="10">
        <v>24</v>
      </c>
      <c r="M5" s="10">
        <v>17</v>
      </c>
      <c r="N5" s="10">
        <v>7</v>
      </c>
      <c r="O5" s="10">
        <v>3</v>
      </c>
      <c r="P5" s="127" cm="1">
        <f t="array" ref="P5">O5/D5</f>
        <v>5.1724137931034482E-2</v>
      </c>
      <c r="Q5" s="13" cm="1">
        <f t="array" ref="Q5">(G5*1+H5*2+I5*3+J5*4)/E5</f>
        <v>0.89583333333333337</v>
      </c>
      <c r="R5" s="13" cm="1">
        <f t="array" ref="R5">(F5+N5)/D5</f>
        <v>0.55172413793103448</v>
      </c>
      <c r="S5" s="15" cm="1">
        <f t="array" ref="S5">R5+Q5</f>
        <v>1.4475574712643677</v>
      </c>
      <c r="T5" s="128" cm="1">
        <f t="array" ref="T5">O5/(D5-(F5+N5))</f>
        <v>0.11538461538461539</v>
      </c>
      <c r="U5" s="17" cm="1">
        <f t="array" ref="U5">RANK(R5,$R$4:$R$26)</f>
        <v>5</v>
      </c>
      <c r="V5" s="18" cm="1">
        <f t="array" ref="V5">RANK(S5,$S$4:$S$26)</f>
        <v>2</v>
      </c>
      <c r="W5" s="129" cm="1">
        <f t="array" ref="W5">RANK(C5,$C$4:$C$26)</f>
        <v>2</v>
      </c>
      <c r="X5" s="130"/>
      <c r="Y5" s="48">
        <v>0</v>
      </c>
      <c r="Z5" s="48">
        <v>2</v>
      </c>
      <c r="AA5" s="48">
        <v>0</v>
      </c>
      <c r="AB5" s="48">
        <v>0</v>
      </c>
      <c r="AC5" s="48">
        <v>0</v>
      </c>
    </row>
    <row r="6" spans="1:36" ht="19.5" customHeight="1">
      <c r="A6" s="8" t="s">
        <v>33</v>
      </c>
      <c r="B6" s="10">
        <v>14</v>
      </c>
      <c r="C6" s="126" cm="1">
        <f t="array" ref="C6">F6/E6</f>
        <v>0.47368421052631576</v>
      </c>
      <c r="D6" s="10">
        <v>42</v>
      </c>
      <c r="E6" s="10">
        <v>38</v>
      </c>
      <c r="F6" s="10">
        <v>18</v>
      </c>
      <c r="G6" s="10">
        <v>9</v>
      </c>
      <c r="H6" s="10">
        <v>8</v>
      </c>
      <c r="I6" s="10">
        <v>1</v>
      </c>
      <c r="J6" s="10">
        <v>0</v>
      </c>
      <c r="K6" s="10">
        <v>18</v>
      </c>
      <c r="L6" s="10">
        <v>18</v>
      </c>
      <c r="M6" s="10">
        <v>11</v>
      </c>
      <c r="N6" s="10">
        <v>4</v>
      </c>
      <c r="O6" s="10">
        <v>3</v>
      </c>
      <c r="P6" s="127" cm="1">
        <f t="array" ref="P6">O6/D6</f>
        <v>7.1428571428571425E-2</v>
      </c>
      <c r="Q6" s="13" cm="1">
        <f t="array" ref="Q6">(G6*1+H6*2+I6*3+J6*4)/E6</f>
        <v>0.73684210526315785</v>
      </c>
      <c r="R6" s="13" cm="1">
        <f t="array" ref="R6">(F6+N6)/D6</f>
        <v>0.52380952380952384</v>
      </c>
      <c r="S6" s="15" cm="1">
        <f t="array" ref="S6">R6+Q6</f>
        <v>1.2606516290726817</v>
      </c>
      <c r="T6" s="128" cm="1">
        <f t="array" ref="T6">O6/(D6-(F6+N6))</f>
        <v>0.15</v>
      </c>
      <c r="U6" s="17" cm="1">
        <f t="array" ref="U6">RANK(R6,$R$4:$R$26)</f>
        <v>10</v>
      </c>
      <c r="V6" s="18" cm="1">
        <f t="array" ref="V6">RANK(S6,$S$4:$S$26)</f>
        <v>4</v>
      </c>
      <c r="W6" s="129" cm="1">
        <f t="array" ref="W6">RANK(C6,$C$4:$C$26)</f>
        <v>3</v>
      </c>
      <c r="X6" s="130"/>
      <c r="Y6" s="48">
        <v>2</v>
      </c>
      <c r="Z6" s="48">
        <v>1</v>
      </c>
      <c r="AA6" s="48">
        <v>0</v>
      </c>
      <c r="AB6" s="48">
        <v>0</v>
      </c>
      <c r="AC6" s="48">
        <v>0</v>
      </c>
    </row>
    <row r="7" spans="1:36" ht="19.5" customHeight="1">
      <c r="A7" s="8" t="s">
        <v>24</v>
      </c>
      <c r="B7" s="10">
        <v>11</v>
      </c>
      <c r="C7" s="126" cm="1">
        <f t="array" ref="C7">F7/E7</f>
        <v>0.47058823529411764</v>
      </c>
      <c r="D7" s="10">
        <v>20</v>
      </c>
      <c r="E7" s="10">
        <v>17</v>
      </c>
      <c r="F7" s="10">
        <v>8</v>
      </c>
      <c r="G7" s="10">
        <v>6</v>
      </c>
      <c r="H7" s="10">
        <v>1</v>
      </c>
      <c r="I7" s="10">
        <v>1</v>
      </c>
      <c r="J7" s="10">
        <v>0</v>
      </c>
      <c r="K7" s="10">
        <v>7</v>
      </c>
      <c r="L7" s="10">
        <v>5</v>
      </c>
      <c r="M7" s="10">
        <v>8</v>
      </c>
      <c r="N7" s="10">
        <v>3</v>
      </c>
      <c r="O7" s="10">
        <v>6</v>
      </c>
      <c r="P7" s="131" cm="1">
        <f t="array" ref="P7">O7/D7</f>
        <v>0.3</v>
      </c>
      <c r="Q7" s="13" cm="1">
        <f t="array" ref="Q7">(G7*1+H7*2+I7*3+J7*4)/E7</f>
        <v>0.6470588235294118</v>
      </c>
      <c r="R7" s="13" cm="1">
        <f t="array" ref="R7">(F7+N7)/D7</f>
        <v>0.55000000000000004</v>
      </c>
      <c r="S7" s="15" cm="1">
        <f t="array" ref="S7">R7+Q7</f>
        <v>1.197058823529412</v>
      </c>
      <c r="T7" s="132" cm="1">
        <f t="array" ref="T7">O7/(D7-(F7+N7))</f>
        <v>0.66666666666666663</v>
      </c>
      <c r="U7" s="17" cm="1">
        <f t="array" ref="U7">RANK(R7,$R$4:$R$26)</f>
        <v>6</v>
      </c>
      <c r="V7" s="18" cm="1">
        <f t="array" ref="V7">RANK(S7,$S$4:$S$26)</f>
        <v>6</v>
      </c>
      <c r="W7" s="129" cm="1">
        <f t="array" ref="W7">RANK(C7,$C$4:$C$26)</f>
        <v>4</v>
      </c>
      <c r="X7" s="130"/>
      <c r="Y7" s="48">
        <v>2</v>
      </c>
      <c r="Z7" s="48">
        <v>1</v>
      </c>
      <c r="AA7" s="48">
        <v>0</v>
      </c>
      <c r="AB7" s="48">
        <v>0</v>
      </c>
      <c r="AC7" s="48">
        <v>0</v>
      </c>
    </row>
    <row r="8" spans="1:36" ht="19.5" customHeight="1">
      <c r="A8" s="8" t="s">
        <v>29</v>
      </c>
      <c r="B8" s="10">
        <v>9</v>
      </c>
      <c r="C8" s="126" cm="1">
        <f t="array" ref="C8">F8/E8</f>
        <v>0.46153846153846156</v>
      </c>
      <c r="D8" s="10">
        <v>16</v>
      </c>
      <c r="E8" s="10">
        <v>13</v>
      </c>
      <c r="F8" s="10">
        <v>6</v>
      </c>
      <c r="G8" s="10">
        <v>6</v>
      </c>
      <c r="H8" s="10">
        <v>0</v>
      </c>
      <c r="I8" s="10">
        <v>0</v>
      </c>
      <c r="J8" s="10">
        <v>0</v>
      </c>
      <c r="K8" s="10">
        <v>6</v>
      </c>
      <c r="L8" s="10">
        <v>3</v>
      </c>
      <c r="M8" s="10">
        <v>2</v>
      </c>
      <c r="N8" s="10">
        <v>2</v>
      </c>
      <c r="O8" s="10">
        <v>2</v>
      </c>
      <c r="P8" s="127" cm="1">
        <f t="array" ref="P8">O8/D8</f>
        <v>0.125</v>
      </c>
      <c r="Q8" s="13" cm="1">
        <f t="array" ref="Q8">(G8*1+H8*2+I8*3+J8*4)/E8</f>
        <v>0.46153846153846156</v>
      </c>
      <c r="R8" s="13" cm="1">
        <f t="array" ref="R8">(F8+N8)/D8</f>
        <v>0.5</v>
      </c>
      <c r="S8" s="15" cm="1">
        <f t="array" ref="S8">R8+Q8</f>
        <v>0.96153846153846156</v>
      </c>
      <c r="T8" s="128" cm="1">
        <f t="array" ref="T8">O8/(D8-(F8+N8))</f>
        <v>0.25</v>
      </c>
      <c r="U8" s="17" cm="1">
        <f t="array" ref="U8">RANK(R8,$R$4:$R$26)</f>
        <v>11</v>
      </c>
      <c r="V8" s="18" cm="1">
        <f t="array" ref="V8">RANK(S8,$S$4:$S$26)</f>
        <v>12</v>
      </c>
      <c r="W8" s="129" cm="1">
        <f t="array" ref="W8">RANK(C8,$C$4:$C$26)</f>
        <v>5</v>
      </c>
      <c r="X8" s="130"/>
      <c r="Y8" s="48">
        <v>1</v>
      </c>
      <c r="Z8" s="48">
        <v>1</v>
      </c>
      <c r="AA8" s="48">
        <v>0</v>
      </c>
      <c r="AB8" s="48">
        <v>0</v>
      </c>
      <c r="AC8" s="48">
        <v>0</v>
      </c>
    </row>
    <row r="9" spans="1:36" ht="19.5" customHeight="1">
      <c r="A9" s="8" t="s">
        <v>37</v>
      </c>
      <c r="B9" s="10">
        <v>13</v>
      </c>
      <c r="C9" s="126" cm="1">
        <f t="array" ref="C9">F9/E9</f>
        <v>0.43478260869565216</v>
      </c>
      <c r="D9" s="10">
        <v>30</v>
      </c>
      <c r="E9" s="10">
        <v>23</v>
      </c>
      <c r="F9" s="10">
        <v>10</v>
      </c>
      <c r="G9" s="10">
        <v>7</v>
      </c>
      <c r="H9" s="10">
        <v>3</v>
      </c>
      <c r="I9" s="10">
        <v>0</v>
      </c>
      <c r="J9" s="10">
        <v>0</v>
      </c>
      <c r="K9" s="10">
        <v>10</v>
      </c>
      <c r="L9" s="10">
        <v>7</v>
      </c>
      <c r="M9" s="10">
        <v>16</v>
      </c>
      <c r="N9" s="10">
        <v>6</v>
      </c>
      <c r="O9" s="10">
        <v>7</v>
      </c>
      <c r="P9" s="127" cm="1">
        <f t="array" ref="P9">O9/D9</f>
        <v>0.23333333333333334</v>
      </c>
      <c r="Q9" s="13" cm="1">
        <f t="array" ref="Q9">(G9*1+H9*2+I9*3+J9*4)/E9</f>
        <v>0.56521739130434778</v>
      </c>
      <c r="R9" s="13" cm="1">
        <f t="array" ref="R9">(F9+N9)/D9</f>
        <v>0.53333333333333333</v>
      </c>
      <c r="S9" s="15" cm="1">
        <f t="array" ref="S9">R9+Q9</f>
        <v>1.0985507246376811</v>
      </c>
      <c r="T9" s="128" cm="1">
        <f t="array" ref="T9">O9/(D9-(F9+N9))</f>
        <v>0.5</v>
      </c>
      <c r="U9" s="17" cm="1">
        <f t="array" ref="U9">RANK(R9,$R$4:$R$26)</f>
        <v>7</v>
      </c>
      <c r="V9" s="18" cm="1">
        <f t="array" ref="V9">RANK(S9,$S$4:$S$26)</f>
        <v>8</v>
      </c>
      <c r="W9" s="129" cm="1">
        <f t="array" ref="W9">RANK(C9,$C$4:$C$26)</f>
        <v>6</v>
      </c>
      <c r="X9" s="130"/>
      <c r="Y9" s="48">
        <v>1</v>
      </c>
      <c r="Z9" s="48">
        <v>2</v>
      </c>
      <c r="AA9" s="48">
        <v>0</v>
      </c>
      <c r="AB9" s="48">
        <v>0</v>
      </c>
      <c r="AC9" s="48">
        <v>0</v>
      </c>
      <c r="AE9" s="225" t="s">
        <v>101</v>
      </c>
      <c r="AF9" s="225" t="s">
        <v>4</v>
      </c>
      <c r="AG9" s="225" t="s">
        <v>20</v>
      </c>
      <c r="AH9" s="225" t="s">
        <v>13</v>
      </c>
      <c r="AI9" s="225" t="s">
        <v>12</v>
      </c>
      <c r="AJ9" s="225" t="s">
        <v>14</v>
      </c>
    </row>
    <row r="10" spans="1:36" ht="19.5" customHeight="1">
      <c r="A10" s="8" t="s">
        <v>43</v>
      </c>
      <c r="B10" s="10">
        <v>22</v>
      </c>
      <c r="C10" s="126" cm="1">
        <f t="array" ref="C10">F10/E10</f>
        <v>0.43137254901960786</v>
      </c>
      <c r="D10" s="10">
        <v>62</v>
      </c>
      <c r="E10" s="10">
        <v>51</v>
      </c>
      <c r="F10" s="10">
        <v>22</v>
      </c>
      <c r="G10" s="10">
        <v>17</v>
      </c>
      <c r="H10" s="10">
        <v>5</v>
      </c>
      <c r="I10" s="10">
        <v>0</v>
      </c>
      <c r="J10" s="10">
        <v>0</v>
      </c>
      <c r="K10" s="10">
        <v>15</v>
      </c>
      <c r="L10" s="10">
        <v>19</v>
      </c>
      <c r="M10" s="10">
        <v>18</v>
      </c>
      <c r="N10" s="10">
        <v>11</v>
      </c>
      <c r="O10" s="10">
        <v>3</v>
      </c>
      <c r="P10" s="127" cm="1">
        <f t="array" ref="P10">O10/D10</f>
        <v>4.8387096774193547E-2</v>
      </c>
      <c r="Q10" s="13" cm="1">
        <f t="array" ref="Q10">(G10*1+H10*2+I10*3+J10*4)/E10</f>
        <v>0.52941176470588236</v>
      </c>
      <c r="R10" s="13" cm="1">
        <f t="array" ref="R10">(F10+N10)/D10</f>
        <v>0.532258064516129</v>
      </c>
      <c r="S10" s="15" cm="1">
        <f t="array" ref="S10">R10+Q10</f>
        <v>1.0616698292220113</v>
      </c>
      <c r="T10" s="128" cm="1">
        <f t="array" ref="T10">O10/(D10-(F10+N10))</f>
        <v>0.10344827586206896</v>
      </c>
      <c r="U10" s="17" cm="1">
        <f t="array" ref="U10">RANK(R10,$R$4:$R$26)</f>
        <v>9</v>
      </c>
      <c r="V10" s="18" cm="1">
        <f t="array" ref="V10">RANK(S10,$S$4:$S$26)</f>
        <v>9</v>
      </c>
      <c r="W10" s="129" cm="1">
        <f t="array" ref="W10">RANK(C10,$C$4:$C$26)</f>
        <v>7</v>
      </c>
      <c r="X10" s="130"/>
      <c r="Y10" s="48">
        <v>6</v>
      </c>
      <c r="Z10" s="48">
        <v>2</v>
      </c>
      <c r="AA10" s="48">
        <v>0</v>
      </c>
      <c r="AB10" s="48">
        <v>0</v>
      </c>
      <c r="AC10" s="48">
        <v>0</v>
      </c>
      <c r="AE10" s="225" t="s">
        <v>30</v>
      </c>
      <c r="AF10" s="226">
        <v>0.60869565217391308</v>
      </c>
      <c r="AG10" s="226">
        <v>1.5380434782608696</v>
      </c>
      <c r="AH10" s="225">
        <v>22</v>
      </c>
      <c r="AI10" s="225">
        <v>35</v>
      </c>
      <c r="AJ10" s="225">
        <v>29</v>
      </c>
    </row>
    <row r="11" spans="1:36" ht="19.5" customHeight="1">
      <c r="A11" s="8" t="s">
        <v>28</v>
      </c>
      <c r="B11" s="10">
        <v>18</v>
      </c>
      <c r="C11" s="126" cm="1">
        <f t="array" ref="C11">F11/E11</f>
        <v>0.42857142857142855</v>
      </c>
      <c r="D11" s="10">
        <v>37</v>
      </c>
      <c r="E11" s="10">
        <v>21</v>
      </c>
      <c r="F11" s="10">
        <v>9</v>
      </c>
      <c r="G11" s="10">
        <v>9</v>
      </c>
      <c r="H11" s="10">
        <v>1</v>
      </c>
      <c r="I11" s="10">
        <v>1</v>
      </c>
      <c r="J11" s="10">
        <v>0</v>
      </c>
      <c r="K11" s="10">
        <v>16</v>
      </c>
      <c r="L11" s="10">
        <v>8</v>
      </c>
      <c r="M11" s="10">
        <v>16</v>
      </c>
      <c r="N11" s="10">
        <v>15</v>
      </c>
      <c r="O11" s="10">
        <v>5</v>
      </c>
      <c r="P11" s="127" cm="1">
        <f t="array" ref="P11">O11/D11</f>
        <v>0.13513513513513514</v>
      </c>
      <c r="Q11" s="13" cm="1">
        <f t="array" ref="Q11">(G11*1+H11*2+I11*3+J11*4)/E11</f>
        <v>0.66666666666666663</v>
      </c>
      <c r="R11" s="13" cm="1">
        <f t="array" ref="R11">(F11+N11)/D11</f>
        <v>0.64864864864864868</v>
      </c>
      <c r="S11" s="15" cm="1">
        <f t="array" ref="S11">R11+Q11</f>
        <v>1.3153153153153152</v>
      </c>
      <c r="T11" s="132" cm="1">
        <f t="array" ref="T11">O11/(D11-(F11+N11))</f>
        <v>0.38461538461538464</v>
      </c>
      <c r="U11" s="17" cm="1">
        <f t="array" ref="U11">RANK(R11,$R$4:$R$26)</f>
        <v>1</v>
      </c>
      <c r="V11" s="18" cm="1">
        <f t="array" ref="V11">RANK(S11,$S$4:$S$26)</f>
        <v>3</v>
      </c>
      <c r="W11" s="129" cm="1">
        <f t="array" ref="W11">RANK(C11,$C$4:$C$26)</f>
        <v>8</v>
      </c>
      <c r="X11" s="130"/>
      <c r="Y11" s="48">
        <v>7</v>
      </c>
      <c r="Z11" s="48">
        <v>1</v>
      </c>
      <c r="AA11" s="48">
        <v>0</v>
      </c>
      <c r="AB11" s="48">
        <v>0</v>
      </c>
      <c r="AC11" s="48">
        <v>0</v>
      </c>
      <c r="AE11" s="225" t="s">
        <v>26</v>
      </c>
      <c r="AF11" s="226">
        <v>0.52083333333333337</v>
      </c>
      <c r="AG11" s="226">
        <v>1.4475574712643677</v>
      </c>
      <c r="AH11" s="225">
        <v>24</v>
      </c>
      <c r="AI11" s="225">
        <v>26</v>
      </c>
      <c r="AJ11" s="225">
        <v>17</v>
      </c>
    </row>
    <row r="12" spans="1:36" ht="19.5" customHeight="1">
      <c r="A12" s="8" t="s">
        <v>31</v>
      </c>
      <c r="B12" s="10">
        <v>16</v>
      </c>
      <c r="C12" s="126" cm="1">
        <f t="array" ref="C12">F12/E12</f>
        <v>0.42499999999999999</v>
      </c>
      <c r="D12" s="10">
        <v>52</v>
      </c>
      <c r="E12" s="10">
        <v>40</v>
      </c>
      <c r="F12" s="10">
        <v>17</v>
      </c>
      <c r="G12" s="10">
        <v>16</v>
      </c>
      <c r="H12" s="10">
        <v>1</v>
      </c>
      <c r="I12" s="10">
        <v>0</v>
      </c>
      <c r="J12" s="10">
        <v>0</v>
      </c>
      <c r="K12" s="10">
        <v>21</v>
      </c>
      <c r="L12" s="10">
        <v>10</v>
      </c>
      <c r="M12" s="10">
        <v>13</v>
      </c>
      <c r="N12" s="10">
        <v>12</v>
      </c>
      <c r="O12" s="10">
        <v>8</v>
      </c>
      <c r="P12" s="127" cm="1">
        <f t="array" ref="P12">O12/D12</f>
        <v>0.15384615384615385</v>
      </c>
      <c r="Q12" s="13" cm="1">
        <f t="array" ref="Q12">(G12*1+H12*2+I12*3+J12*4)/E12</f>
        <v>0.45</v>
      </c>
      <c r="R12" s="13" cm="1">
        <f t="array" ref="R12">(F12+N12)/D12</f>
        <v>0.55769230769230771</v>
      </c>
      <c r="S12" s="15" cm="1">
        <f t="array" ref="S12">R12+Q12</f>
        <v>1.0076923076923077</v>
      </c>
      <c r="T12" s="128" cm="1">
        <f t="array" ref="T12">O12/(D12-(F12+N12))</f>
        <v>0.34782608695652173</v>
      </c>
      <c r="U12" s="17" cm="1">
        <f t="array" ref="U12">RANK(R12,$R$4:$R$26)</f>
        <v>4</v>
      </c>
      <c r="V12" s="18" cm="1">
        <f t="array" ref="V12">RANK(S12,$S$4:$S$26)</f>
        <v>10</v>
      </c>
      <c r="W12" s="129" cm="1">
        <f t="array" ref="W12">RANK(C12,$C$4:$C$26)</f>
        <v>9</v>
      </c>
      <c r="X12" s="130"/>
      <c r="Y12" s="48">
        <v>7</v>
      </c>
      <c r="Z12" s="48">
        <v>0</v>
      </c>
      <c r="AA12" s="48">
        <v>0</v>
      </c>
      <c r="AB12" s="48">
        <v>0</v>
      </c>
      <c r="AC12" s="48">
        <v>0</v>
      </c>
      <c r="AE12" s="225" t="s">
        <v>33</v>
      </c>
      <c r="AF12" s="226">
        <v>0.47368421052631576</v>
      </c>
      <c r="AG12" s="226">
        <v>1.2606516290726817</v>
      </c>
      <c r="AH12" s="225">
        <v>18</v>
      </c>
      <c r="AI12" s="225">
        <v>18</v>
      </c>
      <c r="AJ12" s="225">
        <v>11</v>
      </c>
    </row>
    <row r="13" spans="1:36" ht="19.5" customHeight="1">
      <c r="A13" s="8" t="s">
        <v>40</v>
      </c>
      <c r="B13" s="10">
        <v>8</v>
      </c>
      <c r="C13" s="126" cm="1">
        <f t="array" ref="C13">F13/E13</f>
        <v>0.41666666666666669</v>
      </c>
      <c r="D13" s="10">
        <v>15</v>
      </c>
      <c r="E13" s="10">
        <v>12</v>
      </c>
      <c r="F13" s="10">
        <v>5</v>
      </c>
      <c r="G13" s="10">
        <v>3</v>
      </c>
      <c r="H13" s="10">
        <v>1</v>
      </c>
      <c r="I13" s="10">
        <v>1</v>
      </c>
      <c r="J13" s="10">
        <v>0</v>
      </c>
      <c r="K13" s="10">
        <v>5</v>
      </c>
      <c r="L13" s="10">
        <v>6</v>
      </c>
      <c r="M13" s="10">
        <v>4</v>
      </c>
      <c r="N13" s="10">
        <v>3</v>
      </c>
      <c r="O13" s="10">
        <v>2</v>
      </c>
      <c r="P13" s="127" cm="1">
        <f t="array" ref="P13">O13/D13</f>
        <v>0.13333333333333333</v>
      </c>
      <c r="Q13" s="13" cm="1">
        <f t="array" ref="Q13">(G13*1+H13*2+I13*3+J13*4)/E13</f>
        <v>0.66666666666666663</v>
      </c>
      <c r="R13" s="13" cm="1">
        <f t="array" ref="R13">(F13+N13)/D13</f>
        <v>0.53333333333333333</v>
      </c>
      <c r="S13" s="15" cm="1">
        <f t="array" ref="S13">R13+Q13</f>
        <v>1.2</v>
      </c>
      <c r="T13" s="128" cm="1">
        <f t="array" ref="T13">O13/(D13-(F13+N13))</f>
        <v>0.2857142857142857</v>
      </c>
      <c r="U13" s="17" cm="1">
        <f t="array" ref="U13">RANK(R13,$R$4:$R$26)</f>
        <v>7</v>
      </c>
      <c r="V13" s="18" cm="1">
        <f t="array" ref="V13">RANK(S13,$S$4:$S$26)</f>
        <v>5</v>
      </c>
      <c r="W13" s="129" cm="1">
        <f t="array" ref="W13">RANK(C13,$C$4:$C$26)</f>
        <v>10</v>
      </c>
      <c r="X13" s="130"/>
      <c r="Y13" s="48">
        <v>1</v>
      </c>
      <c r="Z13" s="48">
        <v>1</v>
      </c>
      <c r="AA13" s="48">
        <v>0</v>
      </c>
      <c r="AB13" s="48">
        <v>0</v>
      </c>
      <c r="AC13" s="48">
        <v>0</v>
      </c>
      <c r="AE13" s="225" t="s">
        <v>24</v>
      </c>
      <c r="AF13" s="226">
        <v>0.47058823529411764</v>
      </c>
      <c r="AG13" s="226">
        <v>1.197058823529412</v>
      </c>
      <c r="AH13" s="225">
        <v>5</v>
      </c>
      <c r="AI13" s="225">
        <v>7</v>
      </c>
      <c r="AJ13" s="225">
        <v>8</v>
      </c>
    </row>
    <row r="14" spans="1:36" ht="19.5" customHeight="1">
      <c r="A14" s="8" t="s">
        <v>70</v>
      </c>
      <c r="B14" s="10">
        <v>7</v>
      </c>
      <c r="C14" s="126" cm="1">
        <f t="array" ref="C14">F14/E14</f>
        <v>0.41176470588235292</v>
      </c>
      <c r="D14" s="10">
        <v>20</v>
      </c>
      <c r="E14" s="10">
        <v>17</v>
      </c>
      <c r="F14" s="10">
        <v>7</v>
      </c>
      <c r="G14" s="10">
        <v>6</v>
      </c>
      <c r="H14" s="10">
        <v>1</v>
      </c>
      <c r="I14" s="10">
        <v>0</v>
      </c>
      <c r="J14" s="10">
        <v>0</v>
      </c>
      <c r="K14" s="10">
        <v>5</v>
      </c>
      <c r="L14" s="10">
        <v>9</v>
      </c>
      <c r="M14" s="10">
        <v>3</v>
      </c>
      <c r="N14" s="10">
        <v>3</v>
      </c>
      <c r="O14" s="10">
        <v>1</v>
      </c>
      <c r="P14" s="127" cm="1">
        <f t="array" ref="P14">O14/D14</f>
        <v>0.05</v>
      </c>
      <c r="Q14" s="13" cm="1">
        <f t="array" ref="Q14">(G14*1+H14*2+I14*3+J14*4)/E14</f>
        <v>0.47058823529411764</v>
      </c>
      <c r="R14" s="13" cm="1">
        <f t="array" ref="R14">(F14+N14)/D14</f>
        <v>0.5</v>
      </c>
      <c r="S14" s="15" cm="1">
        <f t="array" ref="S14">R14+Q14</f>
        <v>0.97058823529411764</v>
      </c>
      <c r="T14" s="128" cm="1">
        <f t="array" ref="T14">O14/(D14-(F14+N14))</f>
        <v>0.1</v>
      </c>
      <c r="U14" s="17" cm="1">
        <f t="array" ref="U14">RANK(R14,$R$4:$R$26)</f>
        <v>11</v>
      </c>
      <c r="V14" s="18" cm="1">
        <f t="array" ref="V14">RANK(S14,$S$4:$S$26)</f>
        <v>11</v>
      </c>
      <c r="W14" s="129" cm="1">
        <f t="array" ref="W14">RANK(C14,$C$4:$C$26)</f>
        <v>11</v>
      </c>
      <c r="X14" s="130"/>
      <c r="Y14" s="133"/>
      <c r="Z14" s="133"/>
      <c r="AA14" s="133"/>
      <c r="AB14" s="133"/>
      <c r="AC14" s="133"/>
      <c r="AE14" s="225" t="s">
        <v>29</v>
      </c>
      <c r="AF14" s="226">
        <v>0.46153846153846156</v>
      </c>
      <c r="AG14" s="226">
        <v>0.96153846153846156</v>
      </c>
      <c r="AH14" s="225">
        <v>3</v>
      </c>
      <c r="AI14" s="225">
        <v>6</v>
      </c>
      <c r="AJ14" s="225">
        <v>2</v>
      </c>
    </row>
    <row r="15" spans="1:36" ht="19.5" customHeight="1">
      <c r="A15" s="8" t="s">
        <v>32</v>
      </c>
      <c r="B15" s="10">
        <v>12</v>
      </c>
      <c r="C15" s="126" cm="1">
        <f t="array" ref="C15">F15/E15</f>
        <v>0.4</v>
      </c>
      <c r="D15" s="10">
        <v>29</v>
      </c>
      <c r="E15" s="10">
        <v>25</v>
      </c>
      <c r="F15" s="10">
        <v>10</v>
      </c>
      <c r="G15" s="10">
        <v>10</v>
      </c>
      <c r="H15" s="10">
        <v>0</v>
      </c>
      <c r="I15" s="10">
        <v>0</v>
      </c>
      <c r="J15" s="10">
        <v>0</v>
      </c>
      <c r="K15" s="10">
        <v>9</v>
      </c>
      <c r="L15" s="10">
        <v>7</v>
      </c>
      <c r="M15" s="10">
        <v>4</v>
      </c>
      <c r="N15" s="10">
        <v>3</v>
      </c>
      <c r="O15" s="10">
        <v>1</v>
      </c>
      <c r="P15" s="127" cm="1">
        <f t="array" ref="P15">O15/D15</f>
        <v>3.4482758620689655E-2</v>
      </c>
      <c r="Q15" s="13" cm="1">
        <f t="array" ref="Q15">(G15*1+H15*2+I15*3+J15*4)/E15</f>
        <v>0.4</v>
      </c>
      <c r="R15" s="13" cm="1">
        <f t="array" ref="R15">(F15+N15)/D15</f>
        <v>0.44827586206896552</v>
      </c>
      <c r="S15" s="15" cm="1">
        <f t="array" ref="S15">R15+Q15</f>
        <v>0.84827586206896555</v>
      </c>
      <c r="T15" s="128" cm="1">
        <f t="array" ref="T15">O15/(D15-(F15+N15))</f>
        <v>6.25E-2</v>
      </c>
      <c r="U15" s="17" cm="1">
        <f t="array" ref="U15">RANK(R15,$R$4:$R$26)</f>
        <v>17</v>
      </c>
      <c r="V15" s="18" cm="1">
        <f t="array" ref="V15">RANK(S15,$S$4:$S$26)</f>
        <v>14</v>
      </c>
      <c r="W15" s="129" cm="1">
        <f t="array" ref="W15">RANK(C15,$C$4:$C$26)</f>
        <v>12</v>
      </c>
      <c r="X15" s="130"/>
      <c r="Y15" s="48">
        <v>3</v>
      </c>
      <c r="Z15" s="48">
        <v>0</v>
      </c>
      <c r="AA15" s="48">
        <v>0</v>
      </c>
      <c r="AB15" s="48">
        <v>0</v>
      </c>
      <c r="AC15" s="48">
        <v>0</v>
      </c>
      <c r="AE15" s="225" t="s">
        <v>37</v>
      </c>
      <c r="AF15" s="226">
        <v>0.43478260869565216</v>
      </c>
      <c r="AG15" s="226">
        <v>1.0985507246376811</v>
      </c>
      <c r="AH15" s="225">
        <v>7</v>
      </c>
      <c r="AI15" s="225">
        <v>10</v>
      </c>
      <c r="AJ15" s="225">
        <v>16</v>
      </c>
    </row>
    <row r="16" spans="1:36" ht="19.5" customHeight="1">
      <c r="A16" s="8" t="s">
        <v>38</v>
      </c>
      <c r="B16" s="10">
        <v>8</v>
      </c>
      <c r="C16" s="126" cm="1">
        <f t="array" ref="C16">F16/E16</f>
        <v>0.36363636363636365</v>
      </c>
      <c r="D16" s="10">
        <v>16</v>
      </c>
      <c r="E16" s="10">
        <v>11</v>
      </c>
      <c r="F16" s="10">
        <v>4</v>
      </c>
      <c r="G16" s="10">
        <v>2</v>
      </c>
      <c r="H16" s="10">
        <v>2</v>
      </c>
      <c r="I16" s="10">
        <v>0</v>
      </c>
      <c r="J16" s="10">
        <v>0</v>
      </c>
      <c r="K16" s="10">
        <v>7</v>
      </c>
      <c r="L16" s="10">
        <v>3</v>
      </c>
      <c r="M16" s="10">
        <v>3</v>
      </c>
      <c r="N16" s="10">
        <v>5</v>
      </c>
      <c r="O16" s="10">
        <v>0</v>
      </c>
      <c r="P16" s="127" cm="1">
        <f t="array" ref="P16">O16/D16</f>
        <v>0</v>
      </c>
      <c r="Q16" s="13" cm="1">
        <f t="array" ref="Q16">(G16*1+H16*2+I16*3+J16*4)/E16</f>
        <v>0.54545454545454541</v>
      </c>
      <c r="R16" s="13" cm="1">
        <f t="array" ref="R16">(F16+N16)/D16</f>
        <v>0.5625</v>
      </c>
      <c r="S16" s="15" cm="1">
        <f t="array" ref="S16">R16+Q16</f>
        <v>1.1079545454545454</v>
      </c>
      <c r="T16" s="128" cm="1">
        <f t="array" ref="T16">O16/(D16-(F16+N16))</f>
        <v>0</v>
      </c>
      <c r="U16" s="17" cm="1">
        <f t="array" ref="U16">RANK(R16,$R$4:$R$26)</f>
        <v>3</v>
      </c>
      <c r="V16" s="18" cm="1">
        <f t="array" ref="V16">RANK(S16,$S$4:$S$26)</f>
        <v>7</v>
      </c>
      <c r="W16" s="129" cm="1">
        <f t="array" ref="W16">RANK(C16,$C$4:$C$26)</f>
        <v>13</v>
      </c>
      <c r="X16" s="130"/>
      <c r="Y16" s="48">
        <v>1</v>
      </c>
      <c r="Z16" s="48">
        <v>0</v>
      </c>
      <c r="AA16" s="48">
        <v>0</v>
      </c>
      <c r="AB16" s="48">
        <v>0</v>
      </c>
      <c r="AC16" s="48">
        <v>0</v>
      </c>
      <c r="AE16" s="225" t="s">
        <v>43</v>
      </c>
      <c r="AF16" s="226">
        <v>0.43137254901960786</v>
      </c>
      <c r="AG16" s="226">
        <v>1.0616698292220113</v>
      </c>
      <c r="AH16" s="225">
        <v>19</v>
      </c>
      <c r="AI16" s="225">
        <v>15</v>
      </c>
      <c r="AJ16" s="225">
        <v>18</v>
      </c>
    </row>
    <row r="17" spans="1:36" ht="19.5" customHeight="1">
      <c r="A17" s="8" t="s">
        <v>35</v>
      </c>
      <c r="B17" s="10">
        <v>15</v>
      </c>
      <c r="C17" s="126" cm="1">
        <f t="array" ref="C17">F17/E17</f>
        <v>0.33333333333333331</v>
      </c>
      <c r="D17" s="10">
        <v>29</v>
      </c>
      <c r="E17" s="10">
        <v>21</v>
      </c>
      <c r="F17" s="10">
        <v>7</v>
      </c>
      <c r="G17" s="10">
        <v>7</v>
      </c>
      <c r="H17" s="10">
        <v>0</v>
      </c>
      <c r="I17" s="10">
        <v>0</v>
      </c>
      <c r="J17" s="10">
        <v>0</v>
      </c>
      <c r="K17" s="10">
        <v>10</v>
      </c>
      <c r="L17" s="10">
        <v>4</v>
      </c>
      <c r="M17" s="10">
        <v>10</v>
      </c>
      <c r="N17" s="10">
        <v>7</v>
      </c>
      <c r="O17" s="10">
        <v>6</v>
      </c>
      <c r="P17" s="131" cm="1">
        <f t="array" ref="P17">O17/D17</f>
        <v>0.20689655172413793</v>
      </c>
      <c r="Q17" s="13" cm="1">
        <f t="array" ref="Q17">(G17*1+H17*2+I17*3+J17*4)/E17</f>
        <v>0.33333333333333331</v>
      </c>
      <c r="R17" s="13" cm="1">
        <f t="array" ref="R17">(F17+N17)/D17</f>
        <v>0.48275862068965519</v>
      </c>
      <c r="S17" s="15" cm="1">
        <f t="array" ref="S17">R17+Q17</f>
        <v>0.81609195402298851</v>
      </c>
      <c r="T17" s="132" cm="1">
        <f t="array" ref="T17">O17/(D17-(F17+N17))</f>
        <v>0.4</v>
      </c>
      <c r="U17" s="17" cm="1">
        <f t="array" ref="U17">RANK(R17,$R$4:$R$26)</f>
        <v>15</v>
      </c>
      <c r="V17" s="18" cm="1">
        <f t="array" ref="V17">RANK(S17,$S$4:$S$26)</f>
        <v>15</v>
      </c>
      <c r="W17" s="129" cm="1">
        <f t="array" ref="W17">RANK(C17,$C$4:$C$26)</f>
        <v>14</v>
      </c>
      <c r="X17" s="130"/>
      <c r="Y17" s="48">
        <v>4</v>
      </c>
      <c r="Z17" s="48">
        <v>2</v>
      </c>
      <c r="AA17" s="48">
        <v>0</v>
      </c>
      <c r="AB17" s="48">
        <v>0</v>
      </c>
      <c r="AC17" s="48">
        <v>0</v>
      </c>
      <c r="AE17" s="225" t="s">
        <v>28</v>
      </c>
      <c r="AF17" s="226">
        <v>0.42857142857142855</v>
      </c>
      <c r="AG17" s="226">
        <v>1.3153153153153152</v>
      </c>
      <c r="AH17" s="225">
        <v>8</v>
      </c>
      <c r="AI17" s="225">
        <v>16</v>
      </c>
      <c r="AJ17" s="225">
        <v>16</v>
      </c>
    </row>
    <row r="18" spans="1:36" ht="19.5" customHeight="1">
      <c r="A18" s="8" t="s">
        <v>39</v>
      </c>
      <c r="B18" s="10">
        <v>15</v>
      </c>
      <c r="C18" s="126" cm="1">
        <f t="array" ref="C18">F18/E18</f>
        <v>0.33333333333333331</v>
      </c>
      <c r="D18" s="10">
        <v>36</v>
      </c>
      <c r="E18" s="10">
        <v>30</v>
      </c>
      <c r="F18" s="10">
        <v>10</v>
      </c>
      <c r="G18" s="10">
        <v>9</v>
      </c>
      <c r="H18" s="10">
        <v>1</v>
      </c>
      <c r="I18" s="10">
        <v>0</v>
      </c>
      <c r="J18" s="10">
        <v>0</v>
      </c>
      <c r="K18" s="10">
        <v>6</v>
      </c>
      <c r="L18" s="10">
        <v>6</v>
      </c>
      <c r="M18" s="10">
        <v>3</v>
      </c>
      <c r="N18" s="10">
        <v>4</v>
      </c>
      <c r="O18" s="10">
        <v>6</v>
      </c>
      <c r="P18" s="127" cm="1">
        <f t="array" ref="P18">O18/D18</f>
        <v>0.16666666666666666</v>
      </c>
      <c r="Q18" s="13" cm="1">
        <f t="array" ref="Q18">(G18*1+H18*2+I18*3+J18*4)/E18</f>
        <v>0.36666666666666664</v>
      </c>
      <c r="R18" s="13" cm="1">
        <f t="array" ref="R18">(F18+N18)/D18</f>
        <v>0.3888888888888889</v>
      </c>
      <c r="S18" s="15" cm="1">
        <f t="array" ref="S18">R18+Q18</f>
        <v>0.75555555555555554</v>
      </c>
      <c r="T18" s="128" cm="1">
        <f t="array" ref="T18">O18/(D18-(F18+N18))</f>
        <v>0.27272727272727271</v>
      </c>
      <c r="U18" s="17" cm="1">
        <f t="array" ref="U18">RANK(R18,$R$4:$R$26)</f>
        <v>18</v>
      </c>
      <c r="V18" s="18" cm="1">
        <f t="array" ref="V18">RANK(S18,$S$4:$S$26)</f>
        <v>19</v>
      </c>
      <c r="W18" s="129" cm="1">
        <f t="array" ref="W18">RANK(C18,$C$4:$C$26)</f>
        <v>14</v>
      </c>
      <c r="X18" s="130"/>
      <c r="Y18" s="48">
        <v>3</v>
      </c>
      <c r="Z18" s="48">
        <v>0</v>
      </c>
      <c r="AA18" s="48">
        <v>0</v>
      </c>
      <c r="AB18" s="48">
        <v>0</v>
      </c>
      <c r="AC18" s="48">
        <v>0</v>
      </c>
      <c r="AE18" s="225" t="s">
        <v>31</v>
      </c>
      <c r="AF18" s="226">
        <v>0.42499999999999999</v>
      </c>
      <c r="AG18" s="226">
        <v>1.0076923076923077</v>
      </c>
      <c r="AH18" s="225">
        <v>10</v>
      </c>
      <c r="AI18" s="225">
        <v>21</v>
      </c>
      <c r="AJ18" s="225">
        <v>13</v>
      </c>
    </row>
    <row r="19" spans="1:36" ht="19.5" customHeight="1">
      <c r="A19" s="8" t="s">
        <v>71</v>
      </c>
      <c r="B19" s="10">
        <v>8</v>
      </c>
      <c r="C19" s="126" cm="1">
        <f t="array" ref="C19">F19/E19</f>
        <v>0.3</v>
      </c>
      <c r="D19" s="10">
        <v>25</v>
      </c>
      <c r="E19" s="10">
        <v>20</v>
      </c>
      <c r="F19" s="10">
        <v>6</v>
      </c>
      <c r="G19" s="10">
        <v>3</v>
      </c>
      <c r="H19" s="10">
        <v>1</v>
      </c>
      <c r="I19" s="10">
        <v>1</v>
      </c>
      <c r="J19" s="10">
        <v>1</v>
      </c>
      <c r="K19" s="10">
        <v>7</v>
      </c>
      <c r="L19" s="10">
        <v>10</v>
      </c>
      <c r="M19" s="10">
        <v>5</v>
      </c>
      <c r="N19" s="10">
        <v>3</v>
      </c>
      <c r="O19" s="10">
        <v>3</v>
      </c>
      <c r="P19" s="127" cm="1">
        <f t="array" ref="P19">O19/D19</f>
        <v>0.12</v>
      </c>
      <c r="Q19" s="13" cm="1">
        <f t="array" ref="Q19">(G19*1+H19*2+I19*3+J19*4)/E19</f>
        <v>0.6</v>
      </c>
      <c r="R19" s="13" cm="1">
        <f t="array" ref="R19">(F19+N19)/D19</f>
        <v>0.36</v>
      </c>
      <c r="S19" s="15" cm="1">
        <f t="array" ref="S19">R19+Q19</f>
        <v>0.96</v>
      </c>
      <c r="T19" s="128" cm="1">
        <f t="array" ref="T19">O19/(D19-(F19+N19))</f>
        <v>0.1875</v>
      </c>
      <c r="U19" s="17" cm="1">
        <f t="array" ref="U19">RANK(R19,$R$4:$R$26)</f>
        <v>20</v>
      </c>
      <c r="V19" s="18" cm="1">
        <f t="array" ref="V19">RANK(S19,$S$4:$S$26)</f>
        <v>13</v>
      </c>
      <c r="W19" s="129" cm="1">
        <f t="array" ref="W19">RANK(C19,$C$4:$C$26)</f>
        <v>16</v>
      </c>
      <c r="X19" s="130"/>
      <c r="Y19" s="133"/>
      <c r="Z19" s="133"/>
      <c r="AA19" s="133"/>
      <c r="AB19" s="133"/>
      <c r="AC19" s="133"/>
      <c r="AE19" s="225" t="s">
        <v>40</v>
      </c>
      <c r="AF19" s="226">
        <v>0.41666666666666669</v>
      </c>
      <c r="AG19" s="226">
        <v>1.2</v>
      </c>
      <c r="AH19" s="225">
        <v>6</v>
      </c>
      <c r="AI19" s="225">
        <v>5</v>
      </c>
      <c r="AJ19" s="225">
        <v>4</v>
      </c>
    </row>
    <row r="20" spans="1:36" ht="19.5" customHeight="1">
      <c r="A20" s="8" t="s">
        <v>36</v>
      </c>
      <c r="B20" s="10">
        <v>9</v>
      </c>
      <c r="C20" s="126" cm="1">
        <f t="array" ref="C20">F20/E20</f>
        <v>0.29411764705882354</v>
      </c>
      <c r="D20" s="10">
        <v>20</v>
      </c>
      <c r="E20" s="10">
        <v>17</v>
      </c>
      <c r="F20" s="10">
        <v>5</v>
      </c>
      <c r="G20" s="10">
        <v>5</v>
      </c>
      <c r="H20" s="10">
        <v>0</v>
      </c>
      <c r="I20" s="10">
        <v>0</v>
      </c>
      <c r="J20" s="10">
        <v>0</v>
      </c>
      <c r="K20" s="10">
        <v>4</v>
      </c>
      <c r="L20" s="10">
        <v>2</v>
      </c>
      <c r="M20" s="10">
        <v>3</v>
      </c>
      <c r="N20" s="10">
        <v>2</v>
      </c>
      <c r="O20" s="10">
        <v>2</v>
      </c>
      <c r="P20" s="127" cm="1">
        <f t="array" ref="P20">O20/D20</f>
        <v>0.1</v>
      </c>
      <c r="Q20" s="13" cm="1">
        <f t="array" ref="Q20">(G20*1+H20*2+I20*3+J20*4)/E20</f>
        <v>0.29411764705882354</v>
      </c>
      <c r="R20" s="13" cm="1">
        <f t="array" ref="R20">(F20+N20)/D20</f>
        <v>0.35</v>
      </c>
      <c r="S20" s="15" cm="1">
        <f t="array" ref="S20">R20+Q20</f>
        <v>0.64411764705882346</v>
      </c>
      <c r="T20" s="128" cm="1">
        <f t="array" ref="T20">O20/(D20-(F20+N20))</f>
        <v>0.15384615384615385</v>
      </c>
      <c r="U20" s="17" cm="1">
        <f t="array" ref="U20">RANK(R20,$R$4:$R$26)</f>
        <v>21</v>
      </c>
      <c r="V20" s="18" cm="1">
        <f t="array" ref="V20">RANK(S20,$S$4:$S$26)</f>
        <v>20</v>
      </c>
      <c r="W20" s="129" cm="1">
        <f t="array" ref="W20">RANK(C20,$C$4:$C$26)</f>
        <v>17</v>
      </c>
      <c r="X20" s="130"/>
      <c r="Y20" s="48">
        <v>2</v>
      </c>
      <c r="Z20" s="48">
        <v>0</v>
      </c>
      <c r="AA20" s="48">
        <v>0</v>
      </c>
      <c r="AB20" s="48">
        <v>0</v>
      </c>
      <c r="AC20" s="48">
        <v>0</v>
      </c>
      <c r="AE20" s="225" t="s">
        <v>70</v>
      </c>
      <c r="AF20" s="226">
        <v>0.41176470588235292</v>
      </c>
      <c r="AG20" s="226">
        <v>0.97058823529411764</v>
      </c>
      <c r="AH20" s="225">
        <v>9</v>
      </c>
      <c r="AI20" s="225">
        <v>5</v>
      </c>
      <c r="AJ20" s="225">
        <v>3</v>
      </c>
    </row>
    <row r="21" spans="1:36" ht="19.5" customHeight="1">
      <c r="A21" s="8" t="s">
        <v>44</v>
      </c>
      <c r="B21" s="10">
        <v>16</v>
      </c>
      <c r="C21" s="126" cm="1">
        <f t="array" ref="C21">F21/E21</f>
        <v>0.27777777777777779</v>
      </c>
      <c r="D21" s="10">
        <v>47</v>
      </c>
      <c r="E21" s="10">
        <v>36</v>
      </c>
      <c r="F21" s="10">
        <v>10</v>
      </c>
      <c r="G21" s="10">
        <v>6</v>
      </c>
      <c r="H21" s="10">
        <v>3</v>
      </c>
      <c r="I21" s="10">
        <v>1</v>
      </c>
      <c r="J21" s="10">
        <v>0</v>
      </c>
      <c r="K21" s="10">
        <v>14</v>
      </c>
      <c r="L21" s="10">
        <v>11</v>
      </c>
      <c r="M21" s="10">
        <v>11</v>
      </c>
      <c r="N21" s="10">
        <v>8</v>
      </c>
      <c r="O21" s="10">
        <v>6</v>
      </c>
      <c r="P21" s="127" cm="1">
        <f t="array" ref="P21">O21/D21</f>
        <v>0.1276595744680851</v>
      </c>
      <c r="Q21" s="13" cm="1">
        <f t="array" ref="Q21">(G21*1+H21*2+I21*3+J21*4)/E21</f>
        <v>0.41666666666666669</v>
      </c>
      <c r="R21" s="13" cm="1">
        <f t="array" ref="R21">(F21+N21)/D21</f>
        <v>0.38297872340425532</v>
      </c>
      <c r="S21" s="15" cm="1">
        <f t="array" ref="S21">R21+Q21</f>
        <v>0.79964539007092195</v>
      </c>
      <c r="T21" s="128" cm="1">
        <f t="array" ref="T21">O21/(D21-(F21+N21))</f>
        <v>0.20689655172413793</v>
      </c>
      <c r="U21" s="17" cm="1">
        <f t="array" ref="U21">RANK(R21,$R$4:$R$26)</f>
        <v>19</v>
      </c>
      <c r="V21" s="18" cm="1">
        <f t="array" ref="V21">RANK(S21,$S$4:$S$26)</f>
        <v>16</v>
      </c>
      <c r="W21" s="129" cm="1">
        <f t="array" ref="W21">RANK(C21,$C$4:$C$26)</f>
        <v>18</v>
      </c>
      <c r="X21" s="130"/>
      <c r="Y21" s="48">
        <v>6</v>
      </c>
      <c r="Z21" s="48">
        <v>0</v>
      </c>
      <c r="AA21" s="48">
        <v>2</v>
      </c>
      <c r="AB21" s="48">
        <v>0</v>
      </c>
      <c r="AC21" s="48">
        <v>0</v>
      </c>
      <c r="AE21" s="225" t="s">
        <v>32</v>
      </c>
      <c r="AF21" s="226">
        <v>0.4</v>
      </c>
      <c r="AG21" s="226">
        <v>0.84827586206896555</v>
      </c>
      <c r="AH21" s="225">
        <v>7</v>
      </c>
      <c r="AI21" s="225">
        <v>9</v>
      </c>
      <c r="AJ21" s="225">
        <v>4</v>
      </c>
    </row>
    <row r="22" spans="1:36" ht="19.5" customHeight="1">
      <c r="A22" s="8" t="s">
        <v>69</v>
      </c>
      <c r="B22" s="10">
        <v>8</v>
      </c>
      <c r="C22" s="126" cm="1">
        <f t="array" ref="C22">F22/E22</f>
        <v>0.27272727272727271</v>
      </c>
      <c r="D22" s="10">
        <v>16</v>
      </c>
      <c r="E22" s="10">
        <v>11</v>
      </c>
      <c r="F22" s="10">
        <v>3</v>
      </c>
      <c r="G22" s="10">
        <v>3</v>
      </c>
      <c r="H22" s="10">
        <v>0</v>
      </c>
      <c r="I22" s="10">
        <v>0</v>
      </c>
      <c r="J22" s="10">
        <v>0</v>
      </c>
      <c r="K22" s="10">
        <v>4</v>
      </c>
      <c r="L22" s="10">
        <v>4</v>
      </c>
      <c r="M22" s="10">
        <v>6</v>
      </c>
      <c r="N22" s="10">
        <v>5</v>
      </c>
      <c r="O22" s="10">
        <v>5</v>
      </c>
      <c r="P22" s="127" cm="1">
        <f t="array" ref="P22">O22/D22</f>
        <v>0.3125</v>
      </c>
      <c r="Q22" s="13" cm="1">
        <f t="array" ref="Q22">(G22*1+H22*2+I22*3+J22*4)/E22</f>
        <v>0.27272727272727271</v>
      </c>
      <c r="R22" s="13" cm="1">
        <f t="array" ref="R22">(F22+N22)/D22</f>
        <v>0.5</v>
      </c>
      <c r="S22" s="15" cm="1">
        <f t="array" ref="S22">R22+Q22</f>
        <v>0.77272727272727271</v>
      </c>
      <c r="T22" s="128" cm="1">
        <f t="array" ref="T22">O22/(D22-(F22+N22))</f>
        <v>0.625</v>
      </c>
      <c r="U22" s="17" cm="1">
        <f t="array" ref="U22">RANK(R22,$R$4:$R$26)</f>
        <v>11</v>
      </c>
      <c r="V22" s="18" cm="1">
        <f t="array" ref="V22">RANK(S22,$S$4:$S$26)</f>
        <v>17</v>
      </c>
      <c r="W22" s="129" cm="1">
        <f t="array" ref="W22">RANK(C22,$C$4:$C$26)</f>
        <v>19</v>
      </c>
      <c r="X22" s="130"/>
      <c r="Y22" s="48">
        <v>5</v>
      </c>
      <c r="Z22" s="48">
        <v>0</v>
      </c>
      <c r="AA22" s="48">
        <v>0</v>
      </c>
      <c r="AB22" s="48">
        <v>0</v>
      </c>
      <c r="AC22" s="48">
        <v>0</v>
      </c>
      <c r="AE22" s="225" t="s">
        <v>38</v>
      </c>
      <c r="AF22" s="226">
        <v>0.36363636363636365</v>
      </c>
      <c r="AG22" s="226">
        <v>1.1079545454545454</v>
      </c>
      <c r="AH22" s="225">
        <v>3</v>
      </c>
      <c r="AI22" s="225">
        <v>7</v>
      </c>
      <c r="AJ22" s="225">
        <v>3</v>
      </c>
    </row>
    <row r="23" spans="1:36" ht="19.5" customHeight="1">
      <c r="A23" s="8" t="s">
        <v>42</v>
      </c>
      <c r="B23" s="10">
        <v>6</v>
      </c>
      <c r="C23" s="126" cm="1">
        <f t="array" ref="C23">F23/E23</f>
        <v>0.2</v>
      </c>
      <c r="D23" s="10">
        <v>15</v>
      </c>
      <c r="E23" s="10">
        <v>10</v>
      </c>
      <c r="F23" s="10">
        <v>2</v>
      </c>
      <c r="G23" s="10">
        <v>1</v>
      </c>
      <c r="H23" s="10">
        <v>1</v>
      </c>
      <c r="I23" s="10">
        <v>0</v>
      </c>
      <c r="J23" s="10">
        <v>0</v>
      </c>
      <c r="K23" s="10">
        <v>2</v>
      </c>
      <c r="L23" s="10">
        <v>0</v>
      </c>
      <c r="M23" s="10">
        <v>1</v>
      </c>
      <c r="N23" s="10">
        <v>5</v>
      </c>
      <c r="O23" s="10">
        <v>4</v>
      </c>
      <c r="P23" s="127" cm="1">
        <f t="array" ref="P23">O23/D23</f>
        <v>0.26666666666666666</v>
      </c>
      <c r="Q23" s="13" cm="1">
        <f t="array" ref="Q23">(G23*1+H23*2+I23*3+J23*4)/E23</f>
        <v>0.3</v>
      </c>
      <c r="R23" s="13" cm="1">
        <f t="array" ref="R23">(F23+N23)/D23</f>
        <v>0.46666666666666667</v>
      </c>
      <c r="S23" s="15" cm="1">
        <f t="array" ref="S23">R23+Q23</f>
        <v>0.76666666666666661</v>
      </c>
      <c r="T23" s="132" cm="1">
        <f t="array" ref="T23">O23/(D23-(F23+N23))</f>
        <v>0.5</v>
      </c>
      <c r="U23" s="17" cm="1">
        <f t="array" ref="U23">RANK(R23,$R$4:$R$26)</f>
        <v>16</v>
      </c>
      <c r="V23" s="18" cm="1">
        <f t="array" ref="V23">RANK(S23,$S$4:$S$26)</f>
        <v>18</v>
      </c>
      <c r="W23" s="129" cm="1">
        <f t="array" ref="W23">RANK(C23,$C$4:$C$26)</f>
        <v>20</v>
      </c>
      <c r="X23" s="130"/>
      <c r="Y23" s="48">
        <v>5</v>
      </c>
      <c r="Z23" s="48">
        <v>0</v>
      </c>
      <c r="AA23" s="48">
        <v>0</v>
      </c>
      <c r="AB23" s="48">
        <v>0</v>
      </c>
      <c r="AC23" s="48">
        <v>0</v>
      </c>
      <c r="AE23" s="225" t="s">
        <v>35</v>
      </c>
      <c r="AF23" s="226">
        <v>0.33333333333333331</v>
      </c>
      <c r="AG23" s="226">
        <v>0.81609195402298851</v>
      </c>
      <c r="AH23" s="225">
        <v>4</v>
      </c>
      <c r="AI23" s="225">
        <v>10</v>
      </c>
      <c r="AJ23" s="225">
        <v>10</v>
      </c>
    </row>
    <row r="24" spans="1:36" ht="19.5" customHeight="1">
      <c r="A24" s="8" t="s">
        <v>25</v>
      </c>
      <c r="B24" s="10">
        <v>8</v>
      </c>
      <c r="C24" s="126" cm="1">
        <f t="array" ref="C24">F24/E24</f>
        <v>0.1111111111111111</v>
      </c>
      <c r="D24" s="10">
        <v>16</v>
      </c>
      <c r="E24" s="10">
        <v>9</v>
      </c>
      <c r="F24" s="10">
        <v>1</v>
      </c>
      <c r="G24" s="10">
        <v>1</v>
      </c>
      <c r="H24" s="10">
        <v>0</v>
      </c>
      <c r="I24" s="10">
        <v>0</v>
      </c>
      <c r="J24" s="10">
        <v>0</v>
      </c>
      <c r="K24" s="10">
        <v>3</v>
      </c>
      <c r="L24" s="10">
        <v>1</v>
      </c>
      <c r="M24" s="10">
        <v>1</v>
      </c>
      <c r="N24" s="10">
        <v>7</v>
      </c>
      <c r="O24" s="10">
        <v>6</v>
      </c>
      <c r="P24" s="131" cm="1">
        <f t="array" ref="P24">O24/D24</f>
        <v>0.375</v>
      </c>
      <c r="Q24" s="13" cm="1">
        <f t="array" ref="Q24">(G24*1+H24*2+I24*3+J24*4)/E24</f>
        <v>0.1111111111111111</v>
      </c>
      <c r="R24" s="13" cm="1">
        <f t="array" ref="R24">(F24+N24)/D24</f>
        <v>0.5</v>
      </c>
      <c r="S24" s="15" cm="1">
        <f t="array" ref="S24">R24+Q24</f>
        <v>0.61111111111111116</v>
      </c>
      <c r="T24" s="132" cm="1">
        <f t="array" ref="T24">O24/(D24-(F24+N24))</f>
        <v>0.75</v>
      </c>
      <c r="U24" s="17" cm="1">
        <f t="array" ref="U24">RANK(R24,$R$4:$R$26)</f>
        <v>11</v>
      </c>
      <c r="V24" s="18" cm="1">
        <f t="array" ref="V24">RANK(S24,$S$4:$S$26)</f>
        <v>21</v>
      </c>
      <c r="W24" s="129" cm="1">
        <f t="array" ref="W24">RANK(C24,$C$4:$C$26)</f>
        <v>21</v>
      </c>
      <c r="X24" s="130"/>
      <c r="Y24" s="48">
        <v>4</v>
      </c>
      <c r="Z24" s="48">
        <v>3</v>
      </c>
      <c r="AA24" s="48">
        <v>0</v>
      </c>
      <c r="AB24" s="48">
        <v>0</v>
      </c>
      <c r="AC24" s="48">
        <v>0</v>
      </c>
      <c r="AE24" s="225" t="s">
        <v>39</v>
      </c>
      <c r="AF24" s="226">
        <v>0.33333333333333331</v>
      </c>
      <c r="AG24" s="226">
        <v>0.75555555555555554</v>
      </c>
      <c r="AH24" s="225">
        <v>6</v>
      </c>
      <c r="AI24" s="225">
        <v>6</v>
      </c>
      <c r="AJ24" s="225">
        <v>3</v>
      </c>
    </row>
    <row r="25" spans="1:36" ht="19.5" customHeight="1">
      <c r="A25" s="8" t="s">
        <v>27</v>
      </c>
      <c r="B25" s="10">
        <v>1</v>
      </c>
      <c r="C25" s="126" cm="1">
        <f t="array" ref="C25">F25/E25</f>
        <v>0</v>
      </c>
      <c r="D25" s="10">
        <v>2</v>
      </c>
      <c r="E25" s="10">
        <v>2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1</v>
      </c>
      <c r="P25" s="127" cm="1">
        <f t="array" ref="P25">O25/D25</f>
        <v>0.5</v>
      </c>
      <c r="Q25" s="13" cm="1">
        <f t="array" ref="Q25">(G25*1+H25*2+I25*3+J25*4)/E25</f>
        <v>0</v>
      </c>
      <c r="R25" s="13" cm="1">
        <f t="array" ref="R25">(F25+N25)/D25</f>
        <v>0</v>
      </c>
      <c r="S25" s="15" cm="1">
        <f t="array" ref="S25">R25+Q25</f>
        <v>0</v>
      </c>
      <c r="T25" s="128" cm="1">
        <f t="array" ref="T25">O25/(D25-(F25+N25))</f>
        <v>0.5</v>
      </c>
      <c r="U25" s="17" cm="1">
        <f t="array" ref="U25">RANK(R25,$R$4:$R$26)</f>
        <v>23</v>
      </c>
      <c r="V25" s="18" cm="1">
        <f t="array" ref="V25">RANK(S25,$S$4:$S$26)</f>
        <v>23</v>
      </c>
      <c r="W25" s="129" cm="1">
        <f t="array" ref="W25">RANK(C25,$C$4:$C$26)</f>
        <v>22</v>
      </c>
      <c r="X25" s="130"/>
      <c r="Y25" s="48">
        <v>0</v>
      </c>
      <c r="Z25" s="48">
        <v>0</v>
      </c>
      <c r="AA25" s="48">
        <v>0</v>
      </c>
      <c r="AB25" s="48">
        <v>0</v>
      </c>
      <c r="AC25" s="48">
        <v>0</v>
      </c>
      <c r="AE25" s="225" t="s">
        <v>71</v>
      </c>
      <c r="AF25" s="226">
        <v>0.3</v>
      </c>
      <c r="AG25" s="226">
        <v>0.96</v>
      </c>
      <c r="AH25" s="225">
        <v>10</v>
      </c>
      <c r="AI25" s="225">
        <v>7</v>
      </c>
      <c r="AJ25" s="225">
        <v>5</v>
      </c>
    </row>
    <row r="26" spans="1:36" ht="19.5" customHeight="1">
      <c r="A26" s="8" t="s">
        <v>41</v>
      </c>
      <c r="B26" s="10">
        <v>2</v>
      </c>
      <c r="C26" s="126" cm="1">
        <f t="array" ref="C26">F26/E26</f>
        <v>0</v>
      </c>
      <c r="D26" s="10">
        <v>4</v>
      </c>
      <c r="E26" s="10">
        <v>3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0</v>
      </c>
      <c r="L26" s="10">
        <v>0</v>
      </c>
      <c r="M26" s="10">
        <v>2</v>
      </c>
      <c r="N26" s="10">
        <v>1</v>
      </c>
      <c r="O26" s="10">
        <v>0</v>
      </c>
      <c r="P26" s="127" cm="1">
        <f t="array" ref="P26">O26/D26</f>
        <v>0</v>
      </c>
      <c r="Q26" s="13" cm="1">
        <f t="array" ref="Q26">(G26*1+H26*2+I26*3+J26*4)/E26</f>
        <v>0</v>
      </c>
      <c r="R26" s="13" cm="1">
        <f t="array" ref="R26">(F26+N26)/D26</f>
        <v>0.25</v>
      </c>
      <c r="S26" s="15" cm="1">
        <f t="array" ref="S26">R26+Q26</f>
        <v>0.25</v>
      </c>
      <c r="T26" s="128" cm="1">
        <f t="array" ref="T26">O26/(D26-(F26+N26))</f>
        <v>0</v>
      </c>
      <c r="U26" s="17" cm="1">
        <f t="array" ref="U26">RANK(R26,$R$4:$R$26)</f>
        <v>22</v>
      </c>
      <c r="V26" s="18" cm="1">
        <f t="array" ref="V26">RANK(S26,$S$4:$S$26)</f>
        <v>22</v>
      </c>
      <c r="W26" s="129" cm="1">
        <f t="array" ref="W26">RANK(C26,$C$4:$C$26)</f>
        <v>22</v>
      </c>
      <c r="X26" s="130"/>
      <c r="Y26" s="48">
        <v>1</v>
      </c>
      <c r="Z26" s="48">
        <v>0</v>
      </c>
      <c r="AA26" s="48">
        <v>0</v>
      </c>
      <c r="AB26" s="48">
        <v>0</v>
      </c>
      <c r="AC26" s="48">
        <v>0</v>
      </c>
      <c r="AE26" s="225" t="s">
        <v>36</v>
      </c>
      <c r="AF26" s="226">
        <v>0.29411764705882354</v>
      </c>
      <c r="AG26" s="226">
        <v>0.64411764705882346</v>
      </c>
      <c r="AH26" s="225">
        <v>2</v>
      </c>
      <c r="AI26" s="225">
        <v>4</v>
      </c>
      <c r="AJ26" s="225">
        <v>3</v>
      </c>
    </row>
    <row r="27" spans="1:36" ht="19.5" customHeight="1">
      <c r="A27" s="29" t="s">
        <v>45</v>
      </c>
      <c r="B27" s="103"/>
      <c r="C27" s="105" cm="1">
        <f t="array" ref="C27">F27/E27</f>
        <v>0.40882917466410751</v>
      </c>
      <c r="D27" s="49" cm="1">
        <f t="array" ref="D27">SUM(D4:D26)</f>
        <v>663</v>
      </c>
      <c r="E27" s="49" cm="1">
        <f t="array" ref="E27">SUM(E4:E26)</f>
        <v>521</v>
      </c>
      <c r="F27" s="49" cm="1">
        <f t="array" ref="F27">SUM(F4:F26)</f>
        <v>213</v>
      </c>
      <c r="G27" s="49" cm="1">
        <f t="array" ref="G27">SUM(G4:G26)</f>
        <v>157</v>
      </c>
      <c r="H27" s="49" cm="1">
        <f t="array" ref="H27">SUM(H4:H26)</f>
        <v>44</v>
      </c>
      <c r="I27" s="49" cm="1">
        <f t="array" ref="I27">SUM(I4:I26)</f>
        <v>10</v>
      </c>
      <c r="J27" s="49" cm="1">
        <f t="array" ref="J27">SUM(J4:J26)</f>
        <v>4</v>
      </c>
      <c r="K27" s="49" cm="1">
        <f t="array" ref="K27">SUM(K4:K26)</f>
        <v>230</v>
      </c>
      <c r="L27" s="49" cm="1">
        <f t="array" ref="L27">SUM(L4:L26)</f>
        <v>179</v>
      </c>
      <c r="M27" s="49" cm="1">
        <f t="array" ref="M27">SUM(M4:M26)</f>
        <v>186</v>
      </c>
      <c r="N27" s="49" cm="1">
        <f t="array" ref="N27">SUM(N4:N26)</f>
        <v>123</v>
      </c>
      <c r="O27" s="49" cm="1">
        <f t="array" ref="O27">SUM(O4:O26)</f>
        <v>84</v>
      </c>
      <c r="P27" s="33" cm="1">
        <f t="array" ref="P27">O27/D27</f>
        <v>0.12669683257918551</v>
      </c>
      <c r="Q27" s="105"/>
      <c r="R27" s="105"/>
      <c r="S27" s="100"/>
      <c r="T27" s="31"/>
      <c r="U27" s="31"/>
      <c r="V27" s="31"/>
      <c r="W27" s="31"/>
      <c r="X27" s="125"/>
      <c r="Y27" s="136" cm="1">
        <f t="array" ref="Y27">SUM(Y4:Y26)</f>
        <v>61</v>
      </c>
      <c r="Z27" s="136" cm="1">
        <f t="array" ref="Z27">SUM(Z4:Z26)</f>
        <v>18</v>
      </c>
      <c r="AA27" s="136" cm="1">
        <f t="array" ref="AA27">SUM(AA4:AA26)</f>
        <v>2</v>
      </c>
      <c r="AB27" s="136" cm="1">
        <f t="array" ref="AB27">SUM(AB4:AB26)</f>
        <v>0</v>
      </c>
      <c r="AC27" s="136" cm="1">
        <f t="array" ref="AC27">SUM(AC4:AC26)</f>
        <v>0</v>
      </c>
      <c r="AE27" s="225" t="s">
        <v>44</v>
      </c>
      <c r="AF27" s="226">
        <v>0.27777777777777779</v>
      </c>
      <c r="AG27" s="226">
        <v>0.79964539007092195</v>
      </c>
      <c r="AH27" s="225">
        <v>11</v>
      </c>
      <c r="AI27" s="225">
        <v>14</v>
      </c>
      <c r="AJ27" s="225">
        <v>11</v>
      </c>
    </row>
    <row r="28" spans="1:36" ht="16.5" customHeight="1">
      <c r="A28" s="137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23"/>
      <c r="Y28" s="138"/>
      <c r="Z28" s="138"/>
      <c r="AA28" s="138"/>
      <c r="AB28" s="138"/>
      <c r="AC28" s="139"/>
      <c r="AE28" s="225" t="s">
        <v>69</v>
      </c>
      <c r="AF28" s="226">
        <v>0.27272727272727271</v>
      </c>
      <c r="AG28" s="226">
        <v>0.77272727272727271</v>
      </c>
      <c r="AH28" s="225">
        <v>4</v>
      </c>
      <c r="AI28" s="225">
        <v>4</v>
      </c>
      <c r="AJ28" s="225">
        <v>6</v>
      </c>
    </row>
    <row r="29" spans="1:36" ht="17.25" customHeight="1">
      <c r="A29" s="121" t="s">
        <v>46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22"/>
      <c r="S29" s="122"/>
      <c r="T29" s="122"/>
      <c r="U29" s="122"/>
      <c r="V29" s="122"/>
      <c r="W29" s="122"/>
      <c r="X29" s="123"/>
      <c r="Y29" s="122"/>
      <c r="Z29" s="122"/>
      <c r="AA29" s="123"/>
      <c r="AB29" s="123"/>
      <c r="AC29" s="141"/>
      <c r="AE29" s="225" t="s">
        <v>42</v>
      </c>
      <c r="AF29" s="226">
        <v>0.2</v>
      </c>
      <c r="AG29" s="226">
        <v>0.76666666666666661</v>
      </c>
      <c r="AH29" s="225">
        <v>0</v>
      </c>
      <c r="AI29" s="225">
        <v>2</v>
      </c>
      <c r="AJ29" s="225">
        <v>1</v>
      </c>
    </row>
    <row r="30" spans="1:36" ht="34.5" customHeight="1">
      <c r="A30" s="8" t="s">
        <v>2</v>
      </c>
      <c r="B30" s="8" t="s">
        <v>3</v>
      </c>
      <c r="C30" s="8" t="s">
        <v>47</v>
      </c>
      <c r="D30" s="8" t="s">
        <v>48</v>
      </c>
      <c r="E30" s="8" t="s">
        <v>49</v>
      </c>
      <c r="F30" s="8" t="s">
        <v>50</v>
      </c>
      <c r="G30" s="8" t="s">
        <v>6</v>
      </c>
      <c r="H30" s="8" t="s">
        <v>51</v>
      </c>
      <c r="I30" s="8" t="s">
        <v>52</v>
      </c>
      <c r="J30" s="8" t="s">
        <v>53</v>
      </c>
      <c r="K30" s="8" t="s">
        <v>54</v>
      </c>
      <c r="L30" s="8" t="s">
        <v>55</v>
      </c>
      <c r="M30" s="8" t="s">
        <v>56</v>
      </c>
      <c r="N30" s="8" t="s">
        <v>57</v>
      </c>
      <c r="O30" s="8" t="s">
        <v>58</v>
      </c>
      <c r="P30" s="8" t="s">
        <v>59</v>
      </c>
      <c r="Q30" s="8" t="s">
        <v>60</v>
      </c>
      <c r="R30" s="8" t="s">
        <v>61</v>
      </c>
      <c r="S30" s="8" t="s">
        <v>116</v>
      </c>
      <c r="T30" s="8" t="s">
        <v>63</v>
      </c>
      <c r="U30" s="8" t="s">
        <v>64</v>
      </c>
      <c r="V30" s="8" t="s">
        <v>65</v>
      </c>
      <c r="W30" s="8" t="s">
        <v>117</v>
      </c>
      <c r="X30" s="125"/>
      <c r="Y30" s="8" t="s">
        <v>118</v>
      </c>
      <c r="Z30" s="8" t="s">
        <v>119</v>
      </c>
      <c r="AA30" s="142"/>
      <c r="AB30" s="123"/>
      <c r="AC30" s="141"/>
      <c r="AE30" s="225" t="s">
        <v>25</v>
      </c>
      <c r="AF30" s="226">
        <v>0.1111111111111111</v>
      </c>
      <c r="AG30" s="226">
        <v>0.61111111111111116</v>
      </c>
      <c r="AH30" s="225">
        <v>1</v>
      </c>
      <c r="AI30" s="225">
        <v>3</v>
      </c>
      <c r="AJ30" s="225">
        <v>1</v>
      </c>
    </row>
    <row r="31" spans="1:36" ht="19.5" customHeight="1">
      <c r="A31" s="8" t="s">
        <v>29</v>
      </c>
      <c r="B31" s="10">
        <v>11</v>
      </c>
      <c r="C31" s="10">
        <v>3</v>
      </c>
      <c r="D31" s="10">
        <v>0</v>
      </c>
      <c r="E31" s="10">
        <v>0</v>
      </c>
      <c r="F31" s="10">
        <v>175</v>
      </c>
      <c r="G31" s="10">
        <v>137</v>
      </c>
      <c r="H31" s="39">
        <v>28</v>
      </c>
      <c r="I31" s="10">
        <v>52</v>
      </c>
      <c r="J31" s="10">
        <v>1</v>
      </c>
      <c r="K31" s="143">
        <v>28</v>
      </c>
      <c r="L31" s="143">
        <v>9</v>
      </c>
      <c r="M31" s="10">
        <v>23</v>
      </c>
      <c r="N31" s="10">
        <v>48</v>
      </c>
      <c r="O31" s="10">
        <v>37</v>
      </c>
      <c r="P31" s="144" cm="1">
        <f t="array" ref="P31">O31*9/H31</f>
        <v>11.892857142857142</v>
      </c>
      <c r="Q31" s="41" cm="1">
        <f t="array" ref="Q31">(K31+L31)/H31</f>
        <v>1.3214285714285714</v>
      </c>
      <c r="R31" s="42" cm="1">
        <f t="array" ref="R31">I31/H31</f>
        <v>1.8571428571428572</v>
      </c>
      <c r="S31" s="42" cm="1">
        <f t="array" ref="S31">H31/B31</f>
        <v>2.5454545454545454</v>
      </c>
      <c r="T31" s="41" cm="1">
        <f t="array" ref="T31">M31/H31</f>
        <v>0.8214285714285714</v>
      </c>
      <c r="U31" s="44" cm="1">
        <f t="array" ref="U31">O31/N31</f>
        <v>0.77083333333333337</v>
      </c>
      <c r="V31" s="41" cm="1">
        <f t="array" ref="V31">(I31+K31+L31)/H31</f>
        <v>3.1785714285714284</v>
      </c>
      <c r="W31" s="145" cm="1">
        <f t="array" ref="W31">(L31+K31)/F31*100</f>
        <v>21.142857142857142</v>
      </c>
      <c r="X31" s="146"/>
      <c r="Y31" s="10">
        <v>1</v>
      </c>
      <c r="Z31" s="10">
        <v>0</v>
      </c>
      <c r="AA31" s="142"/>
      <c r="AB31" s="123"/>
      <c r="AC31" s="141"/>
      <c r="AE31" s="225" t="s">
        <v>27</v>
      </c>
      <c r="AF31" s="226">
        <v>0</v>
      </c>
      <c r="AG31" s="226">
        <v>0</v>
      </c>
      <c r="AH31" s="225">
        <v>0</v>
      </c>
      <c r="AI31" s="225">
        <v>0</v>
      </c>
      <c r="AJ31" s="225">
        <v>0</v>
      </c>
    </row>
    <row r="32" spans="1:36" ht="19.5" customHeight="1">
      <c r="A32" s="8" t="s">
        <v>33</v>
      </c>
      <c r="B32" s="10">
        <v>8</v>
      </c>
      <c r="C32" s="10">
        <v>4</v>
      </c>
      <c r="D32" s="10">
        <v>2</v>
      </c>
      <c r="E32" s="10">
        <v>0</v>
      </c>
      <c r="F32" s="10">
        <v>118</v>
      </c>
      <c r="G32" s="10">
        <v>103</v>
      </c>
      <c r="H32" s="39">
        <v>25</v>
      </c>
      <c r="I32" s="10">
        <v>25</v>
      </c>
      <c r="J32" s="10">
        <v>0</v>
      </c>
      <c r="K32" s="143">
        <v>12</v>
      </c>
      <c r="L32" s="143">
        <v>2</v>
      </c>
      <c r="M32" s="10">
        <v>29</v>
      </c>
      <c r="N32" s="10">
        <v>24</v>
      </c>
      <c r="O32" s="10">
        <v>11</v>
      </c>
      <c r="P32" s="144" cm="1">
        <f t="array" ref="P32">O32*9/H32</f>
        <v>3.96</v>
      </c>
      <c r="Q32" s="41" cm="1">
        <f t="array" ref="Q32">(K32+L32)/H32</f>
        <v>0.56000000000000005</v>
      </c>
      <c r="R32" s="42" cm="1">
        <f t="array" ref="R32">I32/H32</f>
        <v>1</v>
      </c>
      <c r="S32" s="42" cm="1">
        <f t="array" ref="S32">H32/B32</f>
        <v>3.125</v>
      </c>
      <c r="T32" s="41" cm="1">
        <f t="array" ref="T32">M32/H32</f>
        <v>1.1599999999999999</v>
      </c>
      <c r="U32" s="44" cm="1">
        <f t="array" ref="U32">O32/N32</f>
        <v>0.45833333333333331</v>
      </c>
      <c r="V32" s="41" cm="1">
        <f t="array" ref="V32">(I32+K32+L32)/H32</f>
        <v>1.56</v>
      </c>
      <c r="W32" s="145" cm="1">
        <f t="array" ref="W32">(L32+K32)/F32*100</f>
        <v>11.864406779661017</v>
      </c>
      <c r="X32" s="146"/>
      <c r="Y32" s="10">
        <v>0</v>
      </c>
      <c r="Z32" s="10">
        <v>0</v>
      </c>
      <c r="AA32" s="142"/>
      <c r="AB32" s="123"/>
      <c r="AC32" s="141"/>
      <c r="AE32" s="225" t="s">
        <v>41</v>
      </c>
      <c r="AF32" s="226">
        <v>0</v>
      </c>
      <c r="AG32" s="226">
        <v>0.25</v>
      </c>
      <c r="AH32" s="225">
        <v>0</v>
      </c>
      <c r="AI32" s="225">
        <v>0</v>
      </c>
      <c r="AJ32" s="225">
        <v>2</v>
      </c>
    </row>
    <row r="33" spans="1:44" ht="19.5" customHeight="1">
      <c r="A33" s="8" t="s">
        <v>43</v>
      </c>
      <c r="B33" s="10">
        <v>12</v>
      </c>
      <c r="C33" s="10">
        <v>2</v>
      </c>
      <c r="D33" s="10">
        <v>6</v>
      </c>
      <c r="E33" s="10">
        <v>0</v>
      </c>
      <c r="F33" s="10">
        <v>170</v>
      </c>
      <c r="G33" s="10">
        <v>119</v>
      </c>
      <c r="H33" s="39">
        <v>21.6666666666667</v>
      </c>
      <c r="I33" s="10">
        <v>40</v>
      </c>
      <c r="J33" s="10">
        <v>1</v>
      </c>
      <c r="K33" s="143">
        <v>42</v>
      </c>
      <c r="L33" s="143">
        <v>7</v>
      </c>
      <c r="M33" s="10">
        <v>29</v>
      </c>
      <c r="N33" s="10">
        <v>75</v>
      </c>
      <c r="O33" s="10">
        <v>45</v>
      </c>
      <c r="P33" s="144" cm="1">
        <f t="array" ref="P33">O33*9/H33</f>
        <v>18.692307692307665</v>
      </c>
      <c r="Q33" s="41" cm="1">
        <f t="array" ref="Q33">(K33+L33)/H33</f>
        <v>2.2615384615384579</v>
      </c>
      <c r="R33" s="42" cm="1">
        <f t="array" ref="R33">I33/H33</f>
        <v>1.8461538461538434</v>
      </c>
      <c r="S33" s="42" cm="1">
        <f t="array" ref="S33">H33/B33</f>
        <v>1.8055555555555582</v>
      </c>
      <c r="T33" s="41" cm="1">
        <f t="array" ref="T33">M33/H33</f>
        <v>1.3384615384615364</v>
      </c>
      <c r="U33" s="44" cm="1">
        <f t="array" ref="U33">O33/N33</f>
        <v>0.6</v>
      </c>
      <c r="V33" s="41" cm="1">
        <f t="array" ref="V33">(I33+K33+L33)/H33</f>
        <v>4.1076923076923011</v>
      </c>
      <c r="W33" s="145" cm="1">
        <f t="array" ref="W33">(L33+K33)/F33*100</f>
        <v>28.823529411764703</v>
      </c>
      <c r="X33" s="146"/>
      <c r="Y33" s="10">
        <v>7</v>
      </c>
      <c r="Z33" s="10">
        <v>0</v>
      </c>
      <c r="AA33" s="142"/>
      <c r="AB33" s="123"/>
      <c r="AC33" s="141"/>
    </row>
    <row r="34" spans="1:44" ht="19.5" customHeight="1">
      <c r="A34" s="8" t="s">
        <v>36</v>
      </c>
      <c r="B34" s="10">
        <v>7</v>
      </c>
      <c r="C34" s="10">
        <v>2</v>
      </c>
      <c r="D34" s="10">
        <v>1</v>
      </c>
      <c r="E34" s="10">
        <v>0</v>
      </c>
      <c r="F34" s="10">
        <v>94</v>
      </c>
      <c r="G34" s="10">
        <v>64</v>
      </c>
      <c r="H34" s="39">
        <v>11.666666599999999</v>
      </c>
      <c r="I34" s="10">
        <v>31</v>
      </c>
      <c r="J34" s="10">
        <v>1</v>
      </c>
      <c r="K34" s="143">
        <v>24</v>
      </c>
      <c r="L34" s="143">
        <v>4</v>
      </c>
      <c r="M34" s="10">
        <v>11</v>
      </c>
      <c r="N34" s="10">
        <v>36</v>
      </c>
      <c r="O34" s="10">
        <v>26</v>
      </c>
      <c r="P34" s="144" cm="1">
        <f t="array" ref="P34">O34*9/H34</f>
        <v>20.057142971755106</v>
      </c>
      <c r="Q34" s="41" cm="1">
        <f t="array" ref="Q34">(K34+L34)/H34</f>
        <v>2.4000000137142861</v>
      </c>
      <c r="R34" s="42" cm="1">
        <f t="array" ref="R34">I34/H34</f>
        <v>2.6571428723265309</v>
      </c>
      <c r="S34" s="42" cm="1">
        <f t="array" ref="S34">H34/B34</f>
        <v>1.666666657142857</v>
      </c>
      <c r="T34" s="41" cm="1">
        <f t="array" ref="T34">M34/H34</f>
        <v>0.94285714824489808</v>
      </c>
      <c r="U34" s="44" cm="1">
        <f t="array" ref="U34">O34/N34</f>
        <v>0.72222222222222221</v>
      </c>
      <c r="V34" s="41" cm="1">
        <f t="array" ref="V34">(I34+K34+L34)/H34</f>
        <v>5.0571428860408165</v>
      </c>
      <c r="W34" s="145" cm="1">
        <f t="array" ref="W34">(L34+K34)/F34*100</f>
        <v>29.787234042553191</v>
      </c>
      <c r="X34" s="146"/>
      <c r="Y34" s="10">
        <v>0</v>
      </c>
      <c r="Z34" s="10">
        <v>0</v>
      </c>
      <c r="AA34" s="142"/>
      <c r="AB34" s="123"/>
      <c r="AC34" s="141"/>
    </row>
    <row r="35" spans="1:44" ht="19.5" customHeight="1">
      <c r="A35" s="8" t="s">
        <v>37</v>
      </c>
      <c r="B35" s="10">
        <v>7</v>
      </c>
      <c r="C35" s="10">
        <v>0</v>
      </c>
      <c r="D35" s="10">
        <v>0</v>
      </c>
      <c r="E35" s="10">
        <v>0</v>
      </c>
      <c r="F35" s="10">
        <v>60</v>
      </c>
      <c r="G35" s="10">
        <v>49</v>
      </c>
      <c r="H35" s="39">
        <v>9.3333333330000006</v>
      </c>
      <c r="I35" s="10">
        <v>20</v>
      </c>
      <c r="J35" s="10">
        <v>0</v>
      </c>
      <c r="K35" s="143">
        <v>9</v>
      </c>
      <c r="L35" s="143">
        <v>2</v>
      </c>
      <c r="M35" s="10">
        <v>10</v>
      </c>
      <c r="N35" s="10">
        <v>22</v>
      </c>
      <c r="O35" s="10">
        <v>19</v>
      </c>
      <c r="P35" s="144" cm="1">
        <f t="array" ref="P35">O35*9/H35</f>
        <v>18.321428572082908</v>
      </c>
      <c r="Q35" s="41" cm="1">
        <f t="array" ref="Q35">(K35+L35)/H35</f>
        <v>1.1785714286135203</v>
      </c>
      <c r="R35" s="42" cm="1">
        <f t="array" ref="R35">I35/H35</f>
        <v>2.1428571429336731</v>
      </c>
      <c r="S35" s="42" cm="1">
        <f t="array" ref="S35">H35/B35</f>
        <v>1.3333333332857145</v>
      </c>
      <c r="T35" s="41" cm="1">
        <f t="array" ref="T35">M35/H35</f>
        <v>1.0714285714668366</v>
      </c>
      <c r="U35" s="44" cm="1">
        <f t="array" ref="U35">O35/N35</f>
        <v>0.86363636363636365</v>
      </c>
      <c r="V35" s="41" cm="1">
        <f t="array" ref="V35">(I35+K35+L35)/H35</f>
        <v>3.3214285715471936</v>
      </c>
      <c r="W35" s="145" cm="1">
        <f t="array" ref="W35">(L35+K35)/F35*100</f>
        <v>18.333333333333332</v>
      </c>
      <c r="X35" s="146"/>
      <c r="Y35" s="10">
        <v>0</v>
      </c>
      <c r="Z35" s="10">
        <v>0</v>
      </c>
      <c r="AA35" s="142"/>
      <c r="AB35" s="123"/>
      <c r="AC35" s="141"/>
      <c r="AE35" s="225" t="s">
        <v>2</v>
      </c>
      <c r="AF35" s="225" t="s">
        <v>3</v>
      </c>
      <c r="AG35" s="225" t="s">
        <v>47</v>
      </c>
      <c r="AH35" s="225" t="s">
        <v>48</v>
      </c>
      <c r="AI35" s="225" t="s">
        <v>50</v>
      </c>
      <c r="AJ35" s="225" t="s">
        <v>52</v>
      </c>
      <c r="AK35" s="225" t="s">
        <v>54</v>
      </c>
      <c r="AL35" s="225" t="s">
        <v>55</v>
      </c>
      <c r="AM35" s="225" t="s">
        <v>56</v>
      </c>
      <c r="AN35" s="225" t="s">
        <v>58</v>
      </c>
      <c r="AO35" s="225" t="s">
        <v>59</v>
      </c>
    </row>
    <row r="36" spans="1:44" ht="19.5" customHeight="1">
      <c r="A36" s="8" t="s">
        <v>40</v>
      </c>
      <c r="B36" s="10">
        <v>7</v>
      </c>
      <c r="C36" s="10">
        <v>1</v>
      </c>
      <c r="D36" s="10">
        <v>2</v>
      </c>
      <c r="E36" s="10">
        <v>0</v>
      </c>
      <c r="F36" s="10">
        <v>68</v>
      </c>
      <c r="G36" s="10">
        <v>53</v>
      </c>
      <c r="H36" s="39">
        <v>7.3333326660000004</v>
      </c>
      <c r="I36" s="10">
        <v>22</v>
      </c>
      <c r="J36" s="10">
        <v>0</v>
      </c>
      <c r="K36" s="143">
        <v>5</v>
      </c>
      <c r="L36" s="143">
        <v>9</v>
      </c>
      <c r="M36" s="10">
        <v>13</v>
      </c>
      <c r="N36" s="10">
        <v>34</v>
      </c>
      <c r="O36" s="10">
        <v>24</v>
      </c>
      <c r="P36" s="144" cm="1">
        <f t="array" ref="P36">O36*9/H36</f>
        <v>29.454548134909334</v>
      </c>
      <c r="Q36" s="147" cm="1">
        <f t="array" ref="Q36">(K36+L36)/H36</f>
        <v>1.9090910828181975</v>
      </c>
      <c r="R36" s="148" cm="1">
        <f t="array" ref="R36">I36/H36</f>
        <v>3.0000002730000248</v>
      </c>
      <c r="S36" s="148" cm="1">
        <f t="array" ref="S36">H36/B36</f>
        <v>1.0476189522857144</v>
      </c>
      <c r="T36" s="147" cm="1">
        <f t="array" ref="T36">M36/H36</f>
        <v>1.7727274340454691</v>
      </c>
      <c r="U36" s="149" cm="1">
        <f t="array" ref="U36">O36/N36</f>
        <v>0.70588235294117652</v>
      </c>
      <c r="V36" s="147" cm="1">
        <f t="array" ref="V36">(I36+K36+L36)/H36</f>
        <v>4.9090913558182221</v>
      </c>
      <c r="W36" s="150" cm="1">
        <f t="array" ref="W36">(L36+K36)/F36*100</f>
        <v>20.588235294117645</v>
      </c>
      <c r="X36" s="151"/>
      <c r="Y36" s="10">
        <v>2</v>
      </c>
      <c r="Z36" s="10">
        <v>0</v>
      </c>
      <c r="AA36" s="142"/>
      <c r="AB36" s="123"/>
      <c r="AC36" s="141"/>
      <c r="AE36" s="225" t="s">
        <v>29</v>
      </c>
      <c r="AF36" s="225">
        <v>11</v>
      </c>
      <c r="AG36" s="225">
        <v>3</v>
      </c>
      <c r="AH36" s="225">
        <v>0</v>
      </c>
      <c r="AI36" s="225">
        <v>175</v>
      </c>
      <c r="AJ36" s="225">
        <v>52</v>
      </c>
      <c r="AK36" s="225">
        <v>28</v>
      </c>
      <c r="AL36" s="225">
        <v>9</v>
      </c>
      <c r="AM36" s="225">
        <v>23</v>
      </c>
      <c r="AN36" s="225">
        <v>37</v>
      </c>
      <c r="AO36" s="227">
        <v>11.892857142857142</v>
      </c>
    </row>
    <row r="37" spans="1:44" ht="19.5" customHeight="1">
      <c r="A37" s="8" t="s">
        <v>41</v>
      </c>
      <c r="B37" s="10">
        <v>1</v>
      </c>
      <c r="C37" s="10">
        <v>0</v>
      </c>
      <c r="D37" s="10">
        <v>0</v>
      </c>
      <c r="E37" s="10">
        <v>0</v>
      </c>
      <c r="F37" s="10">
        <v>5</v>
      </c>
      <c r="G37" s="10">
        <v>1</v>
      </c>
      <c r="H37" s="39">
        <v>0.33333333333332998</v>
      </c>
      <c r="I37" s="10">
        <v>0</v>
      </c>
      <c r="J37" s="10">
        <v>0</v>
      </c>
      <c r="K37" s="143">
        <v>3</v>
      </c>
      <c r="L37" s="143">
        <v>1</v>
      </c>
      <c r="M37" s="10">
        <v>0</v>
      </c>
      <c r="N37" s="10">
        <v>4</v>
      </c>
      <c r="O37" s="10">
        <v>1</v>
      </c>
      <c r="P37" s="144" cm="1">
        <f t="array" ref="P37">O37*9/H37</f>
        <v>27.00000000000027</v>
      </c>
      <c r="Q37" s="147" cm="1">
        <f t="array" ref="Q37">(K37+L37)/H37</f>
        <v>12.000000000000121</v>
      </c>
      <c r="R37" s="148" cm="1">
        <f t="array" ref="R37">I37/H37</f>
        <v>0</v>
      </c>
      <c r="S37" s="148" cm="1">
        <f t="array" ref="S37">H37/B37</f>
        <v>0.33333333333332998</v>
      </c>
      <c r="T37" s="147" cm="1">
        <f t="array" ref="T37">M37/H37</f>
        <v>0</v>
      </c>
      <c r="U37" s="149" cm="1">
        <f t="array" ref="U37">O37/N37</f>
        <v>0.25</v>
      </c>
      <c r="V37" s="147" cm="1">
        <f t="array" ref="V37">(I37+K37+L37)/H37</f>
        <v>12.000000000000121</v>
      </c>
      <c r="W37" s="150" cm="1">
        <f t="array" ref="W37">(L37+K37)/F37*100</f>
        <v>80</v>
      </c>
      <c r="X37" s="151"/>
      <c r="Y37" s="10">
        <v>0</v>
      </c>
      <c r="Z37" s="10">
        <v>0</v>
      </c>
      <c r="AA37" s="142"/>
      <c r="AB37" s="123"/>
      <c r="AC37" s="141"/>
      <c r="AE37" s="225" t="s">
        <v>33</v>
      </c>
      <c r="AF37" s="225">
        <v>8</v>
      </c>
      <c r="AG37" s="225">
        <v>4</v>
      </c>
      <c r="AH37" s="225">
        <v>2</v>
      </c>
      <c r="AI37" s="225">
        <v>118</v>
      </c>
      <c r="AJ37" s="225">
        <v>25</v>
      </c>
      <c r="AK37" s="225">
        <v>12</v>
      </c>
      <c r="AL37" s="225">
        <v>2</v>
      </c>
      <c r="AM37" s="225">
        <v>29</v>
      </c>
      <c r="AN37" s="225">
        <v>11</v>
      </c>
      <c r="AO37" s="227">
        <v>3.96</v>
      </c>
    </row>
    <row r="38" spans="1:44" ht="19.5" customHeight="1">
      <c r="A38" s="8" t="s">
        <v>24</v>
      </c>
      <c r="B38" s="10">
        <v>1</v>
      </c>
      <c r="C38" s="10">
        <v>0</v>
      </c>
      <c r="D38" s="10">
        <v>0</v>
      </c>
      <c r="E38" s="10">
        <v>0</v>
      </c>
      <c r="F38" s="10">
        <v>4</v>
      </c>
      <c r="G38" s="10">
        <v>2</v>
      </c>
      <c r="H38" s="39">
        <v>0.3333333</v>
      </c>
      <c r="I38" s="10">
        <v>1</v>
      </c>
      <c r="J38" s="10">
        <v>0</v>
      </c>
      <c r="K38" s="143">
        <v>1</v>
      </c>
      <c r="L38" s="143">
        <v>1</v>
      </c>
      <c r="M38" s="10">
        <v>1</v>
      </c>
      <c r="N38" s="10">
        <v>0</v>
      </c>
      <c r="O38" s="10">
        <v>0</v>
      </c>
      <c r="P38" s="144" cm="1">
        <f t="array" ref="P38">O38*9/H38</f>
        <v>0</v>
      </c>
      <c r="Q38" s="147" cm="1">
        <f t="array" ref="Q38">(K38+L38)/H38</f>
        <v>6.0000006000000603</v>
      </c>
      <c r="R38" s="148" cm="1">
        <f t="array" ref="R38">I38/H38</f>
        <v>3.0000003000000302</v>
      </c>
      <c r="S38" s="148" cm="1">
        <f t="array" ref="S38">H38/B38</f>
        <v>0.3333333</v>
      </c>
      <c r="T38" s="147" cm="1">
        <f t="array" ref="T38">M38/H38</f>
        <v>3.0000003000000302</v>
      </c>
      <c r="U38" s="149" t="e" cm="1">
        <f t="array" ref="U38">O38/N38</f>
        <v>#DIV/0!</v>
      </c>
      <c r="V38" s="147" cm="1">
        <f t="array" ref="V38">(I38+K38+L38)/H38</f>
        <v>9.0000009000000905</v>
      </c>
      <c r="W38" s="150" cm="1">
        <f t="array" ref="W38">(L38+K38)/F38*100</f>
        <v>50</v>
      </c>
      <c r="X38" s="151"/>
      <c r="Y38" s="10">
        <v>0</v>
      </c>
      <c r="Z38" s="10">
        <v>0</v>
      </c>
      <c r="AA38" s="142"/>
      <c r="AB38" s="123"/>
      <c r="AC38" s="141"/>
      <c r="AE38" s="225" t="s">
        <v>43</v>
      </c>
      <c r="AF38" s="225">
        <v>12</v>
      </c>
      <c r="AG38" s="225">
        <v>2</v>
      </c>
      <c r="AH38" s="225">
        <v>6</v>
      </c>
      <c r="AI38" s="225">
        <v>170</v>
      </c>
      <c r="AJ38" s="225">
        <v>40</v>
      </c>
      <c r="AK38" s="225">
        <v>42</v>
      </c>
      <c r="AL38" s="225">
        <v>7</v>
      </c>
      <c r="AM38" s="225">
        <v>29</v>
      </c>
      <c r="AN38" s="225">
        <v>45</v>
      </c>
      <c r="AO38" s="227">
        <v>18.692307692307665</v>
      </c>
    </row>
    <row r="39" spans="1:44" ht="19.5" customHeight="1">
      <c r="A39" s="8" t="s">
        <v>27</v>
      </c>
      <c r="B39" s="10">
        <v>0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39">
        <v>0</v>
      </c>
      <c r="I39" s="10">
        <v>0</v>
      </c>
      <c r="J39" s="10">
        <v>0</v>
      </c>
      <c r="K39" s="143">
        <v>0</v>
      </c>
      <c r="L39" s="143">
        <v>0</v>
      </c>
      <c r="M39" s="10">
        <v>0</v>
      </c>
      <c r="N39" s="10">
        <v>0</v>
      </c>
      <c r="O39" s="10">
        <v>0</v>
      </c>
      <c r="P39" s="144" cm="1">
        <f t="array" ref="P39">99</f>
        <v>99</v>
      </c>
      <c r="Q39" s="147" t="e" cm="1">
        <f t="array" ref="Q39">(K39+L39)/H39</f>
        <v>#DIV/0!</v>
      </c>
      <c r="R39" s="148" t="e" cm="1">
        <f t="array" ref="R39">I39/H39</f>
        <v>#DIV/0!</v>
      </c>
      <c r="S39" s="148" t="e" cm="1">
        <f t="array" ref="S39">H39/B39</f>
        <v>#DIV/0!</v>
      </c>
      <c r="T39" s="147" t="e" cm="1">
        <f t="array" ref="T39">M39/H39</f>
        <v>#DIV/0!</v>
      </c>
      <c r="U39" s="149" t="e" cm="1">
        <f t="array" ref="U39">O39/N39</f>
        <v>#DIV/0!</v>
      </c>
      <c r="V39" s="147" t="e" cm="1">
        <f t="array" ref="V39">(I39+K39+L39)/H39</f>
        <v>#DIV/0!</v>
      </c>
      <c r="W39" s="150" t="e" cm="1">
        <f t="array" ref="W39">(L39+K39)/F39*100</f>
        <v>#DIV/0!</v>
      </c>
      <c r="X39" s="151"/>
      <c r="Y39" s="10">
        <v>0</v>
      </c>
      <c r="Z39" s="10">
        <v>0</v>
      </c>
      <c r="AA39" s="142"/>
      <c r="AB39" s="123"/>
      <c r="AC39" s="141"/>
      <c r="AE39" s="225" t="s">
        <v>36</v>
      </c>
      <c r="AF39" s="225">
        <v>7</v>
      </c>
      <c r="AG39" s="225">
        <v>2</v>
      </c>
      <c r="AH39" s="225">
        <v>1</v>
      </c>
      <c r="AI39" s="225">
        <v>94</v>
      </c>
      <c r="AJ39" s="225">
        <v>31</v>
      </c>
      <c r="AK39" s="225">
        <v>24</v>
      </c>
      <c r="AL39" s="225">
        <v>4</v>
      </c>
      <c r="AM39" s="225">
        <v>11</v>
      </c>
      <c r="AN39" s="225">
        <v>26</v>
      </c>
      <c r="AO39" s="227">
        <v>20.057142971755106</v>
      </c>
    </row>
    <row r="40" spans="1:44" ht="19.5" customHeight="1">
      <c r="A40" s="8" t="s">
        <v>35</v>
      </c>
      <c r="B40" s="10">
        <v>0</v>
      </c>
      <c r="C40" s="10">
        <v>0</v>
      </c>
      <c r="D40" s="10">
        <v>0</v>
      </c>
      <c r="E40" s="10">
        <v>0</v>
      </c>
      <c r="F40" s="10">
        <v>0</v>
      </c>
      <c r="G40" s="10">
        <v>0</v>
      </c>
      <c r="H40" s="39">
        <v>0</v>
      </c>
      <c r="I40" s="10">
        <v>0</v>
      </c>
      <c r="J40" s="10">
        <v>0</v>
      </c>
      <c r="K40" s="143">
        <v>0</v>
      </c>
      <c r="L40" s="143">
        <v>0</v>
      </c>
      <c r="M40" s="10">
        <v>0</v>
      </c>
      <c r="N40" s="10">
        <v>0</v>
      </c>
      <c r="O40" s="10">
        <v>0</v>
      </c>
      <c r="P40" s="144">
        <v>99</v>
      </c>
      <c r="Q40" s="147" t="e" cm="1">
        <f t="array" ref="Q40">(K40+L40)/H40</f>
        <v>#DIV/0!</v>
      </c>
      <c r="R40" s="148" t="e" cm="1">
        <f t="array" ref="R40">I40/H40</f>
        <v>#DIV/0!</v>
      </c>
      <c r="S40" s="148" t="e" cm="1">
        <f t="array" ref="S40">H40/B40</f>
        <v>#DIV/0!</v>
      </c>
      <c r="T40" s="147" t="e" cm="1">
        <f t="array" ref="T40">M40/H40</f>
        <v>#DIV/0!</v>
      </c>
      <c r="U40" s="149" t="e" cm="1">
        <f t="array" ref="U40">O40/N40</f>
        <v>#DIV/0!</v>
      </c>
      <c r="V40" s="147" t="e" cm="1">
        <f t="array" ref="V40">(I40+K40+L40)/H40</f>
        <v>#DIV/0!</v>
      </c>
      <c r="W40" s="150" t="e" cm="1">
        <f t="array" ref="W40">(L40+K40)/F40*100</f>
        <v>#DIV/0!</v>
      </c>
      <c r="X40" s="151"/>
      <c r="Y40" s="10">
        <v>0</v>
      </c>
      <c r="Z40" s="10">
        <v>0</v>
      </c>
      <c r="AA40" s="142"/>
      <c r="AB40" s="123"/>
      <c r="AC40" s="141"/>
      <c r="AE40" s="225" t="s">
        <v>37</v>
      </c>
      <c r="AF40" s="225">
        <v>7</v>
      </c>
      <c r="AG40" s="225">
        <v>0</v>
      </c>
      <c r="AH40" s="225">
        <v>0</v>
      </c>
      <c r="AI40" s="225">
        <v>60</v>
      </c>
      <c r="AJ40" s="225">
        <v>20</v>
      </c>
      <c r="AK40" s="225">
        <v>9</v>
      </c>
      <c r="AL40" s="225">
        <v>2</v>
      </c>
      <c r="AM40" s="225">
        <v>10</v>
      </c>
      <c r="AN40" s="225">
        <v>19</v>
      </c>
      <c r="AO40" s="227">
        <v>18.321428572082908</v>
      </c>
    </row>
    <row r="41" spans="1:44" ht="19.5" customHeight="1">
      <c r="A41" s="8" t="s">
        <v>42</v>
      </c>
      <c r="B41" s="10">
        <v>0</v>
      </c>
      <c r="C41" s="10">
        <v>0</v>
      </c>
      <c r="D41" s="10">
        <v>0</v>
      </c>
      <c r="E41" s="10">
        <v>0</v>
      </c>
      <c r="F41" s="10">
        <v>0</v>
      </c>
      <c r="G41" s="10">
        <v>0</v>
      </c>
      <c r="H41" s="39">
        <v>0</v>
      </c>
      <c r="I41" s="10">
        <v>0</v>
      </c>
      <c r="J41" s="10">
        <v>0</v>
      </c>
      <c r="K41" s="143">
        <v>0</v>
      </c>
      <c r="L41" s="143">
        <v>0</v>
      </c>
      <c r="M41" s="10">
        <v>0</v>
      </c>
      <c r="N41" s="10">
        <v>0</v>
      </c>
      <c r="O41" s="10">
        <v>0</v>
      </c>
      <c r="P41" s="144" cm="1">
        <f t="array" ref="P41">99</f>
        <v>99</v>
      </c>
      <c r="Q41" s="147" t="e" cm="1">
        <f t="array" ref="Q41">(K41+L41)/H41</f>
        <v>#DIV/0!</v>
      </c>
      <c r="R41" s="148" t="e" cm="1">
        <f t="array" ref="R41">I41/H41</f>
        <v>#DIV/0!</v>
      </c>
      <c r="S41" s="148" t="e" cm="1">
        <f t="array" ref="S41">H41/B41</f>
        <v>#DIV/0!</v>
      </c>
      <c r="T41" s="147" t="e" cm="1">
        <f t="array" ref="T41">M41/H41</f>
        <v>#DIV/0!</v>
      </c>
      <c r="U41" s="149" t="e" cm="1">
        <f t="array" ref="U41">O41/N41</f>
        <v>#DIV/0!</v>
      </c>
      <c r="V41" s="147" t="e" cm="1">
        <f t="array" ref="V41">(I41+K41+L41)/H41</f>
        <v>#DIV/0!</v>
      </c>
      <c r="W41" s="150" t="e" cm="1">
        <f t="array" ref="W41">(L41+K41)/F41*100</f>
        <v>#DIV/0!</v>
      </c>
      <c r="X41" s="151"/>
      <c r="Y41" s="10">
        <v>0</v>
      </c>
      <c r="Z41" s="10">
        <v>0</v>
      </c>
      <c r="AA41" s="142"/>
      <c r="AB41" s="123"/>
      <c r="AC41" s="141"/>
      <c r="AE41" s="225" t="s">
        <v>40</v>
      </c>
      <c r="AF41" s="225">
        <v>7</v>
      </c>
      <c r="AG41" s="225">
        <v>1</v>
      </c>
      <c r="AH41" s="225">
        <v>2</v>
      </c>
      <c r="AI41" s="225">
        <v>68</v>
      </c>
      <c r="AJ41" s="225">
        <v>22</v>
      </c>
      <c r="AK41" s="225">
        <v>5</v>
      </c>
      <c r="AL41" s="225">
        <v>9</v>
      </c>
      <c r="AM41" s="225">
        <v>13</v>
      </c>
      <c r="AN41" s="225">
        <v>24</v>
      </c>
      <c r="AO41" s="227">
        <v>29.454548134909334</v>
      </c>
    </row>
    <row r="42" spans="1:44" ht="19.5" customHeight="1">
      <c r="A42" s="29" t="s">
        <v>45</v>
      </c>
      <c r="B42" s="103"/>
      <c r="C42" s="49" cm="1">
        <f t="array" ref="C42">SUM(C31:C41)</f>
        <v>12</v>
      </c>
      <c r="D42" s="49" cm="1">
        <f t="array" ref="D42">SUM(D31:D41)</f>
        <v>11</v>
      </c>
      <c r="E42" s="49" cm="1">
        <f t="array" ref="E42">SUM(E31:E41)</f>
        <v>0</v>
      </c>
      <c r="F42" s="49" cm="1">
        <f t="array" ref="F42">SUM(F31:F41)</f>
        <v>694</v>
      </c>
      <c r="G42" s="49" cm="1">
        <f t="array" ref="G42">SUM(G31:G41)</f>
        <v>528</v>
      </c>
      <c r="H42" s="50" cm="1">
        <f t="array" ref="H42">SUM(H31:H41)</f>
        <v>103.66666589900004</v>
      </c>
      <c r="I42" s="49" cm="1">
        <f t="array" ref="I42">SUM(I31:I41)</f>
        <v>191</v>
      </c>
      <c r="J42" s="49" cm="1">
        <f t="array" ref="J42">SUM(J31:J41)</f>
        <v>3</v>
      </c>
      <c r="K42" s="49" cm="1">
        <f t="array" ref="K42">SUM(K31:K41)</f>
        <v>124</v>
      </c>
      <c r="L42" s="49" cm="1">
        <f t="array" ref="L42">SUM(L31:L41)</f>
        <v>35</v>
      </c>
      <c r="M42" s="49" cm="1">
        <f t="array" ref="M42">SUM(M31:M41)</f>
        <v>116</v>
      </c>
      <c r="N42" s="49" cm="1">
        <f t="array" ref="N42">SUM(N31:N41)</f>
        <v>243</v>
      </c>
      <c r="O42" s="49" cm="1">
        <f t="array" ref="O42">SUM(O31:O41)</f>
        <v>163</v>
      </c>
      <c r="P42" s="51" cm="1">
        <f t="array" ref="P42">O42*9/H42</f>
        <v>14.151125506720387</v>
      </c>
      <c r="Q42" s="54" cm="1">
        <f t="array" ref="Q42">(K42+L42)/H42</f>
        <v>1.5337620692355429</v>
      </c>
      <c r="R42" s="152" cm="1">
        <f t="array" ref="R42">I42/H42</f>
        <v>1.8424437435470988</v>
      </c>
      <c r="S42" s="152"/>
      <c r="T42" s="54" cm="1">
        <f t="array" ref="T42">M42/H42</f>
        <v>1.1189710693793899</v>
      </c>
      <c r="U42" s="55" cm="1">
        <f t="array" ref="U42">O42/N42</f>
        <v>0.67078189300411528</v>
      </c>
      <c r="V42" s="54" cm="1">
        <f t="array" ref="V42">(I42+K42+L42)/H42</f>
        <v>3.3762058127826418</v>
      </c>
      <c r="W42" s="54"/>
      <c r="X42" s="151"/>
      <c r="Y42" s="49" cm="1">
        <f t="array" ref="Y42">SUM(Y31:Y41)</f>
        <v>10</v>
      </c>
      <c r="Z42" s="49" cm="1">
        <f t="array" ref="Z42">SUM(Z31:Z41)</f>
        <v>0</v>
      </c>
      <c r="AA42" s="142"/>
      <c r="AB42" s="123"/>
      <c r="AC42" s="141"/>
      <c r="AR42" s="224"/>
    </row>
    <row r="43" spans="1:44" ht="16.5" customHeight="1">
      <c r="A43" s="137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23"/>
      <c r="Y43" s="138"/>
      <c r="Z43" s="138"/>
      <c r="AA43" s="123"/>
      <c r="AB43" s="123"/>
      <c r="AC43" s="141"/>
      <c r="AR43" s="224"/>
    </row>
    <row r="44" spans="1:44" ht="16.5" customHeight="1">
      <c r="A44" s="15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41"/>
      <c r="AR44" s="224"/>
    </row>
    <row r="45" spans="1:44" ht="16.5" customHeight="1">
      <c r="A45" s="154"/>
      <c r="B45" s="155"/>
      <c r="C45" s="155"/>
      <c r="D45" s="155"/>
      <c r="E45" s="155"/>
      <c r="F45" s="155"/>
      <c r="G45" s="155"/>
      <c r="H45" s="155"/>
      <c r="I45" s="155"/>
      <c r="J45" s="156" t="s">
        <v>120</v>
      </c>
      <c r="K45" s="155"/>
      <c r="L45" s="155"/>
      <c r="M45" s="155"/>
      <c r="N45" s="155"/>
      <c r="O45" s="155"/>
      <c r="P45" s="155"/>
      <c r="Q45" s="155"/>
      <c r="R45" s="155"/>
      <c r="S45" s="155"/>
      <c r="T45" s="155"/>
      <c r="U45" s="155"/>
      <c r="V45" s="155"/>
      <c r="W45" s="155"/>
      <c r="X45" s="155"/>
      <c r="Y45" s="155"/>
      <c r="Z45" s="155"/>
      <c r="AA45" s="155"/>
      <c r="AB45" s="155"/>
      <c r="AC45" s="157"/>
      <c r="AR45" s="224"/>
    </row>
    <row r="46" spans="1:44" ht="16.5" customHeight="1">
      <c r="AR46" s="224"/>
    </row>
  </sheetData>
  <phoneticPr fontId="21" type="noConversion"/>
  <pageMargins left="0.69972199999999996" right="0.69972199999999996" top="0.75" bottom="0.75" header="0.3" footer="0.3"/>
  <pageSetup orientation="portrait"/>
  <headerFooter>
    <oddFooter>&amp;C&amp;"Helvetica Neue,Regular"&amp;12&amp;K000000&amp;P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W36"/>
  <sheetViews>
    <sheetView showGridLines="0" workbookViewId="0"/>
  </sheetViews>
  <sheetFormatPr defaultColWidth="9" defaultRowHeight="16.5" customHeight="1"/>
  <cols>
    <col min="1" max="20" width="8.125" style="1" customWidth="1"/>
    <col min="21" max="24" width="9" style="1" customWidth="1"/>
    <col min="25" max="16384" width="9" style="1"/>
  </cols>
  <sheetData>
    <row r="1" spans="1:23" ht="26.25" customHeight="1">
      <c r="A1" s="2" t="s">
        <v>158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spans="1:23" ht="17.25" customHeight="1">
      <c r="A2" s="5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ht="34.5" customHeight="1">
      <c r="A3" s="8" t="s">
        <v>101</v>
      </c>
      <c r="B3" s="8" t="s">
        <v>102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10</v>
      </c>
      <c r="J3" s="8" t="s">
        <v>11</v>
      </c>
      <c r="K3" s="8" t="s">
        <v>12</v>
      </c>
      <c r="L3" s="8" t="s">
        <v>13</v>
      </c>
      <c r="M3" s="8" t="s">
        <v>14</v>
      </c>
      <c r="N3" s="8" t="s">
        <v>15</v>
      </c>
      <c r="O3" s="8" t="s">
        <v>16</v>
      </c>
      <c r="P3" s="8" t="s">
        <v>17</v>
      </c>
      <c r="Q3" s="8" t="s">
        <v>18</v>
      </c>
      <c r="R3" s="8" t="s">
        <v>19</v>
      </c>
      <c r="S3" s="8" t="s">
        <v>20</v>
      </c>
      <c r="T3" s="8" t="s">
        <v>21</v>
      </c>
      <c r="U3" s="8" t="s">
        <v>22</v>
      </c>
      <c r="V3" s="8" t="s">
        <v>23</v>
      </c>
      <c r="W3" s="8" t="s">
        <v>114</v>
      </c>
    </row>
    <row r="4" spans="1:23" ht="17.25" customHeight="1">
      <c r="A4" s="8" t="s">
        <v>24</v>
      </c>
      <c r="B4" s="10">
        <v>4</v>
      </c>
      <c r="C4" s="174" cm="1">
        <f t="array" ref="C4">F4/E4</f>
        <v>0.25</v>
      </c>
      <c r="D4" s="10">
        <v>9</v>
      </c>
      <c r="E4" s="10">
        <v>8</v>
      </c>
      <c r="F4" s="10">
        <v>2</v>
      </c>
      <c r="G4" s="10" cm="1">
        <f t="array" ref="G4">F4-(H4+I4+J4)</f>
        <v>1</v>
      </c>
      <c r="H4" s="10">
        <v>0</v>
      </c>
      <c r="I4" s="10">
        <v>1</v>
      </c>
      <c r="J4" s="10">
        <v>0</v>
      </c>
      <c r="K4" s="10">
        <v>1</v>
      </c>
      <c r="L4" s="10">
        <v>3</v>
      </c>
      <c r="M4" s="10">
        <v>1</v>
      </c>
      <c r="N4" s="10" cm="1">
        <f t="array" ref="N4">D4-E4</f>
        <v>1</v>
      </c>
      <c r="O4" s="10">
        <v>4</v>
      </c>
      <c r="P4" s="12" cm="1">
        <f t="array" ref="P4">O4/D4</f>
        <v>0.44444444444444442</v>
      </c>
      <c r="Q4" s="13" cm="1">
        <f t="array" ref="Q4">(G4*1+H4*2+I4*3+J4*4)/E4</f>
        <v>0.5</v>
      </c>
      <c r="R4" s="13" cm="1">
        <f t="array" ref="R4">(F4+N4)/D4</f>
        <v>0.33333333333333331</v>
      </c>
      <c r="S4" s="15" cm="1">
        <f t="array" ref="S4">R4+Q4</f>
        <v>0.83333333333333326</v>
      </c>
      <c r="T4" s="16" cm="1">
        <f t="array" ref="T4">O4/(D4-(F4+N4))</f>
        <v>0.66666666666666663</v>
      </c>
      <c r="U4" s="17" cm="1">
        <f t="array" ref="U4">RANK(R4,$R$4:$R$23)</f>
        <v>17</v>
      </c>
      <c r="V4" s="18" cm="1">
        <f t="array" ref="V4">RANK(S4,$S$4:$S$23)</f>
        <v>12</v>
      </c>
      <c r="W4" s="48">
        <v>1</v>
      </c>
    </row>
    <row r="5" spans="1:23" ht="17.25" customHeight="1">
      <c r="A5" s="8" t="s">
        <v>25</v>
      </c>
      <c r="B5" s="10">
        <v>5</v>
      </c>
      <c r="C5" s="174" cm="1">
        <f t="array" ref="C5">F5/E5</f>
        <v>0.25</v>
      </c>
      <c r="D5" s="10">
        <v>12</v>
      </c>
      <c r="E5" s="10">
        <v>8</v>
      </c>
      <c r="F5" s="10">
        <v>2</v>
      </c>
      <c r="G5" s="10" cm="1">
        <f t="array" ref="G5">F5-(H5+I5+J5)</f>
        <v>0</v>
      </c>
      <c r="H5" s="10">
        <v>2</v>
      </c>
      <c r="I5" s="10">
        <v>0</v>
      </c>
      <c r="J5" s="10">
        <v>0</v>
      </c>
      <c r="K5" s="10">
        <v>5</v>
      </c>
      <c r="L5" s="10">
        <v>1</v>
      </c>
      <c r="M5" s="10">
        <v>3</v>
      </c>
      <c r="N5" s="10" cm="1">
        <f t="array" ref="N5">D5-E5</f>
        <v>4</v>
      </c>
      <c r="O5" s="10">
        <v>5</v>
      </c>
      <c r="P5" s="12" cm="1">
        <f t="array" ref="P5">O5/D5</f>
        <v>0.41666666666666669</v>
      </c>
      <c r="Q5" s="13" cm="1">
        <f t="array" ref="Q5">(G5*1+H5*2+I5*3+J5*4)/E5</f>
        <v>0.5</v>
      </c>
      <c r="R5" s="13" cm="1">
        <f t="array" ref="R5">(F5+N5)/D5</f>
        <v>0.5</v>
      </c>
      <c r="S5" s="15" cm="1">
        <f t="array" ref="S5">R5+Q5</f>
        <v>1</v>
      </c>
      <c r="T5" s="20" cm="1">
        <f t="array" ref="T5">O5/(D5-(F5+N5))</f>
        <v>0.83333333333333337</v>
      </c>
      <c r="U5" s="17" cm="1">
        <f t="array" ref="U5">RANK(R5,$R$4:$R$23)</f>
        <v>8</v>
      </c>
      <c r="V5" s="18" cm="1">
        <f t="array" ref="V5">RANK(S5,$S$4:$S$23)</f>
        <v>9</v>
      </c>
      <c r="W5" s="48">
        <v>1</v>
      </c>
    </row>
    <row r="6" spans="1:23" ht="17.25" customHeight="1">
      <c r="A6" s="8" t="s">
        <v>26</v>
      </c>
      <c r="B6" s="10">
        <v>7</v>
      </c>
      <c r="C6" s="174" cm="1">
        <f t="array" ref="C6">F6/E6</f>
        <v>0.61111111111111116</v>
      </c>
      <c r="D6" s="10">
        <v>23</v>
      </c>
      <c r="E6" s="10">
        <v>18</v>
      </c>
      <c r="F6" s="10">
        <v>11</v>
      </c>
      <c r="G6" s="10" cm="1">
        <f t="array" ref="G6">F6-(H6+I6+J6)</f>
        <v>9</v>
      </c>
      <c r="H6" s="10">
        <v>2</v>
      </c>
      <c r="I6" s="10">
        <v>0</v>
      </c>
      <c r="J6" s="10">
        <v>0</v>
      </c>
      <c r="K6" s="10">
        <v>8</v>
      </c>
      <c r="L6" s="10">
        <v>7</v>
      </c>
      <c r="M6" s="10">
        <v>6</v>
      </c>
      <c r="N6" s="10" cm="1">
        <f t="array" ref="N6">D6-E6</f>
        <v>5</v>
      </c>
      <c r="O6" s="10">
        <v>0</v>
      </c>
      <c r="P6" s="19" cm="1">
        <f t="array" ref="P6">O6/D6</f>
        <v>0</v>
      </c>
      <c r="Q6" s="13" cm="1">
        <f t="array" ref="Q6">(G6*1+H6*2+I6*3+J6*4)/E6</f>
        <v>0.72222222222222221</v>
      </c>
      <c r="R6" s="13" cm="1">
        <f t="array" ref="R6">(F6+N6)/D6</f>
        <v>0.69565217391304346</v>
      </c>
      <c r="S6" s="15" cm="1">
        <f t="array" ref="S6">R6+Q6</f>
        <v>1.4178743961352658</v>
      </c>
      <c r="T6" s="21" cm="1">
        <f t="array" ref="T6">O6/(D6-(F6+N6))</f>
        <v>0</v>
      </c>
      <c r="U6" s="17" cm="1">
        <f t="array" ref="U6">RANK(R6,$R$4:$R$23)</f>
        <v>3</v>
      </c>
      <c r="V6" s="18" cm="1">
        <f t="array" ref="V6">RANK(S6,$S$4:$S$23)</f>
        <v>3</v>
      </c>
      <c r="W6" s="48">
        <v>4</v>
      </c>
    </row>
    <row r="7" spans="1:23" ht="17.25" customHeight="1">
      <c r="A7" s="8" t="s">
        <v>27</v>
      </c>
      <c r="B7" s="10">
        <v>1</v>
      </c>
      <c r="C7" s="174" cm="1">
        <f t="array" ref="C7">F7/E7</f>
        <v>0</v>
      </c>
      <c r="D7" s="10">
        <v>3</v>
      </c>
      <c r="E7" s="10">
        <v>2</v>
      </c>
      <c r="F7" s="10">
        <v>0</v>
      </c>
      <c r="G7" s="10" cm="1">
        <f t="array" ref="G7">F7-(H7+I7+J7)</f>
        <v>0</v>
      </c>
      <c r="H7" s="10">
        <v>0</v>
      </c>
      <c r="I7" s="10">
        <v>0</v>
      </c>
      <c r="J7" s="10">
        <v>0</v>
      </c>
      <c r="K7" s="10">
        <v>2</v>
      </c>
      <c r="L7" s="10">
        <v>1</v>
      </c>
      <c r="M7" s="10">
        <v>0</v>
      </c>
      <c r="N7" s="10" cm="1">
        <f t="array" ref="N7">D7-E7</f>
        <v>1</v>
      </c>
      <c r="O7" s="10">
        <v>1</v>
      </c>
      <c r="P7" s="12" cm="1">
        <f t="array" ref="P7">O7/D7</f>
        <v>0.33333333333333331</v>
      </c>
      <c r="Q7" s="13" cm="1">
        <f t="array" ref="Q7">(G7*1+H7*2+I7*3+J7*4)/E7</f>
        <v>0</v>
      </c>
      <c r="R7" s="13" cm="1">
        <f t="array" ref="R7">(F7+N7)/D7</f>
        <v>0.33333333333333331</v>
      </c>
      <c r="S7" s="15" cm="1">
        <f t="array" ref="S7">R7+Q7</f>
        <v>0.33333333333333331</v>
      </c>
      <c r="T7" s="22" cm="1">
        <f t="array" ref="T7">O7/(D7-(F7+N7))</f>
        <v>0.5</v>
      </c>
      <c r="U7" s="17" cm="1">
        <f t="array" ref="U7">RANK(R7,$R$4:$R$23)</f>
        <v>17</v>
      </c>
      <c r="V7" s="18" cm="1">
        <f t="array" ref="V7">RANK(S7,$S$4:$S$23)</f>
        <v>18</v>
      </c>
      <c r="W7" s="133"/>
    </row>
    <row r="8" spans="1:23" ht="17.25" customHeight="1">
      <c r="A8" s="8" t="s">
        <v>28</v>
      </c>
      <c r="B8" s="10">
        <v>2</v>
      </c>
      <c r="C8" s="174" cm="1">
        <f t="array" ref="C8">F8/E8</f>
        <v>0</v>
      </c>
      <c r="D8" s="10">
        <v>6</v>
      </c>
      <c r="E8" s="10">
        <v>3</v>
      </c>
      <c r="F8" s="10">
        <v>0</v>
      </c>
      <c r="G8" s="10" cm="1">
        <f t="array" ref="G8">F8-(H8+I8+J8)</f>
        <v>0</v>
      </c>
      <c r="H8" s="10">
        <v>0</v>
      </c>
      <c r="I8" s="10">
        <v>0</v>
      </c>
      <c r="J8" s="10">
        <v>0</v>
      </c>
      <c r="K8" s="10">
        <v>3</v>
      </c>
      <c r="L8" s="10">
        <v>1</v>
      </c>
      <c r="M8" s="10">
        <v>1</v>
      </c>
      <c r="N8" s="10" cm="1">
        <f t="array" ref="N8">D8-E8</f>
        <v>3</v>
      </c>
      <c r="O8" s="10">
        <v>3</v>
      </c>
      <c r="P8" s="12" cm="1">
        <f t="array" ref="P8">O8/D8</f>
        <v>0.5</v>
      </c>
      <c r="Q8" s="13" cm="1">
        <f t="array" ref="Q8">(G8*1+H8*2+I8*3+J8*4)/E8</f>
        <v>0</v>
      </c>
      <c r="R8" s="13" cm="1">
        <f t="array" ref="R8">(F8+N8)/D8</f>
        <v>0.5</v>
      </c>
      <c r="S8" s="15" cm="1">
        <f t="array" ref="S8">R8+Q8</f>
        <v>0.5</v>
      </c>
      <c r="T8" s="20" cm="1">
        <f t="array" ref="T8">O8/(D8-(F8+N8))</f>
        <v>1</v>
      </c>
      <c r="U8" s="17" cm="1">
        <f t="array" ref="U8">RANK(R8,$R$4:$R$23)</f>
        <v>8</v>
      </c>
      <c r="V8" s="18" cm="1">
        <f t="array" ref="V8">RANK(S8,$S$4:$S$23)</f>
        <v>16</v>
      </c>
      <c r="W8" s="48">
        <v>0</v>
      </c>
    </row>
    <row r="9" spans="1:23" ht="17.25" customHeight="1">
      <c r="A9" s="8" t="s">
        <v>29</v>
      </c>
      <c r="B9" s="10">
        <v>1</v>
      </c>
      <c r="C9" s="174" cm="1">
        <f t="array" ref="C9">F9/E9</f>
        <v>0.25</v>
      </c>
      <c r="D9" s="10">
        <v>2</v>
      </c>
      <c r="E9" s="10">
        <v>4</v>
      </c>
      <c r="F9" s="10">
        <v>1</v>
      </c>
      <c r="G9" s="10" cm="1">
        <f t="array" ref="G9">F9-(H9+I9+J9)</f>
        <v>1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 cm="1">
        <f t="array" ref="N9">D9-E9</f>
        <v>-2</v>
      </c>
      <c r="O9" s="10">
        <v>1</v>
      </c>
      <c r="P9" s="12" cm="1">
        <f t="array" ref="P9">O9/D9</f>
        <v>0.5</v>
      </c>
      <c r="Q9" s="13" cm="1">
        <f t="array" ref="Q9">(G9*1+H9*2+I9*3+J9*4)/E9</f>
        <v>0.25</v>
      </c>
      <c r="R9" s="13" cm="1">
        <f t="array" ref="R9">(F9+N9)/D9</f>
        <v>-0.5</v>
      </c>
      <c r="S9" s="15" cm="1">
        <f t="array" ref="S9">R9+Q9</f>
        <v>-0.25</v>
      </c>
      <c r="T9" s="20" cm="1">
        <f t="array" ref="T9">O9/(D9-(F9+N9))</f>
        <v>0.33333333333333331</v>
      </c>
      <c r="U9" s="17" cm="1">
        <f t="array" ref="U9">RANK(R9,$R$4:$R$23)</f>
        <v>20</v>
      </c>
      <c r="V9" s="18" cm="1">
        <f t="array" ref="V9">RANK(S9,$S$4:$S$23)</f>
        <v>20</v>
      </c>
      <c r="W9" s="48">
        <v>2</v>
      </c>
    </row>
    <row r="10" spans="1:23" ht="17.25" customHeight="1">
      <c r="A10" s="8" t="s">
        <v>30</v>
      </c>
      <c r="B10" s="10">
        <v>6</v>
      </c>
      <c r="C10" s="174" cm="1">
        <f t="array" ref="C10">F10/E10</f>
        <v>0.5</v>
      </c>
      <c r="D10" s="10">
        <v>15</v>
      </c>
      <c r="E10" s="10">
        <v>14</v>
      </c>
      <c r="F10" s="10">
        <v>7</v>
      </c>
      <c r="G10" s="10" cm="1">
        <f t="array" ref="G10">F10-(H10+I10+J10)</f>
        <v>3</v>
      </c>
      <c r="H10" s="10">
        <v>2</v>
      </c>
      <c r="I10" s="10">
        <v>2</v>
      </c>
      <c r="J10" s="10">
        <v>0</v>
      </c>
      <c r="K10" s="10">
        <v>5</v>
      </c>
      <c r="L10" s="10">
        <v>5</v>
      </c>
      <c r="M10" s="10">
        <v>5</v>
      </c>
      <c r="N10" s="10" cm="1">
        <f t="array" ref="N10">D10-E10</f>
        <v>1</v>
      </c>
      <c r="O10" s="10">
        <v>2</v>
      </c>
      <c r="P10" s="19" cm="1">
        <f t="array" ref="P10">O10/D10</f>
        <v>0.13333333333333333</v>
      </c>
      <c r="Q10" s="13" cm="1">
        <f t="array" ref="Q10">(G10*1+H10*2+I10*3+J10*4)/E10</f>
        <v>0.9285714285714286</v>
      </c>
      <c r="R10" s="13" cm="1">
        <f t="array" ref="R10">(F10+N10)/D10</f>
        <v>0.53333333333333333</v>
      </c>
      <c r="S10" s="15" cm="1">
        <f t="array" ref="S10">R10+Q10</f>
        <v>1.461904761904762</v>
      </c>
      <c r="T10" s="21" cm="1">
        <f t="array" ref="T10">O10/(D10-(F10+N10))</f>
        <v>0.2857142857142857</v>
      </c>
      <c r="U10" s="17" cm="1">
        <f t="array" ref="U10">RANK(R10,$R$4:$R$23)</f>
        <v>7</v>
      </c>
      <c r="V10" s="18" cm="1">
        <f t="array" ref="V10">RANK(S10,$S$4:$S$23)</f>
        <v>2</v>
      </c>
      <c r="W10" s="133"/>
    </row>
    <row r="11" spans="1:23" ht="17.25" customHeight="1">
      <c r="A11" s="8" t="s">
        <v>31</v>
      </c>
      <c r="B11" s="10">
        <v>3</v>
      </c>
      <c r="C11" s="174" cm="1">
        <f t="array" ref="C11">F11/E11</f>
        <v>0.25</v>
      </c>
      <c r="D11" s="10">
        <v>5</v>
      </c>
      <c r="E11" s="10">
        <v>4</v>
      </c>
      <c r="F11" s="10">
        <v>1</v>
      </c>
      <c r="G11" s="10" cm="1">
        <f t="array" ref="G11">F11-(H11+I11+J11)</f>
        <v>1</v>
      </c>
      <c r="H11" s="10">
        <v>0</v>
      </c>
      <c r="I11" s="10">
        <v>0</v>
      </c>
      <c r="J11" s="10">
        <v>0</v>
      </c>
      <c r="K11" s="10">
        <v>3</v>
      </c>
      <c r="L11" s="10">
        <v>1</v>
      </c>
      <c r="M11" s="10">
        <v>0</v>
      </c>
      <c r="N11" s="10" cm="1">
        <f t="array" ref="N11">D11-E11</f>
        <v>1</v>
      </c>
      <c r="O11" s="10">
        <v>1</v>
      </c>
      <c r="P11" s="19" cm="1">
        <f t="array" ref="P11">O11/D11</f>
        <v>0.2</v>
      </c>
      <c r="Q11" s="13" cm="1">
        <f t="array" ref="Q11">(G11*1+H11*2+I11*3+J11*4)/E11</f>
        <v>0.25</v>
      </c>
      <c r="R11" s="13" cm="1">
        <f t="array" ref="R11">(F11+N11)/D11</f>
        <v>0.4</v>
      </c>
      <c r="S11" s="15" cm="1">
        <f t="array" ref="S11">R11+Q11</f>
        <v>0.65</v>
      </c>
      <c r="T11" s="20" cm="1">
        <f t="array" ref="T11">O11/(D11-(F11+N11))</f>
        <v>0.33333333333333331</v>
      </c>
      <c r="U11" s="17" cm="1">
        <f t="array" ref="U11">RANK(R11,$R$4:$R$23)</f>
        <v>14</v>
      </c>
      <c r="V11" s="18" cm="1">
        <f t="array" ref="V11">RANK(S11,$S$4:$S$23)</f>
        <v>14</v>
      </c>
      <c r="W11" s="48">
        <v>1</v>
      </c>
    </row>
    <row r="12" spans="1:23" ht="17.25" customHeight="1">
      <c r="A12" s="8" t="s">
        <v>32</v>
      </c>
      <c r="B12" s="10">
        <v>4</v>
      </c>
      <c r="C12" s="174" cm="1">
        <f t="array" ref="C12">F12/E12</f>
        <v>0.66666666666666663</v>
      </c>
      <c r="D12" s="10">
        <v>9</v>
      </c>
      <c r="E12" s="10">
        <v>6</v>
      </c>
      <c r="F12" s="10">
        <v>4</v>
      </c>
      <c r="G12" s="10" cm="1">
        <f t="array" ref="G12">F12-(H12+I12+J12)</f>
        <v>3</v>
      </c>
      <c r="H12" s="10">
        <v>1</v>
      </c>
      <c r="I12" s="10">
        <v>0</v>
      </c>
      <c r="J12" s="10">
        <v>0</v>
      </c>
      <c r="K12" s="10">
        <v>5</v>
      </c>
      <c r="L12" s="10">
        <v>0</v>
      </c>
      <c r="M12" s="10">
        <v>5</v>
      </c>
      <c r="N12" s="10" cm="1">
        <f t="array" ref="N12">D12-E12</f>
        <v>3</v>
      </c>
      <c r="O12" s="10">
        <v>0</v>
      </c>
      <c r="P12" s="19" cm="1">
        <f t="array" ref="P12">O12/D12</f>
        <v>0</v>
      </c>
      <c r="Q12" s="13" cm="1">
        <f t="array" ref="Q12">(G12*1+H12*2+I12*3+J12*4)/E12</f>
        <v>0.83333333333333337</v>
      </c>
      <c r="R12" s="13" cm="1">
        <f t="array" ref="R12">(F12+N12)/D12</f>
        <v>0.77777777777777779</v>
      </c>
      <c r="S12" s="15" cm="1">
        <f t="array" ref="S12">R12+Q12</f>
        <v>1.6111111111111112</v>
      </c>
      <c r="T12" s="22" cm="1">
        <f t="array" ref="T12">O12/(D12-(F12+N12))</f>
        <v>0</v>
      </c>
      <c r="U12" s="17" cm="1">
        <f t="array" ref="U12">RANK(R12,$R$4:$R$23)</f>
        <v>2</v>
      </c>
      <c r="V12" s="18" cm="1">
        <f t="array" ref="V12">RANK(S12,$S$4:$S$23)</f>
        <v>1</v>
      </c>
      <c r="W12" s="48">
        <v>0</v>
      </c>
    </row>
    <row r="13" spans="1:23" ht="17.25" customHeight="1">
      <c r="A13" s="8" t="s">
        <v>33</v>
      </c>
      <c r="B13" s="10">
        <v>5</v>
      </c>
      <c r="C13" s="174" cm="1">
        <f t="array" ref="C13">F13/E13</f>
        <v>0.375</v>
      </c>
      <c r="D13" s="10">
        <v>12</v>
      </c>
      <c r="E13" s="10">
        <v>8</v>
      </c>
      <c r="F13" s="10">
        <v>3</v>
      </c>
      <c r="G13" s="10" cm="1">
        <f t="array" ref="G13">F13-(H13+I13+J13)</f>
        <v>3</v>
      </c>
      <c r="H13" s="10">
        <v>0</v>
      </c>
      <c r="I13" s="10">
        <v>0</v>
      </c>
      <c r="J13" s="10">
        <v>0</v>
      </c>
      <c r="K13" s="10">
        <v>4</v>
      </c>
      <c r="L13" s="10">
        <v>2</v>
      </c>
      <c r="M13" s="10">
        <v>1</v>
      </c>
      <c r="N13" s="10" cm="1">
        <f t="array" ref="N13">D13-E13</f>
        <v>4</v>
      </c>
      <c r="O13" s="10">
        <v>0</v>
      </c>
      <c r="P13" s="19" cm="1">
        <f t="array" ref="P13">O13/D13</f>
        <v>0</v>
      </c>
      <c r="Q13" s="13" cm="1">
        <f t="array" ref="Q13">(G13*1+H13*2+I13*3+J13*4)/E13</f>
        <v>0.375</v>
      </c>
      <c r="R13" s="13" cm="1">
        <f t="array" ref="R13">(F13+N13)/D13</f>
        <v>0.58333333333333337</v>
      </c>
      <c r="S13" s="15" cm="1">
        <f t="array" ref="S13">R13+Q13</f>
        <v>0.95833333333333337</v>
      </c>
      <c r="T13" s="21" cm="1">
        <f t="array" ref="T13">O13/(D13-(F13+N13))</f>
        <v>0</v>
      </c>
      <c r="U13" s="17" cm="1">
        <f t="array" ref="U13">RANK(R13,$R$4:$R$23)</f>
        <v>4</v>
      </c>
      <c r="V13" s="18" cm="1">
        <f t="array" ref="V13">RANK(S13,$S$4:$S$23)</f>
        <v>11</v>
      </c>
      <c r="W13" s="48">
        <v>2</v>
      </c>
    </row>
    <row r="14" spans="1:23" ht="17.25" customHeight="1">
      <c r="A14" s="8" t="s">
        <v>35</v>
      </c>
      <c r="B14" s="10">
        <v>6</v>
      </c>
      <c r="C14" s="174" cm="1">
        <f t="array" ref="C14">F14/E14</f>
        <v>0.1111111111111111</v>
      </c>
      <c r="D14" s="10">
        <v>14</v>
      </c>
      <c r="E14" s="10">
        <v>9</v>
      </c>
      <c r="F14" s="10">
        <v>1</v>
      </c>
      <c r="G14" s="10" cm="1">
        <f t="array" ref="G14">F14-(H14+I14+J14)</f>
        <v>1</v>
      </c>
      <c r="H14" s="10">
        <v>0</v>
      </c>
      <c r="I14" s="10">
        <v>0</v>
      </c>
      <c r="J14" s="10">
        <v>0</v>
      </c>
      <c r="K14" s="10">
        <v>2</v>
      </c>
      <c r="L14" s="10">
        <v>2</v>
      </c>
      <c r="M14" s="10">
        <v>3</v>
      </c>
      <c r="N14" s="10" cm="1">
        <f t="array" ref="N14">D14-E14</f>
        <v>5</v>
      </c>
      <c r="O14" s="10">
        <v>6</v>
      </c>
      <c r="P14" s="12" cm="1">
        <f t="array" ref="P14">O14/D14</f>
        <v>0.42857142857142855</v>
      </c>
      <c r="Q14" s="13" cm="1">
        <f t="array" ref="Q14">(G14*1+H14*2+I14*3+J14*4)/E14</f>
        <v>0.1111111111111111</v>
      </c>
      <c r="R14" s="13" cm="1">
        <f t="array" ref="R14">(F14+N14)/D14</f>
        <v>0.42857142857142855</v>
      </c>
      <c r="S14" s="15" cm="1">
        <f t="array" ref="S14">R14+Q14</f>
        <v>0.53968253968253965</v>
      </c>
      <c r="T14" s="16" cm="1">
        <f t="array" ref="T14">O14/(D14-(F14+N14))</f>
        <v>0.75</v>
      </c>
      <c r="U14" s="17" cm="1">
        <f t="array" ref="U14">RANK(R14,$R$4:$R$23)</f>
        <v>13</v>
      </c>
      <c r="V14" s="18" cm="1">
        <f t="array" ref="V14">RANK(S14,$S$4:$S$23)</f>
        <v>15</v>
      </c>
      <c r="W14" s="48">
        <v>6</v>
      </c>
    </row>
    <row r="15" spans="1:23" ht="17.25" customHeight="1">
      <c r="A15" s="8" t="s">
        <v>36</v>
      </c>
      <c r="B15" s="10">
        <v>7</v>
      </c>
      <c r="C15" s="174" cm="1">
        <f t="array" ref="C15">F15/E15</f>
        <v>0.46153846153846156</v>
      </c>
      <c r="D15" s="10">
        <v>13</v>
      </c>
      <c r="E15" s="10">
        <v>13</v>
      </c>
      <c r="F15" s="10">
        <v>6</v>
      </c>
      <c r="G15" s="10" cm="1">
        <f t="array" ref="G15">F15-(H15+I15+J15)</f>
        <v>5</v>
      </c>
      <c r="H15" s="10">
        <v>1</v>
      </c>
      <c r="I15" s="10">
        <v>0</v>
      </c>
      <c r="J15" s="10">
        <v>0</v>
      </c>
      <c r="K15" s="10">
        <v>2</v>
      </c>
      <c r="L15" s="10">
        <v>5</v>
      </c>
      <c r="M15" s="10">
        <v>1</v>
      </c>
      <c r="N15" s="10" cm="1">
        <f t="array" ref="N15">D15-E15</f>
        <v>0</v>
      </c>
      <c r="O15" s="10">
        <v>3</v>
      </c>
      <c r="P15" s="19" cm="1">
        <f t="array" ref="P15">O15/D15</f>
        <v>0.23076923076923078</v>
      </c>
      <c r="Q15" s="13" cm="1">
        <f t="array" ref="Q15">(G15*1+H15*2+I15*3+J15*4)/E15</f>
        <v>0.53846153846153844</v>
      </c>
      <c r="R15" s="13" cm="1">
        <f t="array" ref="R15">(F15+N15)/D15</f>
        <v>0.46153846153846156</v>
      </c>
      <c r="S15" s="15" cm="1">
        <f t="array" ref="S15">R15+Q15</f>
        <v>1</v>
      </c>
      <c r="T15" s="16" cm="1">
        <f t="array" ref="T15">O15/(D15-(F15+N15))</f>
        <v>0.42857142857142855</v>
      </c>
      <c r="U15" s="17" cm="1">
        <f t="array" ref="U15">RANK(R15,$R$4:$R$23)</f>
        <v>12</v>
      </c>
      <c r="V15" s="18" cm="1">
        <f t="array" ref="V15">RANK(S15,$S$4:$S$23)</f>
        <v>9</v>
      </c>
      <c r="W15" s="48">
        <v>1</v>
      </c>
    </row>
    <row r="16" spans="1:23" ht="17.25" customHeight="1">
      <c r="A16" s="8" t="s">
        <v>37</v>
      </c>
      <c r="B16" s="10">
        <v>4</v>
      </c>
      <c r="C16" s="174" cm="1">
        <f t="array" ref="C16">F16/E16</f>
        <v>0.41666666666666669</v>
      </c>
      <c r="D16" s="10">
        <v>14</v>
      </c>
      <c r="E16" s="10">
        <v>12</v>
      </c>
      <c r="F16" s="10">
        <v>5</v>
      </c>
      <c r="G16" s="10" cm="1">
        <f t="array" ref="G16">F16-(H16+I16+J16)</f>
        <v>3</v>
      </c>
      <c r="H16" s="10">
        <v>0</v>
      </c>
      <c r="I16" s="10">
        <v>2</v>
      </c>
      <c r="J16" s="10">
        <v>0</v>
      </c>
      <c r="K16" s="10">
        <v>5</v>
      </c>
      <c r="L16" s="10">
        <v>3</v>
      </c>
      <c r="M16" s="10">
        <v>2</v>
      </c>
      <c r="N16" s="10" cm="1">
        <f t="array" ref="N16">D16-E16</f>
        <v>2</v>
      </c>
      <c r="O16" s="10">
        <v>1</v>
      </c>
      <c r="P16" s="19" cm="1">
        <f t="array" ref="P16">O16/D16</f>
        <v>7.1428571428571425E-2</v>
      </c>
      <c r="Q16" s="13" cm="1">
        <f t="array" ref="Q16">(G16*1+H16*2+I16*3+J16*4)/E16</f>
        <v>0.75</v>
      </c>
      <c r="R16" s="13" cm="1">
        <f t="array" ref="R16">(F16+N16)/D16</f>
        <v>0.5</v>
      </c>
      <c r="S16" s="15" cm="1">
        <f t="array" ref="S16">R16+Q16</f>
        <v>1.25</v>
      </c>
      <c r="T16" s="16" cm="1">
        <f t="array" ref="T16">O16/(D16-(F16+N16))</f>
        <v>0.14285714285714285</v>
      </c>
      <c r="U16" s="17" cm="1">
        <f t="array" ref="U16">RANK(R16,$R$4:$R$23)</f>
        <v>8</v>
      </c>
      <c r="V16" s="18" cm="1">
        <f t="array" ref="V16">RANK(S16,$S$4:$S$23)</f>
        <v>5</v>
      </c>
      <c r="W16" s="48">
        <v>4</v>
      </c>
    </row>
    <row r="17" spans="1:23" ht="17.25" customHeight="1">
      <c r="A17" s="8" t="s">
        <v>38</v>
      </c>
      <c r="B17" s="10">
        <v>6</v>
      </c>
      <c r="C17" s="174" cm="1">
        <f t="array" ref="C17">F17/E17</f>
        <v>0.44444444444444442</v>
      </c>
      <c r="D17" s="10">
        <v>11</v>
      </c>
      <c r="E17" s="10">
        <v>9</v>
      </c>
      <c r="F17" s="10">
        <v>4</v>
      </c>
      <c r="G17" s="10" cm="1">
        <f t="array" ref="G17">F17-(H17+I17+J17)</f>
        <v>2</v>
      </c>
      <c r="H17" s="10">
        <v>2</v>
      </c>
      <c r="I17" s="10">
        <v>0</v>
      </c>
      <c r="J17" s="10">
        <v>0</v>
      </c>
      <c r="K17" s="10">
        <v>0</v>
      </c>
      <c r="L17" s="10">
        <v>0</v>
      </c>
      <c r="M17" s="10">
        <v>1</v>
      </c>
      <c r="N17" s="10" cm="1">
        <f t="array" ref="N17">D17-E17</f>
        <v>2</v>
      </c>
      <c r="O17" s="10">
        <v>1</v>
      </c>
      <c r="P17" s="19" cm="1">
        <f t="array" ref="P17">O17/D17</f>
        <v>9.0909090909090912E-2</v>
      </c>
      <c r="Q17" s="13" cm="1">
        <f t="array" ref="Q17">(G17*1+H17*2+I17*3+J17*4)/E17</f>
        <v>0.66666666666666663</v>
      </c>
      <c r="R17" s="13" cm="1">
        <f t="array" ref="R17">(F17+N17)/D17</f>
        <v>0.54545454545454541</v>
      </c>
      <c r="S17" s="15" cm="1">
        <f t="array" ref="S17">R17+Q17</f>
        <v>1.2121212121212119</v>
      </c>
      <c r="T17" s="20" cm="1">
        <f t="array" ref="T17">O17/(D17-(F17+N17))</f>
        <v>0.2</v>
      </c>
      <c r="U17" s="17" cm="1">
        <f t="array" ref="U17">RANK(R17,$R$4:$R$23)</f>
        <v>6</v>
      </c>
      <c r="V17" s="18" cm="1">
        <f t="array" ref="V17">RANK(S17,$S$4:$S$23)</f>
        <v>6</v>
      </c>
      <c r="W17" s="48">
        <v>5</v>
      </c>
    </row>
    <row r="18" spans="1:23" ht="17.25" customHeight="1">
      <c r="A18" s="8" t="s">
        <v>39</v>
      </c>
      <c r="B18" s="10">
        <v>2</v>
      </c>
      <c r="C18" s="174" cm="1">
        <f t="array" ref="C18">F18/E18</f>
        <v>0</v>
      </c>
      <c r="D18" s="10">
        <v>3</v>
      </c>
      <c r="E18" s="10">
        <v>2</v>
      </c>
      <c r="F18" s="10">
        <v>0</v>
      </c>
      <c r="G18" s="10" cm="1">
        <f t="array" ref="G18">F18-(H18+I18+J18)</f>
        <v>0</v>
      </c>
      <c r="H18" s="10">
        <v>0</v>
      </c>
      <c r="I18" s="10">
        <v>0</v>
      </c>
      <c r="J18" s="10">
        <v>0</v>
      </c>
      <c r="K18" s="10">
        <v>0</v>
      </c>
      <c r="L18" s="10">
        <v>1</v>
      </c>
      <c r="M18" s="10">
        <v>0</v>
      </c>
      <c r="N18" s="10" cm="1">
        <f t="array" ref="N18">D18-E18</f>
        <v>1</v>
      </c>
      <c r="O18" s="10">
        <v>0</v>
      </c>
      <c r="P18" s="19" cm="1">
        <f t="array" ref="P18">O18/D18</f>
        <v>0</v>
      </c>
      <c r="Q18" s="13" cm="1">
        <f t="array" ref="Q18">(G18*1+H18*2+I18*3+J18*4)/E18</f>
        <v>0</v>
      </c>
      <c r="R18" s="13" cm="1">
        <f t="array" ref="R18">(F18+N18)/D18</f>
        <v>0.33333333333333331</v>
      </c>
      <c r="S18" s="15" cm="1">
        <f t="array" ref="S18">R18+Q18</f>
        <v>0.33333333333333331</v>
      </c>
      <c r="T18" s="21" cm="1">
        <f t="array" ref="T18">O18/(D18-(F18+N18))</f>
        <v>0</v>
      </c>
      <c r="U18" s="17" cm="1">
        <f t="array" ref="U18">RANK(R18,$R$4:$R$23)</f>
        <v>17</v>
      </c>
      <c r="V18" s="18" cm="1">
        <f t="array" ref="V18">RANK(S18,$S$4:$S$23)</f>
        <v>18</v>
      </c>
      <c r="W18" s="133"/>
    </row>
    <row r="19" spans="1:23" ht="17.25" customHeight="1">
      <c r="A19" s="8" t="s">
        <v>40</v>
      </c>
      <c r="B19" s="10">
        <v>3</v>
      </c>
      <c r="C19" s="174" cm="1">
        <f t="array" ref="C19">F19/E19</f>
        <v>0.5</v>
      </c>
      <c r="D19" s="10">
        <v>8</v>
      </c>
      <c r="E19" s="10">
        <v>2</v>
      </c>
      <c r="F19" s="10">
        <v>1</v>
      </c>
      <c r="G19" s="10" cm="1">
        <f t="array" ref="G19">F19-(H19+I19+J19)</f>
        <v>1</v>
      </c>
      <c r="H19" s="10">
        <v>0</v>
      </c>
      <c r="I19" s="10">
        <v>0</v>
      </c>
      <c r="J19" s="10">
        <v>0</v>
      </c>
      <c r="K19" s="10">
        <v>5</v>
      </c>
      <c r="L19" s="10">
        <v>2</v>
      </c>
      <c r="M19" s="10">
        <v>5</v>
      </c>
      <c r="N19" s="10" cm="1">
        <f t="array" ref="N19">D19-E19</f>
        <v>6</v>
      </c>
      <c r="O19" s="10">
        <v>0</v>
      </c>
      <c r="P19" s="19" cm="1">
        <f t="array" ref="P19">O19/D19</f>
        <v>0</v>
      </c>
      <c r="Q19" s="13" cm="1">
        <f t="array" ref="Q19">(G19*1+H19*2+I19*3+J19*4)/E19</f>
        <v>0.5</v>
      </c>
      <c r="R19" s="13" cm="1">
        <f t="array" ref="R19">(F19+N19)/D19</f>
        <v>0.875</v>
      </c>
      <c r="S19" s="15" cm="1">
        <f t="array" ref="S19">R19+Q19</f>
        <v>1.375</v>
      </c>
      <c r="T19" s="20" cm="1">
        <f t="array" ref="T19">O19/(D19-(F19+N19))</f>
        <v>0</v>
      </c>
      <c r="U19" s="17" cm="1">
        <f t="array" ref="U19">RANK(R19,$R$4:$R$23)</f>
        <v>1</v>
      </c>
      <c r="V19" s="18" cm="1">
        <f t="array" ref="V19">RANK(S19,$S$4:$S$23)</f>
        <v>4</v>
      </c>
      <c r="W19" s="48">
        <v>0</v>
      </c>
    </row>
    <row r="20" spans="1:23" ht="17.25" customHeight="1">
      <c r="A20" s="8" t="s">
        <v>41</v>
      </c>
      <c r="B20" s="10">
        <v>7</v>
      </c>
      <c r="C20" s="174" cm="1">
        <f t="array" ref="C20">F20/E20</f>
        <v>0.45454545454545453</v>
      </c>
      <c r="D20" s="10">
        <v>14</v>
      </c>
      <c r="E20" s="10">
        <v>11</v>
      </c>
      <c r="F20" s="10">
        <v>5</v>
      </c>
      <c r="G20" s="10" cm="1">
        <f t="array" ref="G20">F20-(H20+I20+J20)</f>
        <v>4</v>
      </c>
      <c r="H20" s="10">
        <v>1</v>
      </c>
      <c r="I20" s="10">
        <v>0</v>
      </c>
      <c r="J20" s="10">
        <v>0</v>
      </c>
      <c r="K20" s="10">
        <v>5</v>
      </c>
      <c r="L20" s="10">
        <v>5</v>
      </c>
      <c r="M20" s="10">
        <v>1</v>
      </c>
      <c r="N20" s="10" cm="1">
        <f t="array" ref="N20">D20-E20</f>
        <v>3</v>
      </c>
      <c r="O20" s="10">
        <v>3</v>
      </c>
      <c r="P20" s="19" cm="1">
        <f t="array" ref="P20">O20/D20</f>
        <v>0.21428571428571427</v>
      </c>
      <c r="Q20" s="13" cm="1">
        <f t="array" ref="Q20">(G20*1+H20*2+I20*3+J20*4)/E20</f>
        <v>0.54545454545454541</v>
      </c>
      <c r="R20" s="13" cm="1">
        <f t="array" ref="R20">(F20+N20)/D20</f>
        <v>0.5714285714285714</v>
      </c>
      <c r="S20" s="15" cm="1">
        <f t="array" ref="S20">R20+Q20</f>
        <v>1.1168831168831168</v>
      </c>
      <c r="T20" s="25" cm="1">
        <f t="array" ref="T20">O20/(D20-(F20+N20))</f>
        <v>0.5</v>
      </c>
      <c r="U20" s="17" cm="1">
        <f t="array" ref="U20">RANK(R20,$R$4:$R$23)</f>
        <v>5</v>
      </c>
      <c r="V20" s="18" cm="1">
        <f t="array" ref="V20">RANK(S20,$S$4:$S$23)</f>
        <v>7</v>
      </c>
      <c r="W20" s="48">
        <v>3</v>
      </c>
    </row>
    <row r="21" spans="1:23" ht="17.25" customHeight="1">
      <c r="A21" s="8" t="s">
        <v>42</v>
      </c>
      <c r="B21" s="10">
        <v>6</v>
      </c>
      <c r="C21" s="174" cm="1">
        <f t="array" ref="C21">F21/E21</f>
        <v>0.4</v>
      </c>
      <c r="D21" s="10">
        <v>18</v>
      </c>
      <c r="E21" s="10">
        <v>15</v>
      </c>
      <c r="F21" s="10">
        <v>6</v>
      </c>
      <c r="G21" s="10" cm="1">
        <f t="array" ref="G21">F21-(H21+I21+J21)</f>
        <v>3</v>
      </c>
      <c r="H21" s="10">
        <v>3</v>
      </c>
      <c r="I21" s="10">
        <v>0</v>
      </c>
      <c r="J21" s="10">
        <v>0</v>
      </c>
      <c r="K21" s="10">
        <v>5</v>
      </c>
      <c r="L21" s="10">
        <v>5</v>
      </c>
      <c r="M21" s="10">
        <v>2</v>
      </c>
      <c r="N21" s="10" cm="1">
        <f t="array" ref="N21">D21-E21</f>
        <v>3</v>
      </c>
      <c r="O21" s="10">
        <v>5</v>
      </c>
      <c r="P21" s="19" cm="1">
        <f t="array" ref="P21">O21/D21</f>
        <v>0.27777777777777779</v>
      </c>
      <c r="Q21" s="13" cm="1">
        <f t="array" ref="Q21">(G21*1+H21*2+I21*3+J21*4)/E21</f>
        <v>0.6</v>
      </c>
      <c r="R21" s="13" cm="1">
        <f t="array" ref="R21">(F21+N21)/D21</f>
        <v>0.5</v>
      </c>
      <c r="S21" s="15" cm="1">
        <f t="array" ref="S21">R21+Q21</f>
        <v>1.1000000000000001</v>
      </c>
      <c r="T21" s="26" cm="1">
        <f t="array" ref="T21">O21/(D21-(F21+N21))</f>
        <v>0.55555555555555558</v>
      </c>
      <c r="U21" s="17" cm="1">
        <f t="array" ref="U21">RANK(R21,$R$4:$R$23)</f>
        <v>8</v>
      </c>
      <c r="V21" s="18" cm="1">
        <f t="array" ref="V21">RANK(S21,$S$4:$S$23)</f>
        <v>8</v>
      </c>
      <c r="W21" s="48">
        <v>0</v>
      </c>
    </row>
    <row r="22" spans="1:23" ht="17.25" customHeight="1">
      <c r="A22" s="8" t="s">
        <v>43</v>
      </c>
      <c r="B22" s="10">
        <v>5</v>
      </c>
      <c r="C22" s="174" cm="1">
        <f t="array" ref="C22">F22/E22</f>
        <v>0.22222222222222221</v>
      </c>
      <c r="D22" s="10">
        <v>11</v>
      </c>
      <c r="E22" s="10">
        <v>9</v>
      </c>
      <c r="F22" s="10">
        <v>2</v>
      </c>
      <c r="G22" s="10" cm="1">
        <f t="array" ref="G22">F22-(H22+I22+J22)</f>
        <v>1</v>
      </c>
      <c r="H22" s="10">
        <v>1</v>
      </c>
      <c r="I22" s="10">
        <v>0</v>
      </c>
      <c r="J22" s="10">
        <v>0</v>
      </c>
      <c r="K22" s="10">
        <v>2</v>
      </c>
      <c r="L22" s="10">
        <v>3</v>
      </c>
      <c r="M22" s="10">
        <v>0</v>
      </c>
      <c r="N22" s="10" cm="1">
        <f t="array" ref="N22">D22-E22</f>
        <v>2</v>
      </c>
      <c r="O22" s="10">
        <v>2</v>
      </c>
      <c r="P22" s="19" cm="1">
        <f t="array" ref="P22">O22/D22</f>
        <v>0.18181818181818182</v>
      </c>
      <c r="Q22" s="13" cm="1">
        <f t="array" ref="Q22">(G22*1+H22*2+I22*3+J22*4)/E22</f>
        <v>0.33333333333333331</v>
      </c>
      <c r="R22" s="13" cm="1">
        <f t="array" ref="R22">(F22+N22)/D22</f>
        <v>0.36363636363636365</v>
      </c>
      <c r="S22" s="15" cm="1">
        <f t="array" ref="S22">R22+Q22</f>
        <v>0.69696969696969702</v>
      </c>
      <c r="T22" s="27" cm="1">
        <f t="array" ref="T22">O22/(D22-(F22+N22))</f>
        <v>0.2857142857142857</v>
      </c>
      <c r="U22" s="17" cm="1">
        <f t="array" ref="U22">RANK(R22,$R$4:$R$23)</f>
        <v>16</v>
      </c>
      <c r="V22" s="18" cm="1">
        <f t="array" ref="V22">RANK(S22,$S$4:$S$23)</f>
        <v>13</v>
      </c>
      <c r="W22" s="48">
        <v>0</v>
      </c>
    </row>
    <row r="23" spans="1:23" ht="17.25" customHeight="1">
      <c r="A23" s="8" t="s">
        <v>44</v>
      </c>
      <c r="B23" s="10">
        <v>2</v>
      </c>
      <c r="C23" s="174" cm="1">
        <f t="array" ref="C23">F23/E23</f>
        <v>0</v>
      </c>
      <c r="D23" s="10">
        <v>5</v>
      </c>
      <c r="E23" s="10">
        <v>3</v>
      </c>
      <c r="F23" s="10">
        <v>0</v>
      </c>
      <c r="G23" s="10" cm="1">
        <f t="array" ref="G23">F23-(H23+I23+J23)</f>
        <v>0</v>
      </c>
      <c r="H23" s="10">
        <v>0</v>
      </c>
      <c r="I23" s="10">
        <v>0</v>
      </c>
      <c r="J23" s="10">
        <v>0</v>
      </c>
      <c r="K23" s="10">
        <v>1</v>
      </c>
      <c r="L23" s="10">
        <v>1</v>
      </c>
      <c r="M23" s="10">
        <v>0</v>
      </c>
      <c r="N23" s="10" cm="1">
        <f t="array" ref="N23">D23-E23</f>
        <v>2</v>
      </c>
      <c r="O23" s="10">
        <v>1</v>
      </c>
      <c r="P23" s="19" cm="1">
        <f t="array" ref="P23">O23/D23</f>
        <v>0.2</v>
      </c>
      <c r="Q23" s="13" cm="1">
        <f t="array" ref="Q23">(G23*1+H23*2+I23*3+J23*4)/E23</f>
        <v>0</v>
      </c>
      <c r="R23" s="13" cm="1">
        <f t="array" ref="R23">(F23+N23)/D23</f>
        <v>0.4</v>
      </c>
      <c r="S23" s="15" cm="1">
        <f t="array" ref="S23">R23+Q23</f>
        <v>0.4</v>
      </c>
      <c r="T23" s="28" cm="1">
        <f t="array" ref="T23">O23/(D23-(F23+N23))</f>
        <v>0.33333333333333331</v>
      </c>
      <c r="U23" s="17" cm="1">
        <f t="array" ref="U23">RANK(R23,$R$4:$R$23)</f>
        <v>14</v>
      </c>
      <c r="V23" s="18" cm="1">
        <f t="array" ref="V23">RANK(S23,$S$4:$S$23)</f>
        <v>17</v>
      </c>
      <c r="W23" s="48">
        <v>1</v>
      </c>
    </row>
    <row r="24" spans="1:23" ht="17.25" customHeight="1">
      <c r="A24" s="29" t="s">
        <v>45</v>
      </c>
      <c r="B24" s="103"/>
      <c r="C24" s="105" cm="1">
        <f t="array" ref="C24">F24/E24</f>
        <v>0.38124999999999998</v>
      </c>
      <c r="D24" s="49" cm="1">
        <f t="array" ref="D24">SUM(D4:D23)</f>
        <v>207</v>
      </c>
      <c r="E24" s="49" cm="1">
        <f t="array" ref="E24">SUM(E4:E23)</f>
        <v>160</v>
      </c>
      <c r="F24" s="49" cm="1">
        <f t="array" ref="F24">SUM(F4:F23)</f>
        <v>61</v>
      </c>
      <c r="G24" s="49" cm="1">
        <f t="array" ref="G24">SUM(G4:G23)</f>
        <v>41</v>
      </c>
      <c r="H24" s="49" cm="1">
        <f t="array" ref="H24">SUM(H4:H23)</f>
        <v>15</v>
      </c>
      <c r="I24" s="49" cm="1">
        <f t="array" ref="I24">SUM(I4:I23)</f>
        <v>5</v>
      </c>
      <c r="J24" s="49" cm="1">
        <f t="array" ref="J24">SUM(J4:J23)</f>
        <v>0</v>
      </c>
      <c r="K24" s="49" cm="1">
        <f t="array" ref="K24">SUM(K4:K23)</f>
        <v>63</v>
      </c>
      <c r="L24" s="49" cm="1">
        <f t="array" ref="L24">SUM(L4:L23)</f>
        <v>48</v>
      </c>
      <c r="M24" s="49" cm="1">
        <f t="array" ref="M24">SUM(M4:M23)</f>
        <v>37</v>
      </c>
      <c r="N24" s="49" cm="1">
        <f t="array" ref="N24">SUM(N4:N23)</f>
        <v>47</v>
      </c>
      <c r="O24" s="49" cm="1">
        <f t="array" ref="O24">SUM(O4:O23)</f>
        <v>39</v>
      </c>
      <c r="P24" s="33" cm="1">
        <f t="array" ref="P24">O24/D24</f>
        <v>0.18840579710144928</v>
      </c>
      <c r="Q24" s="105"/>
      <c r="R24" s="105"/>
      <c r="S24" s="100"/>
      <c r="T24" s="31"/>
      <c r="U24" s="31"/>
      <c r="V24" s="31"/>
      <c r="W24" s="49" cm="1">
        <f t="array" ref="W24">SUM(W4:W23)</f>
        <v>31</v>
      </c>
    </row>
    <row r="25" spans="1:23" ht="17.25" customHeight="1">
      <c r="A25" s="111"/>
      <c r="B25" s="112"/>
      <c r="C25" s="113"/>
      <c r="D25" s="112"/>
      <c r="E25" s="112"/>
      <c r="F25" s="112"/>
      <c r="G25" s="112"/>
      <c r="H25" s="112"/>
      <c r="I25" s="112"/>
      <c r="J25" s="112"/>
      <c r="K25" s="112"/>
      <c r="L25" s="112"/>
      <c r="M25" s="112"/>
      <c r="N25" s="112"/>
      <c r="O25" s="112"/>
      <c r="P25" s="112"/>
      <c r="Q25" s="113"/>
      <c r="R25" s="113"/>
      <c r="S25" s="114"/>
      <c r="T25" s="34"/>
      <c r="U25" s="34"/>
      <c r="V25" s="34"/>
      <c r="W25" s="34"/>
    </row>
    <row r="26" spans="1:23" ht="17.25" customHeight="1">
      <c r="A26" s="115" t="s">
        <v>46</v>
      </c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6"/>
      <c r="T26" s="6"/>
      <c r="U26" s="6"/>
      <c r="V26" s="6"/>
      <c r="W26" s="3"/>
    </row>
    <row r="27" spans="1:23" ht="51.75" customHeight="1">
      <c r="A27" s="8" t="s">
        <v>2</v>
      </c>
      <c r="B27" s="8" t="s">
        <v>3</v>
      </c>
      <c r="C27" s="8" t="s">
        <v>47</v>
      </c>
      <c r="D27" s="8" t="s">
        <v>48</v>
      </c>
      <c r="E27" s="8" t="s">
        <v>49</v>
      </c>
      <c r="F27" s="8" t="s">
        <v>50</v>
      </c>
      <c r="G27" s="8" t="s">
        <v>6</v>
      </c>
      <c r="H27" s="8" t="s">
        <v>51</v>
      </c>
      <c r="I27" s="8" t="s">
        <v>52</v>
      </c>
      <c r="J27" s="8" t="s">
        <v>53</v>
      </c>
      <c r="K27" s="8" t="s">
        <v>54</v>
      </c>
      <c r="L27" s="8" t="s">
        <v>55</v>
      </c>
      <c r="M27" s="8" t="s">
        <v>56</v>
      </c>
      <c r="N27" s="8" t="s">
        <v>57</v>
      </c>
      <c r="O27" s="8" t="s">
        <v>58</v>
      </c>
      <c r="P27" s="8" t="s">
        <v>59</v>
      </c>
      <c r="Q27" s="8" t="s">
        <v>60</v>
      </c>
      <c r="R27" s="8" t="s">
        <v>61</v>
      </c>
      <c r="S27" s="8" t="s">
        <v>116</v>
      </c>
      <c r="T27" s="8" t="s">
        <v>63</v>
      </c>
      <c r="U27" s="8" t="s">
        <v>64</v>
      </c>
      <c r="V27" s="8" t="s">
        <v>65</v>
      </c>
      <c r="W27" s="9"/>
    </row>
    <row r="28" spans="1:23" ht="17.25" customHeight="1">
      <c r="A28" s="8" t="s">
        <v>24</v>
      </c>
      <c r="B28" s="10">
        <v>1</v>
      </c>
      <c r="C28" s="10">
        <v>0</v>
      </c>
      <c r="D28" s="10">
        <v>0</v>
      </c>
      <c r="E28" s="10">
        <v>0</v>
      </c>
      <c r="F28" s="10">
        <v>6</v>
      </c>
      <c r="G28" s="10">
        <v>3</v>
      </c>
      <c r="H28" s="39">
        <v>0.33300000000000002</v>
      </c>
      <c r="I28" s="10">
        <v>1</v>
      </c>
      <c r="J28" s="10">
        <v>0</v>
      </c>
      <c r="K28" s="10">
        <v>3</v>
      </c>
      <c r="L28" s="10">
        <v>0</v>
      </c>
      <c r="M28" s="10">
        <v>0</v>
      </c>
      <c r="N28" s="10">
        <v>5</v>
      </c>
      <c r="O28" s="10">
        <v>3</v>
      </c>
      <c r="P28" s="40" cm="1">
        <f t="array" ref="P28">O28*9/H28</f>
        <v>81.081081081081081</v>
      </c>
      <c r="Q28" s="41" cm="1">
        <f t="array" ref="Q28">(K28+L28)/H28</f>
        <v>9.0090090090090094</v>
      </c>
      <c r="R28" s="42" cm="1">
        <f t="array" ref="R28">I28/H28</f>
        <v>3.0030030030030028</v>
      </c>
      <c r="S28" s="42" cm="1">
        <f t="array" ref="S28">H28/B28</f>
        <v>0.33300000000000002</v>
      </c>
      <c r="T28" s="41" cm="1">
        <f t="array" ref="T28">M28/H28</f>
        <v>0</v>
      </c>
      <c r="U28" s="44" cm="1">
        <f t="array" ref="U28">O28/N28</f>
        <v>0.6</v>
      </c>
      <c r="V28" s="41" cm="1">
        <f t="array" ref="V28">(I28+K28+L28)/H28</f>
        <v>12.012012012012011</v>
      </c>
      <c r="W28" s="9"/>
    </row>
    <row r="29" spans="1:23" ht="17.25" customHeight="1">
      <c r="A29" s="8" t="s">
        <v>27</v>
      </c>
      <c r="B29" s="10">
        <v>0</v>
      </c>
      <c r="C29" s="10">
        <v>0</v>
      </c>
      <c r="D29" s="10">
        <v>0</v>
      </c>
      <c r="E29" s="10">
        <v>0</v>
      </c>
      <c r="F29" s="10">
        <v>0</v>
      </c>
      <c r="G29" s="10">
        <v>0</v>
      </c>
      <c r="H29" s="39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40">
        <v>0</v>
      </c>
      <c r="Q29" s="41" t="e" cm="1">
        <f t="array" ref="Q29">(K29+L29)/H29</f>
        <v>#DIV/0!</v>
      </c>
      <c r="R29" s="42" t="e" cm="1">
        <f t="array" ref="R29">I29/H29</f>
        <v>#DIV/0!</v>
      </c>
      <c r="S29" s="42" t="e" cm="1">
        <f t="array" ref="S29">H29/B29</f>
        <v>#DIV/0!</v>
      </c>
      <c r="T29" s="41" t="e" cm="1">
        <f t="array" ref="T29">M29/H29</f>
        <v>#DIV/0!</v>
      </c>
      <c r="U29" s="44">
        <v>1</v>
      </c>
      <c r="V29" s="41" t="e" cm="1">
        <f t="array" ref="V29">(I29+K29+L29)/H29</f>
        <v>#DIV/0!</v>
      </c>
      <c r="W29" s="9"/>
    </row>
    <row r="30" spans="1:23" ht="17.25" customHeight="1">
      <c r="A30" s="8" t="s">
        <v>29</v>
      </c>
      <c r="B30" s="10">
        <v>1</v>
      </c>
      <c r="C30" s="10">
        <v>0</v>
      </c>
      <c r="D30" s="10">
        <v>0</v>
      </c>
      <c r="E30" s="10">
        <v>0</v>
      </c>
      <c r="F30" s="10">
        <v>3</v>
      </c>
      <c r="G30" s="10">
        <v>2</v>
      </c>
      <c r="H30" s="39">
        <v>0.33333299999999999</v>
      </c>
      <c r="I30" s="10">
        <v>1</v>
      </c>
      <c r="J30" s="10">
        <v>0</v>
      </c>
      <c r="K30" s="10">
        <v>1</v>
      </c>
      <c r="L30" s="10">
        <v>0</v>
      </c>
      <c r="M30" s="10">
        <v>0</v>
      </c>
      <c r="N30" s="10">
        <v>0</v>
      </c>
      <c r="O30" s="10">
        <v>0</v>
      </c>
      <c r="P30" s="40" cm="1">
        <f t="array" ref="P30">O30*9/H30</f>
        <v>0</v>
      </c>
      <c r="Q30" s="41" cm="1">
        <f t="array" ref="Q30">(K30+L30)/H30</f>
        <v>3.0000030000030002</v>
      </c>
      <c r="R30" s="42" cm="1">
        <f t="array" ref="R30">I30/H30</f>
        <v>3.0000030000030002</v>
      </c>
      <c r="S30" s="42" cm="1">
        <f t="array" ref="S30">H30/B30</f>
        <v>0.33333299999999999</v>
      </c>
      <c r="T30" s="41" cm="1">
        <f t="array" ref="T30">M30/H30</f>
        <v>0</v>
      </c>
      <c r="U30" s="44">
        <v>1</v>
      </c>
      <c r="V30" s="41" cm="1">
        <f t="array" ref="V30">(I30+K30+L30)/H30</f>
        <v>6.0000060000060005</v>
      </c>
      <c r="W30" s="9"/>
    </row>
    <row r="31" spans="1:23" ht="17.25" customHeight="1">
      <c r="A31" s="8" t="s">
        <v>33</v>
      </c>
      <c r="B31" s="10">
        <v>4</v>
      </c>
      <c r="C31" s="10">
        <v>0</v>
      </c>
      <c r="D31" s="10">
        <v>1</v>
      </c>
      <c r="E31" s="10">
        <v>1</v>
      </c>
      <c r="F31" s="10">
        <v>54</v>
      </c>
      <c r="G31" s="10">
        <v>48</v>
      </c>
      <c r="H31" s="39">
        <v>9</v>
      </c>
      <c r="I31" s="10">
        <v>21</v>
      </c>
      <c r="J31" s="10">
        <v>1</v>
      </c>
      <c r="K31" s="10">
        <v>6</v>
      </c>
      <c r="L31" s="10">
        <v>0</v>
      </c>
      <c r="M31" s="10">
        <v>10</v>
      </c>
      <c r="N31" s="10">
        <v>19</v>
      </c>
      <c r="O31" s="10">
        <v>16</v>
      </c>
      <c r="P31" s="40" cm="1">
        <f t="array" ref="P31">O31*9/H31</f>
        <v>16</v>
      </c>
      <c r="Q31" s="41" cm="1">
        <f t="array" ref="Q31">(K31+L31)/H31</f>
        <v>0.66666666666666663</v>
      </c>
      <c r="R31" s="42" cm="1">
        <f t="array" ref="R31">I31/H31</f>
        <v>2.3333333333333335</v>
      </c>
      <c r="S31" s="42" cm="1">
        <f t="array" ref="S31">H31/B31</f>
        <v>2.25</v>
      </c>
      <c r="T31" s="41" cm="1">
        <f t="array" ref="T31">M31/H31</f>
        <v>1.1111111111111112</v>
      </c>
      <c r="U31" s="44" cm="1">
        <f t="array" ref="U31">O31/N31</f>
        <v>0.84210526315789469</v>
      </c>
      <c r="V31" s="41" cm="1">
        <f t="array" ref="V31">(I31+K31+L31)/H31</f>
        <v>3</v>
      </c>
      <c r="W31" s="9"/>
    </row>
    <row r="32" spans="1:23" ht="17.25" customHeight="1">
      <c r="A32" s="8" t="s">
        <v>36</v>
      </c>
      <c r="B32" s="10">
        <v>5</v>
      </c>
      <c r="C32" s="10">
        <v>2</v>
      </c>
      <c r="D32" s="10">
        <v>2</v>
      </c>
      <c r="E32" s="10">
        <v>0</v>
      </c>
      <c r="F32" s="10">
        <v>55</v>
      </c>
      <c r="G32" s="10">
        <v>35</v>
      </c>
      <c r="H32" s="39">
        <v>6</v>
      </c>
      <c r="I32" s="10">
        <v>16</v>
      </c>
      <c r="J32" s="10">
        <v>0</v>
      </c>
      <c r="K32" s="10">
        <v>19</v>
      </c>
      <c r="L32" s="10">
        <v>1</v>
      </c>
      <c r="M32" s="10">
        <v>6</v>
      </c>
      <c r="N32" s="10">
        <v>29</v>
      </c>
      <c r="O32" s="10">
        <v>24</v>
      </c>
      <c r="P32" s="40" cm="1">
        <f t="array" ref="P32">O32*9/H32</f>
        <v>36</v>
      </c>
      <c r="Q32" s="41" cm="1">
        <f t="array" ref="Q32">(K32+L32)/H32</f>
        <v>3.3333333333333335</v>
      </c>
      <c r="R32" s="42" cm="1">
        <f t="array" ref="R32">I32/H32</f>
        <v>2.6666666666666665</v>
      </c>
      <c r="S32" s="42" cm="1">
        <f t="array" ref="S32">H32/B32</f>
        <v>1.2</v>
      </c>
      <c r="T32" s="41" cm="1">
        <f t="array" ref="T32">M32/H32</f>
        <v>1</v>
      </c>
      <c r="U32" s="44" cm="1">
        <f t="array" ref="U32">O32/N32</f>
        <v>0.82758620689655171</v>
      </c>
      <c r="V32" s="41" cm="1">
        <f t="array" ref="V32">(I32+K32+L32)/H32</f>
        <v>6</v>
      </c>
      <c r="W32" s="9"/>
    </row>
    <row r="33" spans="1:23" ht="17.25" customHeight="1">
      <c r="A33" s="8" t="s">
        <v>37</v>
      </c>
      <c r="B33" s="10">
        <v>5</v>
      </c>
      <c r="C33" s="10">
        <v>1</v>
      </c>
      <c r="D33" s="10">
        <v>2</v>
      </c>
      <c r="E33" s="10">
        <v>0</v>
      </c>
      <c r="F33" s="10" cm="1">
        <f t="array" ref="F33">67+14</f>
        <v>81</v>
      </c>
      <c r="G33" s="10">
        <v>58</v>
      </c>
      <c r="H33" s="39">
        <v>11.333299999999999</v>
      </c>
      <c r="I33" s="10">
        <v>28</v>
      </c>
      <c r="J33" s="10">
        <v>0</v>
      </c>
      <c r="K33" s="10">
        <v>19</v>
      </c>
      <c r="L33" s="10">
        <v>2</v>
      </c>
      <c r="M33" s="10">
        <v>15</v>
      </c>
      <c r="N33" s="10">
        <v>35</v>
      </c>
      <c r="O33" s="10">
        <v>29</v>
      </c>
      <c r="P33" s="40" cm="1">
        <f t="array" ref="P33">O33*9/H33</f>
        <v>23.029479498469115</v>
      </c>
      <c r="Q33" s="41" cm="1">
        <f t="array" ref="Q33">(K33+L33)/H33</f>
        <v>1.852946626313607</v>
      </c>
      <c r="R33" s="42" cm="1">
        <f t="array" ref="R33">I33/H33</f>
        <v>2.4705955017514758</v>
      </c>
      <c r="S33" s="42" cm="1">
        <f t="array" ref="S33">H33/B33</f>
        <v>2.2666599999999999</v>
      </c>
      <c r="T33" s="41" cm="1">
        <f t="array" ref="T33">M33/H33</f>
        <v>1.3235333045097193</v>
      </c>
      <c r="U33" s="44" cm="1">
        <f t="array" ref="U33">O33/N33</f>
        <v>0.82857142857142863</v>
      </c>
      <c r="V33" s="41" cm="1">
        <f t="array" ref="V33">(I33+K33+L33)/H33</f>
        <v>4.3235421280650828</v>
      </c>
      <c r="W33" s="9"/>
    </row>
    <row r="34" spans="1:23" ht="17.25" customHeight="1">
      <c r="A34" s="8" t="s">
        <v>42</v>
      </c>
      <c r="B34" s="10">
        <v>1</v>
      </c>
      <c r="C34" s="10">
        <v>0</v>
      </c>
      <c r="D34" s="10">
        <v>0</v>
      </c>
      <c r="E34" s="10">
        <v>1</v>
      </c>
      <c r="F34" s="10">
        <v>2</v>
      </c>
      <c r="G34" s="10">
        <v>1</v>
      </c>
      <c r="H34" s="39">
        <v>0.33333333333300003</v>
      </c>
      <c r="I34" s="10">
        <v>0</v>
      </c>
      <c r="J34" s="10">
        <v>0</v>
      </c>
      <c r="K34" s="10">
        <v>0</v>
      </c>
      <c r="L34" s="10">
        <v>1</v>
      </c>
      <c r="M34" s="10">
        <v>0</v>
      </c>
      <c r="N34" s="10">
        <v>1</v>
      </c>
      <c r="O34" s="10">
        <v>0</v>
      </c>
      <c r="P34" s="40" cm="1">
        <f t="array" ref="P34">O34*9/H34</f>
        <v>0</v>
      </c>
      <c r="Q34" s="41" cm="1">
        <f t="array" ref="Q34">(K34+L34)/H34</f>
        <v>3.0000000000029998</v>
      </c>
      <c r="R34" s="42" cm="1">
        <f t="array" ref="R34">I34/H34</f>
        <v>0</v>
      </c>
      <c r="S34" s="42" cm="1">
        <f t="array" ref="S34">H34/B34</f>
        <v>0.33333333333300003</v>
      </c>
      <c r="T34" s="41" cm="1">
        <f t="array" ref="T34">M34/H34</f>
        <v>0</v>
      </c>
      <c r="U34" s="44" cm="1">
        <f t="array" ref="U34">O34/N34</f>
        <v>0</v>
      </c>
      <c r="V34" s="41" cm="1">
        <f t="array" ref="V34">(I34+K34+L34)/H34</f>
        <v>3.0000000000029998</v>
      </c>
      <c r="W34" s="9"/>
    </row>
    <row r="35" spans="1:23" ht="17.25" customHeight="1">
      <c r="A35" s="8" t="s">
        <v>43</v>
      </c>
      <c r="B35" s="10">
        <v>3</v>
      </c>
      <c r="C35" s="10">
        <v>0</v>
      </c>
      <c r="D35" s="10">
        <v>0</v>
      </c>
      <c r="E35" s="10">
        <v>0</v>
      </c>
      <c r="F35" s="10">
        <v>25</v>
      </c>
      <c r="G35" s="10">
        <v>19</v>
      </c>
      <c r="H35" s="39">
        <v>3.6666666600000002</v>
      </c>
      <c r="I35" s="10">
        <v>8</v>
      </c>
      <c r="J35" s="10">
        <v>0</v>
      </c>
      <c r="K35" s="10">
        <v>3</v>
      </c>
      <c r="L35" s="10">
        <v>3</v>
      </c>
      <c r="M35" s="10">
        <v>5</v>
      </c>
      <c r="N35" s="10">
        <v>8</v>
      </c>
      <c r="O35" s="10">
        <v>8</v>
      </c>
      <c r="P35" s="40" cm="1">
        <f t="array" ref="P35">O35*9/H35</f>
        <v>19.636363672066114</v>
      </c>
      <c r="Q35" s="41" cm="1">
        <f t="array" ref="Q35">(K35+L35)/H35</f>
        <v>1.636363639338843</v>
      </c>
      <c r="R35" s="42" cm="1">
        <f t="array" ref="R35">I35/H35</f>
        <v>2.181818185785124</v>
      </c>
      <c r="S35" s="42" cm="1">
        <f t="array" ref="S35">H35/B35</f>
        <v>1.2222222200000001</v>
      </c>
      <c r="T35" s="41" cm="1">
        <f t="array" ref="T35">M35/H35</f>
        <v>1.3636363661157025</v>
      </c>
      <c r="U35" s="44" cm="1">
        <f t="array" ref="U35">O35/N35</f>
        <v>1</v>
      </c>
      <c r="V35" s="41" cm="1">
        <f t="array" ref="V35">(I35+K35+L35)/H35</f>
        <v>3.818181825123967</v>
      </c>
      <c r="W35" s="9"/>
    </row>
    <row r="36" spans="1:23" ht="17.25" customHeight="1">
      <c r="A36" s="29" t="s">
        <v>45</v>
      </c>
      <c r="B36" s="103"/>
      <c r="C36" s="49" cm="1">
        <f t="array" ref="C36">SUM(C28:C35)</f>
        <v>3</v>
      </c>
      <c r="D36" s="49" cm="1">
        <f t="array" ref="D36">SUM(D28:D35)</f>
        <v>5</v>
      </c>
      <c r="E36" s="49" cm="1">
        <f t="array" ref="E36">SUM(E28:E35)</f>
        <v>2</v>
      </c>
      <c r="F36" s="49" cm="1">
        <f t="array" ref="F36">SUM(F28:F35)</f>
        <v>226</v>
      </c>
      <c r="G36" s="49" cm="1">
        <f t="array" ref="G36">SUM(G28:G35)</f>
        <v>166</v>
      </c>
      <c r="H36" s="50" cm="1">
        <f t="array" ref="H36">SUM(H28:H35)</f>
        <v>30.999632993333002</v>
      </c>
      <c r="I36" s="49" cm="1">
        <f t="array" ref="I36">SUM(I28:I35)</f>
        <v>75</v>
      </c>
      <c r="J36" s="49" cm="1">
        <f t="array" ref="J36">SUM(J28:J35)</f>
        <v>1</v>
      </c>
      <c r="K36" s="49" cm="1">
        <f t="array" ref="K36">SUM(K28:K35)</f>
        <v>51</v>
      </c>
      <c r="L36" s="49" cm="1">
        <f t="array" ref="L36">SUM(L28:L35)</f>
        <v>7</v>
      </c>
      <c r="M36" s="49" cm="1">
        <f t="array" ref="M36">SUM(M28:M35)</f>
        <v>36</v>
      </c>
      <c r="N36" s="49" cm="1">
        <f t="array" ref="N36">SUM(N28:N35)</f>
        <v>97</v>
      </c>
      <c r="O36" s="49" cm="1">
        <f t="array" ref="O36">SUM(O28:O35)</f>
        <v>80</v>
      </c>
      <c r="P36" s="51" cm="1">
        <f t="array" ref="P36">O36*9/H36</f>
        <v>23.226081423442924</v>
      </c>
      <c r="Q36" s="52" cm="1">
        <f t="array" ref="Q36">(K36+L36)/H36</f>
        <v>1.8709898924440134</v>
      </c>
      <c r="R36" s="53" cm="1">
        <f t="array" ref="R36">I36/H36</f>
        <v>2.4193834816086381</v>
      </c>
      <c r="S36" s="53"/>
      <c r="T36" s="52" cm="1">
        <f t="array" ref="T36">M36/H36</f>
        <v>1.1613040711721463</v>
      </c>
      <c r="U36" s="55" cm="1">
        <f t="array" ref="U36">O36/N36</f>
        <v>0.82474226804123707</v>
      </c>
      <c r="V36" s="52" cm="1">
        <f t="array" ref="V36">(I36+K36+L36)/H36</f>
        <v>4.2903733740526508</v>
      </c>
      <c r="W36" s="9"/>
    </row>
  </sheetData>
  <phoneticPr fontId="21" type="noConversion"/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Y36"/>
  <sheetViews>
    <sheetView showGridLines="0" workbookViewId="0"/>
  </sheetViews>
  <sheetFormatPr defaultColWidth="9" defaultRowHeight="16.5" customHeight="1"/>
  <cols>
    <col min="1" max="18" width="8.125" style="1" customWidth="1"/>
    <col min="19" max="19" width="10.875" style="1" customWidth="1"/>
    <col min="20" max="20" width="8.125" style="1" customWidth="1"/>
    <col min="21" max="26" width="9" style="1" customWidth="1"/>
    <col min="27" max="16384" width="9" style="1"/>
  </cols>
  <sheetData>
    <row r="1" spans="1:25" ht="26.25" customHeight="1">
      <c r="A1" s="2" t="s">
        <v>159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7.25" customHeight="1">
      <c r="A2" s="5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3"/>
      <c r="Y2" s="3"/>
    </row>
    <row r="3" spans="1:25" ht="34.5" customHeight="1">
      <c r="A3" s="8" t="s">
        <v>101</v>
      </c>
      <c r="B3" s="8" t="s">
        <v>102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10</v>
      </c>
      <c r="J3" s="8" t="s">
        <v>11</v>
      </c>
      <c r="K3" s="8" t="s">
        <v>12</v>
      </c>
      <c r="L3" s="8" t="s">
        <v>13</v>
      </c>
      <c r="M3" s="8" t="s">
        <v>14</v>
      </c>
      <c r="N3" s="8" t="s">
        <v>15</v>
      </c>
      <c r="O3" s="8" t="s">
        <v>16</v>
      </c>
      <c r="P3" s="8" t="s">
        <v>17</v>
      </c>
      <c r="Q3" s="8" t="s">
        <v>18</v>
      </c>
      <c r="R3" s="8" t="s">
        <v>19</v>
      </c>
      <c r="S3" s="8" t="s">
        <v>20</v>
      </c>
      <c r="T3" s="8" t="s">
        <v>21</v>
      </c>
      <c r="U3" s="8" t="s">
        <v>22</v>
      </c>
      <c r="V3" s="8" t="s">
        <v>23</v>
      </c>
      <c r="W3" s="8" t="s">
        <v>114</v>
      </c>
      <c r="X3" s="9"/>
      <c r="Y3" s="3"/>
    </row>
    <row r="4" spans="1:25" ht="17.25" customHeight="1">
      <c r="A4" s="8" t="s">
        <v>24</v>
      </c>
      <c r="B4" s="10">
        <v>2</v>
      </c>
      <c r="C4" s="13" cm="1">
        <f t="array" ref="C4">F4/E4</f>
        <v>0</v>
      </c>
      <c r="D4" s="10">
        <v>1</v>
      </c>
      <c r="E4" s="10">
        <v>1</v>
      </c>
      <c r="F4" s="10">
        <v>0</v>
      </c>
      <c r="G4" s="10" cm="1">
        <f t="array" ref="G4">F4-(H4+I4+J4)</f>
        <v>0</v>
      </c>
      <c r="H4" s="10">
        <v>0</v>
      </c>
      <c r="I4" s="10">
        <v>0</v>
      </c>
      <c r="J4" s="10">
        <v>0</v>
      </c>
      <c r="K4" s="10">
        <v>1</v>
      </c>
      <c r="L4" s="10">
        <v>0</v>
      </c>
      <c r="M4" s="10">
        <v>2</v>
      </c>
      <c r="N4" s="10">
        <v>0</v>
      </c>
      <c r="O4" s="10">
        <v>1</v>
      </c>
      <c r="P4" s="12" cm="1">
        <f t="array" ref="P4">O4/D4</f>
        <v>1</v>
      </c>
      <c r="Q4" s="13" cm="1">
        <f t="array" ref="Q4">(G4*1+H4*2+I4*3+J4*4)/E4</f>
        <v>0</v>
      </c>
      <c r="R4" s="13" cm="1">
        <f t="array" ref="R4">(F4+N4)/D4</f>
        <v>0</v>
      </c>
      <c r="S4" s="15" cm="1">
        <f t="array" ref="S4">R4+Q4</f>
        <v>0</v>
      </c>
      <c r="T4" s="128" cm="1">
        <f t="array" ref="T4">O4/(D4-(F4+N4))</f>
        <v>1</v>
      </c>
      <c r="U4" s="17" cm="1">
        <f t="array" ref="U4">RANK(R4,$R$4:$R$23)</f>
        <v>17</v>
      </c>
      <c r="V4" s="18" cm="1">
        <f t="array" ref="V4">RANK(S4,$S$4:$S$23)</f>
        <v>17</v>
      </c>
      <c r="W4" s="133"/>
      <c r="X4" s="9"/>
      <c r="Y4" s="75"/>
    </row>
    <row r="5" spans="1:25" ht="17.25" customHeight="1">
      <c r="A5" s="8" t="s">
        <v>25</v>
      </c>
      <c r="B5" s="10">
        <v>0</v>
      </c>
      <c r="C5" s="13">
        <v>0</v>
      </c>
      <c r="D5" s="10">
        <v>0</v>
      </c>
      <c r="E5" s="10">
        <v>0</v>
      </c>
      <c r="F5" s="10">
        <v>0</v>
      </c>
      <c r="G5" s="10" cm="1">
        <f t="array" ref="G5">F5-(H5+I5+J5)</f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0</v>
      </c>
      <c r="P5" s="127"/>
      <c r="Q5" s="13"/>
      <c r="R5" s="13"/>
      <c r="S5" s="15"/>
      <c r="T5" s="128"/>
      <c r="U5" s="17" cm="1">
        <f t="array" ref="U5">RANK(R5,$R$4:$R$23)</f>
        <v>17</v>
      </c>
      <c r="V5" s="18" cm="1">
        <f t="array" ref="V5">RANK(S5,$S$4:$S$23)</f>
        <v>17</v>
      </c>
      <c r="W5" s="133"/>
      <c r="X5" s="9"/>
      <c r="Y5" s="75"/>
    </row>
    <row r="6" spans="1:25" ht="17.25" customHeight="1">
      <c r="A6" s="8" t="s">
        <v>26</v>
      </c>
      <c r="B6" s="10">
        <v>5</v>
      </c>
      <c r="C6" s="13" cm="1">
        <f t="array" ref="C6">F6/E6</f>
        <v>0.46666666666666667</v>
      </c>
      <c r="D6" s="10">
        <v>16</v>
      </c>
      <c r="E6" s="10">
        <v>15</v>
      </c>
      <c r="F6" s="10">
        <v>7</v>
      </c>
      <c r="G6" s="10" cm="1">
        <f t="array" ref="G6">F6-(H6+I6+J6)</f>
        <v>4</v>
      </c>
      <c r="H6" s="10">
        <v>3</v>
      </c>
      <c r="I6" s="10">
        <v>0</v>
      </c>
      <c r="J6" s="10">
        <v>0</v>
      </c>
      <c r="K6" s="10">
        <v>4</v>
      </c>
      <c r="L6" s="10">
        <v>8</v>
      </c>
      <c r="M6" s="10">
        <v>4</v>
      </c>
      <c r="N6" s="10">
        <v>1</v>
      </c>
      <c r="O6" s="10">
        <v>0</v>
      </c>
      <c r="P6" s="127" cm="1">
        <f t="array" ref="P6">O6/D6</f>
        <v>0</v>
      </c>
      <c r="Q6" s="13" cm="1">
        <f t="array" ref="Q6">(G6*1+H6*2+I6*3+J6*4)/E6</f>
        <v>0.66666666666666663</v>
      </c>
      <c r="R6" s="13" cm="1">
        <f t="array" ref="R6">(F6+N6)/D6</f>
        <v>0.5</v>
      </c>
      <c r="S6" s="15" cm="1">
        <f t="array" ref="S6">R6+Q6</f>
        <v>1.1666666666666665</v>
      </c>
      <c r="T6" s="128" cm="1">
        <f t="array" ref="T6">O6/(D6-(F6+N6))</f>
        <v>0</v>
      </c>
      <c r="U6" s="17" cm="1">
        <f t="array" ref="U6">RANK(R6,$R$4:$R$23)</f>
        <v>8</v>
      </c>
      <c r="V6" s="18" cm="1">
        <f t="array" ref="V6">RANK(S6,$S$4:$S$23)</f>
        <v>4</v>
      </c>
      <c r="W6" s="48">
        <v>1</v>
      </c>
      <c r="X6" s="9"/>
      <c r="Y6" s="75"/>
    </row>
    <row r="7" spans="1:25" ht="17.25" customHeight="1">
      <c r="A7" s="8" t="s">
        <v>27</v>
      </c>
      <c r="B7" s="10">
        <v>1</v>
      </c>
      <c r="C7" s="13">
        <v>0</v>
      </c>
      <c r="D7" s="10">
        <v>3</v>
      </c>
      <c r="E7" s="10">
        <v>0</v>
      </c>
      <c r="F7" s="10">
        <v>0</v>
      </c>
      <c r="G7" s="10" cm="1">
        <f t="array" ref="G7">F7-(H7+I7+J7)</f>
        <v>0</v>
      </c>
      <c r="H7" s="10">
        <v>0</v>
      </c>
      <c r="I7" s="10">
        <v>0</v>
      </c>
      <c r="J7" s="10">
        <v>0</v>
      </c>
      <c r="K7" s="10">
        <v>2</v>
      </c>
      <c r="L7" s="10">
        <v>2</v>
      </c>
      <c r="M7" s="10">
        <v>1</v>
      </c>
      <c r="N7" s="10">
        <v>3</v>
      </c>
      <c r="O7" s="10">
        <v>0</v>
      </c>
      <c r="P7" s="127" cm="1">
        <f t="array" ref="P7">O7/D7</f>
        <v>0</v>
      </c>
      <c r="Q7" s="13">
        <v>0</v>
      </c>
      <c r="R7" s="13" cm="1">
        <f t="array" ref="R7">(F7+N7)/D7</f>
        <v>1</v>
      </c>
      <c r="S7" s="15" cm="1">
        <f t="array" ref="S7">R7+Q7</f>
        <v>1</v>
      </c>
      <c r="T7" s="128">
        <v>0</v>
      </c>
      <c r="U7" s="17" cm="1">
        <f t="array" ref="U7">RANK(R7,$R$4:$R$23)</f>
        <v>1</v>
      </c>
      <c r="V7" s="18" cm="1">
        <f t="array" ref="V7">RANK(S7,$S$4:$S$23)</f>
        <v>10</v>
      </c>
      <c r="W7" s="133"/>
      <c r="X7" s="9"/>
      <c r="Y7" s="75"/>
    </row>
    <row r="8" spans="1:25" ht="17.25" customHeight="1">
      <c r="A8" s="8" t="s">
        <v>28</v>
      </c>
      <c r="B8" s="10">
        <v>1</v>
      </c>
      <c r="C8" s="13" cm="1">
        <f t="array" ref="C8">F8/E8</f>
        <v>0.5</v>
      </c>
      <c r="D8" s="10">
        <v>3</v>
      </c>
      <c r="E8" s="10">
        <v>2</v>
      </c>
      <c r="F8" s="10">
        <v>1</v>
      </c>
      <c r="G8" s="10" cm="1">
        <f t="array" ref="G8">F8-(H8+I8+J8)</f>
        <v>1</v>
      </c>
      <c r="H8" s="10">
        <v>0</v>
      </c>
      <c r="I8" s="10">
        <v>0</v>
      </c>
      <c r="J8" s="10">
        <v>0</v>
      </c>
      <c r="K8" s="10">
        <v>0</v>
      </c>
      <c r="L8" s="10">
        <v>1</v>
      </c>
      <c r="M8" s="10">
        <v>1</v>
      </c>
      <c r="N8" s="10">
        <v>1</v>
      </c>
      <c r="O8" s="10">
        <v>1</v>
      </c>
      <c r="P8" s="12" cm="1">
        <f t="array" ref="P8">O8/D8</f>
        <v>0.33333333333333331</v>
      </c>
      <c r="Q8" s="13" cm="1">
        <f t="array" ref="Q8">(G8*1+H8*2+I8*3+J8*4)/E8</f>
        <v>0.5</v>
      </c>
      <c r="R8" s="13" cm="1">
        <f t="array" ref="R8">(F8+N8)/D8</f>
        <v>0.66666666666666663</v>
      </c>
      <c r="S8" s="15" cm="1">
        <f t="array" ref="S8">R8+Q8</f>
        <v>1.1666666666666665</v>
      </c>
      <c r="T8" s="128" cm="1">
        <f t="array" ref="T8">O8/(D8-(F8+N8))</f>
        <v>1</v>
      </c>
      <c r="U8" s="17" cm="1">
        <f t="array" ref="U8">RANK(R8,$R$4:$R$23)</f>
        <v>2</v>
      </c>
      <c r="V8" s="18" cm="1">
        <f t="array" ref="V8">RANK(S8,$S$4:$S$23)</f>
        <v>4</v>
      </c>
      <c r="W8" s="133"/>
      <c r="X8" s="9"/>
      <c r="Y8" s="75"/>
    </row>
    <row r="9" spans="1:25" ht="17.25" customHeight="1">
      <c r="A9" s="8" t="s">
        <v>29</v>
      </c>
      <c r="B9" s="10">
        <v>0</v>
      </c>
      <c r="C9" s="13">
        <v>0</v>
      </c>
      <c r="D9" s="10">
        <v>0</v>
      </c>
      <c r="E9" s="10">
        <v>4</v>
      </c>
      <c r="F9" s="10">
        <v>0</v>
      </c>
      <c r="G9" s="10" cm="1">
        <f t="array" ref="G9">F9-(H9+I9+J9)</f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27"/>
      <c r="Q9" s="13"/>
      <c r="R9" s="13"/>
      <c r="S9" s="15"/>
      <c r="T9" s="128"/>
      <c r="U9" s="17" cm="1">
        <f t="array" ref="U9">RANK(R9,$R$4:$R$23)</f>
        <v>17</v>
      </c>
      <c r="V9" s="18" cm="1">
        <f t="array" ref="V9">RANK(S9,$S$4:$S$23)</f>
        <v>17</v>
      </c>
      <c r="W9" s="133"/>
      <c r="X9" s="9"/>
      <c r="Y9" s="75"/>
    </row>
    <row r="10" spans="1:25" ht="17.25" customHeight="1">
      <c r="A10" s="8" t="s">
        <v>30</v>
      </c>
      <c r="B10" s="10">
        <v>4</v>
      </c>
      <c r="C10" s="13" cm="1">
        <f t="array" ref="C10">F10/E10</f>
        <v>0.7</v>
      </c>
      <c r="D10" s="10">
        <v>12</v>
      </c>
      <c r="E10" s="10">
        <v>10</v>
      </c>
      <c r="F10" s="10">
        <v>7</v>
      </c>
      <c r="G10" s="10" cm="1">
        <f t="array" ref="G10">F10-(H10+I10+J10)</f>
        <v>4</v>
      </c>
      <c r="H10" s="10">
        <v>2</v>
      </c>
      <c r="I10" s="10">
        <v>1</v>
      </c>
      <c r="J10" s="10">
        <v>0</v>
      </c>
      <c r="K10" s="10">
        <v>5</v>
      </c>
      <c r="L10" s="10">
        <v>4</v>
      </c>
      <c r="M10" s="10">
        <v>4</v>
      </c>
      <c r="N10" s="10">
        <v>0</v>
      </c>
      <c r="O10" s="10">
        <v>0</v>
      </c>
      <c r="P10" s="127" cm="1">
        <f t="array" ref="P10">O10/D10</f>
        <v>0</v>
      </c>
      <c r="Q10" s="13" cm="1">
        <f t="array" ref="Q10">(G10*1+H10*2+I10*3+J10*4)/E10</f>
        <v>1.1000000000000001</v>
      </c>
      <c r="R10" s="13" cm="1">
        <f t="array" ref="R10">(F10+N10)/D10</f>
        <v>0.58333333333333337</v>
      </c>
      <c r="S10" s="15" cm="1">
        <f t="array" ref="S10">R10+Q10</f>
        <v>1.6833333333333336</v>
      </c>
      <c r="T10" s="128" cm="1">
        <f t="array" ref="T10">O10/(D10-(F10+N10))</f>
        <v>0</v>
      </c>
      <c r="U10" s="17" cm="1">
        <f t="array" ref="U10">RANK(R10,$R$4:$R$23)</f>
        <v>5</v>
      </c>
      <c r="V10" s="18" cm="1">
        <f t="array" ref="V10">RANK(S10,$S$4:$S$23)</f>
        <v>1</v>
      </c>
      <c r="W10" s="48">
        <v>2</v>
      </c>
      <c r="X10" s="9"/>
      <c r="Y10" s="75"/>
    </row>
    <row r="11" spans="1:25" ht="17.25" customHeight="1">
      <c r="A11" s="8" t="s">
        <v>31</v>
      </c>
      <c r="B11" s="10">
        <v>4</v>
      </c>
      <c r="C11" s="13" cm="1">
        <f t="array" ref="C11">F11/E11</f>
        <v>0.2857142857142857</v>
      </c>
      <c r="D11" s="10">
        <v>7</v>
      </c>
      <c r="E11" s="10">
        <v>7</v>
      </c>
      <c r="F11" s="10">
        <v>2</v>
      </c>
      <c r="G11" s="10" cm="1">
        <f t="array" ref="G11">F11-(H11+I11+J11)</f>
        <v>2</v>
      </c>
      <c r="H11" s="10">
        <v>0</v>
      </c>
      <c r="I11" s="10">
        <v>0</v>
      </c>
      <c r="J11" s="10">
        <v>0</v>
      </c>
      <c r="K11" s="10">
        <v>3</v>
      </c>
      <c r="L11" s="10">
        <v>0</v>
      </c>
      <c r="M11" s="10">
        <v>2</v>
      </c>
      <c r="N11" s="10">
        <v>0</v>
      </c>
      <c r="O11" s="10">
        <v>1</v>
      </c>
      <c r="P11" s="127" cm="1">
        <f t="array" ref="P11">O11/D11</f>
        <v>0.14285714285714285</v>
      </c>
      <c r="Q11" s="13" cm="1">
        <f t="array" ref="Q11">(G11*1+H11*2+I11*3+J11*4)/E11</f>
        <v>0.2857142857142857</v>
      </c>
      <c r="R11" s="13" cm="1">
        <f t="array" ref="R11">(F11+N11)/D11</f>
        <v>0.2857142857142857</v>
      </c>
      <c r="S11" s="15" cm="1">
        <f t="array" ref="S11">R11+Q11</f>
        <v>0.5714285714285714</v>
      </c>
      <c r="T11" s="128" cm="1">
        <f t="array" ref="T11">O11/(D11-(F11+N11))</f>
        <v>0.2</v>
      </c>
      <c r="U11" s="17" cm="1">
        <f t="array" ref="U11">RANK(R11,$R$4:$R$23)</f>
        <v>15</v>
      </c>
      <c r="V11" s="18" cm="1">
        <f t="array" ref="V11">RANK(S11,$S$4:$S$23)</f>
        <v>13</v>
      </c>
      <c r="W11" s="48">
        <v>1</v>
      </c>
      <c r="X11" s="9"/>
      <c r="Y11" s="75"/>
    </row>
    <row r="12" spans="1:25" ht="17.25" customHeight="1">
      <c r="A12" s="8" t="s">
        <v>32</v>
      </c>
      <c r="B12" s="10">
        <v>5</v>
      </c>
      <c r="C12" s="13" cm="1">
        <f t="array" ref="C12">F12/E12</f>
        <v>0</v>
      </c>
      <c r="D12" s="10">
        <v>8</v>
      </c>
      <c r="E12" s="10">
        <v>4</v>
      </c>
      <c r="F12" s="10">
        <v>0</v>
      </c>
      <c r="G12" s="10" cm="1">
        <f t="array" ref="G12">F12-(H12+I12+J12)</f>
        <v>0</v>
      </c>
      <c r="H12" s="10">
        <v>0</v>
      </c>
      <c r="I12" s="10">
        <v>0</v>
      </c>
      <c r="J12" s="10">
        <v>0</v>
      </c>
      <c r="K12" s="10">
        <v>4</v>
      </c>
      <c r="L12" s="10">
        <v>0</v>
      </c>
      <c r="M12" s="10">
        <v>3</v>
      </c>
      <c r="N12" s="10">
        <v>3</v>
      </c>
      <c r="O12" s="10">
        <v>1</v>
      </c>
      <c r="P12" s="127" cm="1">
        <f t="array" ref="P12">O12/D12</f>
        <v>0.125</v>
      </c>
      <c r="Q12" s="13" cm="1">
        <f t="array" ref="Q12">(G12*1+H12*2+I12*3+J12*4)/E12</f>
        <v>0</v>
      </c>
      <c r="R12" s="13" cm="1">
        <f t="array" ref="R12">(F12+N12)/D12</f>
        <v>0.375</v>
      </c>
      <c r="S12" s="15" cm="1">
        <f t="array" ref="S12">R12+Q12</f>
        <v>0.375</v>
      </c>
      <c r="T12" s="128" cm="1">
        <f t="array" ref="T12">O12/(D12-(F12+N12))</f>
        <v>0.2</v>
      </c>
      <c r="U12" s="17" cm="1">
        <f t="array" ref="U12">RANK(R12,$R$4:$R$23)</f>
        <v>13</v>
      </c>
      <c r="V12" s="18" cm="1">
        <f t="array" ref="V12">RANK(S12,$S$4:$S$23)</f>
        <v>16</v>
      </c>
      <c r="W12" s="48">
        <v>1</v>
      </c>
      <c r="X12" s="9"/>
      <c r="Y12" s="75"/>
    </row>
    <row r="13" spans="1:25" ht="17.25" customHeight="1">
      <c r="A13" s="8" t="s">
        <v>33</v>
      </c>
      <c r="B13" s="10">
        <v>7</v>
      </c>
      <c r="C13" s="13" cm="1">
        <f t="array" ref="C13">F13/E13</f>
        <v>0.53333333333333333</v>
      </c>
      <c r="D13" s="10">
        <v>19</v>
      </c>
      <c r="E13" s="10">
        <v>15</v>
      </c>
      <c r="F13" s="10">
        <v>8</v>
      </c>
      <c r="G13" s="10" cm="1">
        <f t="array" ref="G13">F13-(H13+I13+J13)</f>
        <v>6</v>
      </c>
      <c r="H13" s="10">
        <v>2</v>
      </c>
      <c r="I13" s="10">
        <v>0</v>
      </c>
      <c r="J13" s="10">
        <v>0</v>
      </c>
      <c r="K13" s="10">
        <v>7</v>
      </c>
      <c r="L13" s="10">
        <v>4</v>
      </c>
      <c r="M13" s="10">
        <v>6</v>
      </c>
      <c r="N13" s="10">
        <v>4</v>
      </c>
      <c r="O13" s="10">
        <v>0</v>
      </c>
      <c r="P13" s="127" cm="1">
        <f t="array" ref="P13">O13/D13</f>
        <v>0</v>
      </c>
      <c r="Q13" s="13" cm="1">
        <f t="array" ref="Q13">(G13*1+H13*2+I13*3+J13*4)/E13</f>
        <v>0.66666666666666663</v>
      </c>
      <c r="R13" s="13" cm="1">
        <f t="array" ref="R13">(F13+N13)/D13</f>
        <v>0.63157894736842102</v>
      </c>
      <c r="S13" s="15" cm="1">
        <f t="array" ref="S13">R13+Q13</f>
        <v>1.2982456140350878</v>
      </c>
      <c r="T13" s="128" cm="1">
        <f t="array" ref="T13">O13/(D13-(F13+N13))</f>
        <v>0</v>
      </c>
      <c r="U13" s="17" cm="1">
        <f t="array" ref="U13">RANK(R13,$R$4:$R$23)</f>
        <v>4</v>
      </c>
      <c r="V13" s="18" cm="1">
        <f t="array" ref="V13">RANK(S13,$S$4:$S$23)</f>
        <v>2</v>
      </c>
      <c r="W13" s="48">
        <v>1</v>
      </c>
      <c r="X13" s="9"/>
      <c r="Y13" s="75"/>
    </row>
    <row r="14" spans="1:25" ht="17.25" customHeight="1">
      <c r="A14" s="8" t="s">
        <v>35</v>
      </c>
      <c r="B14" s="10">
        <v>5</v>
      </c>
      <c r="C14" s="13" cm="1">
        <f t="array" ref="C14">F14/E14</f>
        <v>0.14285714285714285</v>
      </c>
      <c r="D14" s="10">
        <v>16</v>
      </c>
      <c r="E14" s="10">
        <v>14</v>
      </c>
      <c r="F14" s="10">
        <v>2</v>
      </c>
      <c r="G14" s="10" cm="1">
        <f t="array" ref="G14">F14-(H14+I14+J14)</f>
        <v>0</v>
      </c>
      <c r="H14" s="10">
        <v>2</v>
      </c>
      <c r="I14" s="10">
        <v>0</v>
      </c>
      <c r="J14" s="10">
        <v>0</v>
      </c>
      <c r="K14" s="10">
        <v>3</v>
      </c>
      <c r="L14" s="10">
        <v>5</v>
      </c>
      <c r="M14" s="10">
        <v>1</v>
      </c>
      <c r="N14" s="10">
        <v>2</v>
      </c>
      <c r="O14" s="10">
        <v>8</v>
      </c>
      <c r="P14" s="12" cm="1">
        <f t="array" ref="P14">O14/D14</f>
        <v>0.5</v>
      </c>
      <c r="Q14" s="13" cm="1">
        <f t="array" ref="Q14">(G14*1+H14*2+I14*3+J14*4)/E14</f>
        <v>0.2857142857142857</v>
      </c>
      <c r="R14" s="13" cm="1">
        <f t="array" ref="R14">(F14+N14)/D14</f>
        <v>0.25</v>
      </c>
      <c r="S14" s="15" cm="1">
        <f t="array" ref="S14">R14+Q14</f>
        <v>0.5357142857142857</v>
      </c>
      <c r="T14" s="128" cm="1">
        <f t="array" ref="T14">O14/(D14-(F14+N14))</f>
        <v>0.66666666666666663</v>
      </c>
      <c r="U14" s="17" cm="1">
        <f t="array" ref="U14">RANK(R14,$R$4:$R$23)</f>
        <v>16</v>
      </c>
      <c r="V14" s="18" cm="1">
        <f t="array" ref="V14">RANK(S14,$S$4:$S$23)</f>
        <v>14</v>
      </c>
      <c r="W14" s="48">
        <v>4</v>
      </c>
      <c r="X14" s="9"/>
      <c r="Y14" s="75"/>
    </row>
    <row r="15" spans="1:25" ht="17.25" customHeight="1">
      <c r="A15" s="8" t="s">
        <v>36</v>
      </c>
      <c r="B15" s="10">
        <v>5</v>
      </c>
      <c r="C15" s="13" cm="1">
        <f t="array" ref="C15">F15/E15</f>
        <v>0.46153846153846156</v>
      </c>
      <c r="D15" s="10">
        <v>15</v>
      </c>
      <c r="E15" s="10">
        <v>13</v>
      </c>
      <c r="F15" s="10">
        <v>6</v>
      </c>
      <c r="G15" s="10" cm="1">
        <f t="array" ref="G15">F15-(H15+I15+J15)</f>
        <v>5</v>
      </c>
      <c r="H15" s="10">
        <v>1</v>
      </c>
      <c r="I15" s="10">
        <v>0</v>
      </c>
      <c r="J15" s="10">
        <v>0</v>
      </c>
      <c r="K15" s="10">
        <v>7</v>
      </c>
      <c r="L15" s="10">
        <v>8</v>
      </c>
      <c r="M15" s="10">
        <v>5</v>
      </c>
      <c r="N15" s="10">
        <v>2</v>
      </c>
      <c r="O15" s="10">
        <v>1</v>
      </c>
      <c r="P15" s="127" cm="1">
        <f t="array" ref="P15">O15/D15</f>
        <v>6.6666666666666666E-2</v>
      </c>
      <c r="Q15" s="13" cm="1">
        <f t="array" ref="Q15">(G15*1+H15*2+I15*3+J15*4)/E15</f>
        <v>0.53846153846153844</v>
      </c>
      <c r="R15" s="13" cm="1">
        <f t="array" ref="R15">(F15+N15)/D15</f>
        <v>0.53333333333333333</v>
      </c>
      <c r="S15" s="15" cm="1">
        <f t="array" ref="S15">R15+Q15</f>
        <v>1.0717948717948718</v>
      </c>
      <c r="T15" s="128" cm="1">
        <f t="array" ref="T15">O15/(D15-(F15+N15))</f>
        <v>0.14285714285714285</v>
      </c>
      <c r="U15" s="17" cm="1">
        <f t="array" ref="U15">RANK(R15,$R$4:$R$23)</f>
        <v>6</v>
      </c>
      <c r="V15" s="18" cm="1">
        <f t="array" ref="V15">RANK(S15,$S$4:$S$23)</f>
        <v>8</v>
      </c>
      <c r="W15" s="133"/>
      <c r="X15" s="9"/>
      <c r="Y15" s="75"/>
    </row>
    <row r="16" spans="1:25" ht="17.25" customHeight="1">
      <c r="A16" s="8" t="s">
        <v>37</v>
      </c>
      <c r="B16" s="10">
        <v>6</v>
      </c>
      <c r="C16" s="13" cm="1">
        <f t="array" ref="C16">F16/E16</f>
        <v>0.375</v>
      </c>
      <c r="D16" s="10">
        <v>20</v>
      </c>
      <c r="E16" s="10">
        <v>16</v>
      </c>
      <c r="F16" s="10">
        <v>6</v>
      </c>
      <c r="G16" s="10" cm="1">
        <f t="array" ref="G16">F16-(H16+I16+J16)</f>
        <v>4</v>
      </c>
      <c r="H16" s="10">
        <v>1</v>
      </c>
      <c r="I16" s="10">
        <v>1</v>
      </c>
      <c r="J16" s="10">
        <v>0</v>
      </c>
      <c r="K16" s="10">
        <v>7</v>
      </c>
      <c r="L16" s="10">
        <v>4</v>
      </c>
      <c r="M16" s="10">
        <v>6</v>
      </c>
      <c r="N16" s="10">
        <v>4</v>
      </c>
      <c r="O16" s="10">
        <v>3</v>
      </c>
      <c r="P16" s="127" cm="1">
        <f t="array" ref="P16">O16/D16</f>
        <v>0.15</v>
      </c>
      <c r="Q16" s="13" cm="1">
        <f t="array" ref="Q16">(G16*1+H16*2+I16*3+J16*4)/E16</f>
        <v>0.5625</v>
      </c>
      <c r="R16" s="13" cm="1">
        <f t="array" ref="R16">(F16+N16)/D16</f>
        <v>0.5</v>
      </c>
      <c r="S16" s="15" cm="1">
        <f t="array" ref="S16">R16+Q16</f>
        <v>1.0625</v>
      </c>
      <c r="T16" s="128" cm="1">
        <f t="array" ref="T16">O16/(D16-(F16+N16))</f>
        <v>0.3</v>
      </c>
      <c r="U16" s="17" cm="1">
        <f t="array" ref="U16">RANK(R16,$R$4:$R$23)</f>
        <v>8</v>
      </c>
      <c r="V16" s="18" cm="1">
        <f t="array" ref="V16">RANK(S16,$S$4:$S$23)</f>
        <v>9</v>
      </c>
      <c r="W16" s="48">
        <v>1</v>
      </c>
      <c r="X16" s="9"/>
      <c r="Y16" s="75"/>
    </row>
    <row r="17" spans="1:25" ht="17.25" customHeight="1">
      <c r="A17" s="8" t="s">
        <v>38</v>
      </c>
      <c r="B17" s="10">
        <v>5</v>
      </c>
      <c r="C17" s="13" cm="1">
        <f t="array" ref="C17">F17/E17</f>
        <v>0.25</v>
      </c>
      <c r="D17" s="10">
        <v>9</v>
      </c>
      <c r="E17" s="10">
        <v>8</v>
      </c>
      <c r="F17" s="10">
        <v>2</v>
      </c>
      <c r="G17" s="10" cm="1">
        <f t="array" ref="G17">F17-(H17+I17+J17)</f>
        <v>2</v>
      </c>
      <c r="H17" s="10">
        <v>0</v>
      </c>
      <c r="I17" s="10">
        <v>0</v>
      </c>
      <c r="J17" s="10">
        <v>0</v>
      </c>
      <c r="K17" s="10">
        <v>4</v>
      </c>
      <c r="L17" s="10">
        <v>0</v>
      </c>
      <c r="M17" s="10">
        <v>1</v>
      </c>
      <c r="N17" s="10">
        <v>1</v>
      </c>
      <c r="O17" s="10">
        <v>1</v>
      </c>
      <c r="P17" s="127" cm="1">
        <f t="array" ref="P17">O17/D17</f>
        <v>0.1111111111111111</v>
      </c>
      <c r="Q17" s="13" cm="1">
        <f t="array" ref="Q17">(G17*1+H17*2+I17*3+J17*4)/E17</f>
        <v>0.25</v>
      </c>
      <c r="R17" s="13" cm="1">
        <f t="array" ref="R17">(F17+N17)/D17</f>
        <v>0.33333333333333331</v>
      </c>
      <c r="S17" s="15" cm="1">
        <f t="array" ref="S17">R17+Q17</f>
        <v>0.58333333333333326</v>
      </c>
      <c r="T17" s="128" cm="1">
        <f t="array" ref="T17">O17/(D17-(F17+N17))</f>
        <v>0.16666666666666666</v>
      </c>
      <c r="U17" s="17" cm="1">
        <f t="array" ref="U17">RANK(R17,$R$4:$R$23)</f>
        <v>14</v>
      </c>
      <c r="V17" s="18" cm="1">
        <f t="array" ref="V17">RANK(S17,$S$4:$S$23)</f>
        <v>12</v>
      </c>
      <c r="W17" s="133"/>
      <c r="X17" s="9"/>
      <c r="Y17" s="75"/>
    </row>
    <row r="18" spans="1:25" ht="17.25" customHeight="1">
      <c r="A18" s="8" t="s">
        <v>39</v>
      </c>
      <c r="B18" s="10">
        <v>2</v>
      </c>
      <c r="C18" s="13" cm="1">
        <f t="array" ref="C18">F18/E18</f>
        <v>0.5</v>
      </c>
      <c r="D18" s="10">
        <v>6</v>
      </c>
      <c r="E18" s="10">
        <v>4</v>
      </c>
      <c r="F18" s="10">
        <v>2</v>
      </c>
      <c r="G18" s="10" cm="1">
        <f t="array" ref="G18">F18-(H18+I18+J18)</f>
        <v>2</v>
      </c>
      <c r="H18" s="10">
        <v>0</v>
      </c>
      <c r="I18" s="10">
        <v>0</v>
      </c>
      <c r="J18" s="10">
        <v>0</v>
      </c>
      <c r="K18" s="10">
        <v>1</v>
      </c>
      <c r="L18" s="10">
        <v>1</v>
      </c>
      <c r="M18" s="10">
        <v>0</v>
      </c>
      <c r="N18" s="10">
        <v>2</v>
      </c>
      <c r="O18" s="10">
        <v>0</v>
      </c>
      <c r="P18" s="127" cm="1">
        <f t="array" ref="P18">O18/D18</f>
        <v>0</v>
      </c>
      <c r="Q18" s="13" cm="1">
        <f t="array" ref="Q18">(G18*1+H18*2+I18*3+J18*4)/E18</f>
        <v>0.5</v>
      </c>
      <c r="R18" s="13" cm="1">
        <f t="array" ref="R18">(F18+N18)/D18</f>
        <v>0.66666666666666663</v>
      </c>
      <c r="S18" s="15" cm="1">
        <f t="array" ref="S18">R18+Q18</f>
        <v>1.1666666666666665</v>
      </c>
      <c r="T18" s="128" cm="1">
        <f t="array" ref="T18">O18/(D18-(F18+N18))</f>
        <v>0</v>
      </c>
      <c r="U18" s="17" cm="1">
        <f t="array" ref="U18">RANK(R18,$R$4:$R$23)</f>
        <v>2</v>
      </c>
      <c r="V18" s="18" cm="1">
        <f t="array" ref="V18">RANK(S18,$S$4:$S$23)</f>
        <v>4</v>
      </c>
      <c r="W18" s="133"/>
      <c r="X18" s="9"/>
      <c r="Y18" s="75"/>
    </row>
    <row r="19" spans="1:25" ht="17.25" customHeight="1">
      <c r="A19" s="8" t="s">
        <v>40</v>
      </c>
      <c r="B19" s="10">
        <v>1</v>
      </c>
      <c r="C19" s="13" cm="1">
        <f t="array" ref="C19">F19/E19</f>
        <v>0</v>
      </c>
      <c r="D19" s="10">
        <v>1</v>
      </c>
      <c r="E19" s="10">
        <v>1</v>
      </c>
      <c r="F19" s="10">
        <v>0</v>
      </c>
      <c r="G19" s="10" cm="1">
        <f t="array" ref="G19">F19-(H19+I19+J19)</f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0">
        <v>1</v>
      </c>
      <c r="P19" s="12" cm="1">
        <f t="array" ref="P19">O19/D19</f>
        <v>1</v>
      </c>
      <c r="Q19" s="13" cm="1">
        <f t="array" ref="Q19">(G19*1+H19*2+I19*3+J19*4)/E19</f>
        <v>0</v>
      </c>
      <c r="R19" s="13" cm="1">
        <f t="array" ref="R19">(F19+N19)/D19</f>
        <v>0</v>
      </c>
      <c r="S19" s="15" cm="1">
        <f t="array" ref="S19">R19+Q19</f>
        <v>0</v>
      </c>
      <c r="T19" s="128" cm="1">
        <f t="array" ref="T19">O19/(D19-(F19+N19))</f>
        <v>1</v>
      </c>
      <c r="U19" s="17" cm="1">
        <f t="array" ref="U19">RANK(R19,$R$4:$R$23)</f>
        <v>17</v>
      </c>
      <c r="V19" s="18" cm="1">
        <f t="array" ref="V19">RANK(S19,$S$4:$S$23)</f>
        <v>17</v>
      </c>
      <c r="W19" s="48">
        <v>3</v>
      </c>
      <c r="X19" s="9"/>
      <c r="Y19" s="75"/>
    </row>
    <row r="20" spans="1:25" ht="17.25" customHeight="1">
      <c r="A20" s="8" t="s">
        <v>41</v>
      </c>
      <c r="B20" s="10">
        <v>6</v>
      </c>
      <c r="C20" s="13" cm="1">
        <f t="array" ref="C20">F20/E20</f>
        <v>0.46666666666666667</v>
      </c>
      <c r="D20" s="10">
        <v>15</v>
      </c>
      <c r="E20" s="10">
        <v>15</v>
      </c>
      <c r="F20" s="10">
        <v>7</v>
      </c>
      <c r="G20" s="10" cm="1">
        <f t="array" ref="G20">F20-(H20+I20+J20)</f>
        <v>3</v>
      </c>
      <c r="H20" s="10">
        <v>4</v>
      </c>
      <c r="I20" s="10">
        <v>0</v>
      </c>
      <c r="J20" s="10">
        <v>0</v>
      </c>
      <c r="K20" s="10">
        <v>6</v>
      </c>
      <c r="L20" s="10">
        <v>8</v>
      </c>
      <c r="M20" s="10">
        <v>0</v>
      </c>
      <c r="N20" s="10">
        <v>0</v>
      </c>
      <c r="O20" s="10">
        <v>1</v>
      </c>
      <c r="P20" s="127" cm="1">
        <f t="array" ref="P20">O20/D20</f>
        <v>6.6666666666666666E-2</v>
      </c>
      <c r="Q20" s="13" cm="1">
        <f t="array" ref="Q20">(G20*1+H20*2+I20*3+J20*4)/E20</f>
        <v>0.73333333333333328</v>
      </c>
      <c r="R20" s="13" cm="1">
        <f t="array" ref="R20">(F20+N20)/D20</f>
        <v>0.46666666666666667</v>
      </c>
      <c r="S20" s="15" cm="1">
        <f t="array" ref="S20">R20+Q20</f>
        <v>1.2</v>
      </c>
      <c r="T20" s="128" cm="1">
        <f t="array" ref="T20">O20/(D20-(F20+N20))</f>
        <v>0.125</v>
      </c>
      <c r="U20" s="17" cm="1">
        <f t="array" ref="U20">RANK(R20,$R$4:$R$23)</f>
        <v>11</v>
      </c>
      <c r="V20" s="18" cm="1">
        <f t="array" ref="V20">RANK(S20,$S$4:$S$23)</f>
        <v>3</v>
      </c>
      <c r="W20" s="48">
        <v>2</v>
      </c>
      <c r="X20" s="9"/>
      <c r="Y20" s="75"/>
    </row>
    <row r="21" spans="1:25" ht="17.25" customHeight="1">
      <c r="A21" s="8" t="s">
        <v>42</v>
      </c>
      <c r="B21" s="10">
        <v>3</v>
      </c>
      <c r="C21" s="13" cm="1">
        <f t="array" ref="C21">F21/E21</f>
        <v>0.25</v>
      </c>
      <c r="D21" s="10">
        <v>6</v>
      </c>
      <c r="E21" s="10">
        <v>4</v>
      </c>
      <c r="F21" s="10">
        <v>1</v>
      </c>
      <c r="G21" s="10" cm="1">
        <f t="array" ref="G21">F21-(H21+I21+J21)</f>
        <v>1</v>
      </c>
      <c r="H21" s="10">
        <v>0</v>
      </c>
      <c r="I21" s="10">
        <v>0</v>
      </c>
      <c r="J21" s="10">
        <v>0</v>
      </c>
      <c r="K21" s="10">
        <v>1</v>
      </c>
      <c r="L21" s="10">
        <v>1</v>
      </c>
      <c r="M21" s="10">
        <v>1</v>
      </c>
      <c r="N21" s="10">
        <v>2</v>
      </c>
      <c r="O21" s="10">
        <v>2</v>
      </c>
      <c r="P21" s="12" cm="1">
        <f t="array" ref="P21">O21/D21</f>
        <v>0.33333333333333331</v>
      </c>
      <c r="Q21" s="13" cm="1">
        <f t="array" ref="Q21">(G21*1+H21*2+I21*3+J21*4)/E21</f>
        <v>0.25</v>
      </c>
      <c r="R21" s="13" cm="1">
        <f t="array" ref="R21">(F21+N21)/D21</f>
        <v>0.5</v>
      </c>
      <c r="S21" s="15" cm="1">
        <f t="array" ref="S21">R21+Q21</f>
        <v>0.75</v>
      </c>
      <c r="T21" s="128" cm="1">
        <f t="array" ref="T21">O21/(D21-(F21+N21))</f>
        <v>0.66666666666666663</v>
      </c>
      <c r="U21" s="17" cm="1">
        <f t="array" ref="U21">RANK(R21,$R$4:$R$23)</f>
        <v>8</v>
      </c>
      <c r="V21" s="18" cm="1">
        <f t="array" ref="V21">RANK(S21,$S$4:$S$23)</f>
        <v>11</v>
      </c>
      <c r="W21" s="133"/>
      <c r="X21" s="9"/>
      <c r="Y21" s="75"/>
    </row>
    <row r="22" spans="1:25" ht="17.25" customHeight="1">
      <c r="A22" s="8" t="s">
        <v>43</v>
      </c>
      <c r="B22" s="10">
        <v>6</v>
      </c>
      <c r="C22" s="13" cm="1">
        <f t="array" ref="C22">F22/E22</f>
        <v>0.36363636363636365</v>
      </c>
      <c r="D22" s="10">
        <v>15</v>
      </c>
      <c r="E22" s="10">
        <v>11</v>
      </c>
      <c r="F22" s="10">
        <v>4</v>
      </c>
      <c r="G22" s="10" cm="1">
        <f t="array" ref="G22">F22-(H22+I22+J22)</f>
        <v>3</v>
      </c>
      <c r="H22" s="10">
        <v>0</v>
      </c>
      <c r="I22" s="10">
        <v>1</v>
      </c>
      <c r="J22" s="10">
        <v>0</v>
      </c>
      <c r="K22" s="10">
        <v>4</v>
      </c>
      <c r="L22" s="10">
        <v>4</v>
      </c>
      <c r="M22" s="10">
        <v>3</v>
      </c>
      <c r="N22" s="10">
        <v>4</v>
      </c>
      <c r="O22" s="10">
        <v>3</v>
      </c>
      <c r="P22" s="127" cm="1">
        <f t="array" ref="P22">O22/D22</f>
        <v>0.2</v>
      </c>
      <c r="Q22" s="13" cm="1">
        <f t="array" ref="Q22">(G22*1+H22*2+I22*3+J22*4)/E22</f>
        <v>0.54545454545454541</v>
      </c>
      <c r="R22" s="13" cm="1">
        <f t="array" ref="R22">(F22+N22)/D22</f>
        <v>0.53333333333333333</v>
      </c>
      <c r="S22" s="15" cm="1">
        <f t="array" ref="S22">R22+Q22</f>
        <v>1.0787878787878786</v>
      </c>
      <c r="T22" s="128" cm="1">
        <f t="array" ref="T22">O22/(D22-(F22+N22))</f>
        <v>0.42857142857142855</v>
      </c>
      <c r="U22" s="17" cm="1">
        <f t="array" ref="U22">RANK(R22,$R$4:$R$23)</f>
        <v>6</v>
      </c>
      <c r="V22" s="18" cm="1">
        <f t="array" ref="V22">RANK(S22,$S$4:$S$23)</f>
        <v>7</v>
      </c>
      <c r="W22" s="48">
        <v>2</v>
      </c>
      <c r="X22" s="9"/>
      <c r="Y22" s="75"/>
    </row>
    <row r="23" spans="1:25" ht="17.25" customHeight="1">
      <c r="A23" s="8" t="s">
        <v>44</v>
      </c>
      <c r="B23" s="10">
        <v>4</v>
      </c>
      <c r="C23" s="13" cm="1">
        <f t="array" ref="C23">F23/E23</f>
        <v>0</v>
      </c>
      <c r="D23" s="10">
        <v>7</v>
      </c>
      <c r="E23" s="10">
        <v>2</v>
      </c>
      <c r="F23" s="10">
        <v>0</v>
      </c>
      <c r="G23" s="10" cm="1">
        <f t="array" ref="G23">F23-(H23+I23+J23)</f>
        <v>0</v>
      </c>
      <c r="H23" s="10">
        <v>0</v>
      </c>
      <c r="I23" s="10">
        <v>0</v>
      </c>
      <c r="J23" s="10">
        <v>0</v>
      </c>
      <c r="K23" s="10">
        <v>3</v>
      </c>
      <c r="L23" s="10">
        <v>0</v>
      </c>
      <c r="M23" s="10">
        <v>1</v>
      </c>
      <c r="N23" s="10">
        <v>3</v>
      </c>
      <c r="O23" s="10">
        <v>2</v>
      </c>
      <c r="P23" s="127" cm="1">
        <f t="array" ref="P23">O23/D23</f>
        <v>0.2857142857142857</v>
      </c>
      <c r="Q23" s="13" cm="1">
        <f t="array" ref="Q23">(G23*1+H23*2+I23*3+J23*4)/E23</f>
        <v>0</v>
      </c>
      <c r="R23" s="13" cm="1">
        <f t="array" ref="R23">(F23+N23)/D23</f>
        <v>0.42857142857142855</v>
      </c>
      <c r="S23" s="15" cm="1">
        <f t="array" ref="S23">R23+Q23</f>
        <v>0.42857142857142855</v>
      </c>
      <c r="T23" s="128" cm="1">
        <f t="array" ref="T23">O23/(D23-(F23+N23))</f>
        <v>0.5</v>
      </c>
      <c r="U23" s="17" cm="1">
        <f t="array" ref="U23">RANK(R23,$R$4:$R$23)</f>
        <v>12</v>
      </c>
      <c r="V23" s="18" cm="1">
        <f t="array" ref="V23">RANK(S23,$S$4:$S$23)</f>
        <v>15</v>
      </c>
      <c r="W23" s="133"/>
      <c r="X23" s="9"/>
      <c r="Y23" s="75"/>
    </row>
    <row r="24" spans="1:25" ht="17.25" customHeight="1">
      <c r="A24" s="29" t="s">
        <v>45</v>
      </c>
      <c r="B24" s="103"/>
      <c r="C24" s="105" cm="1">
        <f t="array" ref="C24">F24/E24</f>
        <v>0.37671232876712329</v>
      </c>
      <c r="D24" s="49" cm="1">
        <f t="array" ref="D24">SUM(D4:D23)</f>
        <v>179</v>
      </c>
      <c r="E24" s="49" cm="1">
        <f t="array" ref="E24">SUM(E4:E23)</f>
        <v>146</v>
      </c>
      <c r="F24" s="49" cm="1">
        <f t="array" ref="F24">SUM(F4:F23)</f>
        <v>55</v>
      </c>
      <c r="G24" s="49" cm="1">
        <f t="array" ref="G24">SUM(G4:G23)</f>
        <v>37</v>
      </c>
      <c r="H24" s="49" cm="1">
        <f t="array" ref="H24">SUM(H4:H23)</f>
        <v>15</v>
      </c>
      <c r="I24" s="49" cm="1">
        <f t="array" ref="I24">SUM(I4:I23)</f>
        <v>3</v>
      </c>
      <c r="J24" s="49" cm="1">
        <f t="array" ref="J24">SUM(J4:J23)</f>
        <v>0</v>
      </c>
      <c r="K24" s="49" cm="1">
        <f t="array" ref="K24">SUM(K4:K23)</f>
        <v>62</v>
      </c>
      <c r="L24" s="49" cm="1">
        <f t="array" ref="L24">SUM(L4:L23)</f>
        <v>50</v>
      </c>
      <c r="M24" s="49" cm="1">
        <f t="array" ref="M24">SUM(M4:M23)</f>
        <v>41</v>
      </c>
      <c r="N24" s="49" cm="1">
        <f t="array" ref="N24">SUM(N4:N23)</f>
        <v>32</v>
      </c>
      <c r="O24" s="49" cm="1">
        <f t="array" ref="O24">SUM(O4:O23)</f>
        <v>26</v>
      </c>
      <c r="P24" s="33" cm="1">
        <f t="array" ref="P24">O24/D24</f>
        <v>0.14525139664804471</v>
      </c>
      <c r="Q24" s="105"/>
      <c r="R24" s="105"/>
      <c r="S24" s="100"/>
      <c r="T24" s="31"/>
      <c r="U24" s="31"/>
      <c r="V24" s="31"/>
      <c r="W24" s="136" cm="1">
        <f t="array" ref="W24">SUM(W4:W23)</f>
        <v>18</v>
      </c>
      <c r="X24" s="9"/>
      <c r="Y24" s="3"/>
    </row>
    <row r="25" spans="1:25" ht="17.25" customHeight="1">
      <c r="A25" s="111"/>
      <c r="B25" s="112"/>
      <c r="C25" s="113"/>
      <c r="D25" s="112"/>
      <c r="E25" s="112"/>
      <c r="F25" s="112"/>
      <c r="G25" s="112"/>
      <c r="H25" s="112"/>
      <c r="I25" s="112"/>
      <c r="J25" s="112"/>
      <c r="K25" s="112"/>
      <c r="L25" s="112"/>
      <c r="M25" s="112"/>
      <c r="N25" s="112"/>
      <c r="O25" s="112"/>
      <c r="P25" s="112"/>
      <c r="Q25" s="113"/>
      <c r="R25" s="113"/>
      <c r="S25" s="114"/>
      <c r="T25" s="34"/>
      <c r="U25" s="34"/>
      <c r="V25" s="34"/>
      <c r="W25" s="34"/>
      <c r="X25" s="3"/>
      <c r="Y25" s="3"/>
    </row>
    <row r="26" spans="1:25" ht="17.25" customHeight="1">
      <c r="A26" s="115" t="s">
        <v>46</v>
      </c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6"/>
      <c r="T26" s="6"/>
      <c r="U26" s="6"/>
      <c r="V26" s="6"/>
      <c r="W26" s="3"/>
      <c r="X26" s="3"/>
      <c r="Y26" s="3"/>
    </row>
    <row r="27" spans="1:25" ht="34.5" customHeight="1">
      <c r="A27" s="8" t="s">
        <v>2</v>
      </c>
      <c r="B27" s="8" t="s">
        <v>3</v>
      </c>
      <c r="C27" s="8" t="s">
        <v>47</v>
      </c>
      <c r="D27" s="8" t="s">
        <v>48</v>
      </c>
      <c r="E27" s="8" t="s">
        <v>49</v>
      </c>
      <c r="F27" s="8" t="s">
        <v>50</v>
      </c>
      <c r="G27" s="8" t="s">
        <v>6</v>
      </c>
      <c r="H27" s="8" t="s">
        <v>51</v>
      </c>
      <c r="I27" s="8" t="s">
        <v>52</v>
      </c>
      <c r="J27" s="8" t="s">
        <v>53</v>
      </c>
      <c r="K27" s="8" t="s">
        <v>54</v>
      </c>
      <c r="L27" s="8" t="s">
        <v>55</v>
      </c>
      <c r="M27" s="8" t="s">
        <v>56</v>
      </c>
      <c r="N27" s="8" t="s">
        <v>57</v>
      </c>
      <c r="O27" s="8" t="s">
        <v>58</v>
      </c>
      <c r="P27" s="8" t="s">
        <v>59</v>
      </c>
      <c r="Q27" s="8" t="s">
        <v>60</v>
      </c>
      <c r="R27" s="8" t="s">
        <v>61</v>
      </c>
      <c r="S27" s="8" t="s">
        <v>116</v>
      </c>
      <c r="T27" s="8" t="s">
        <v>63</v>
      </c>
      <c r="U27" s="8" t="s">
        <v>64</v>
      </c>
      <c r="V27" s="8" t="s">
        <v>65</v>
      </c>
      <c r="W27" s="9"/>
      <c r="X27" s="3"/>
      <c r="Y27" s="3"/>
    </row>
    <row r="28" spans="1:25" ht="17.25" customHeight="1">
      <c r="A28" s="8" t="s">
        <v>24</v>
      </c>
      <c r="B28" s="175"/>
      <c r="C28" s="175"/>
      <c r="D28" s="175"/>
      <c r="E28" s="175"/>
      <c r="F28" s="175"/>
      <c r="G28" s="175"/>
      <c r="H28" s="39"/>
      <c r="I28" s="175"/>
      <c r="J28" s="175"/>
      <c r="K28" s="175"/>
      <c r="L28" s="175"/>
      <c r="M28" s="175"/>
      <c r="N28" s="175"/>
      <c r="O28" s="175"/>
      <c r="P28" s="40"/>
      <c r="Q28" s="41"/>
      <c r="R28" s="42"/>
      <c r="S28" s="42"/>
      <c r="T28" s="41"/>
      <c r="U28" s="44"/>
      <c r="V28" s="41"/>
      <c r="W28" s="9"/>
      <c r="X28" s="3"/>
      <c r="Y28" s="3"/>
    </row>
    <row r="29" spans="1:25" ht="17.25" customHeight="1">
      <c r="A29" s="8" t="s">
        <v>27</v>
      </c>
      <c r="B29" s="175"/>
      <c r="C29" s="175"/>
      <c r="D29" s="175"/>
      <c r="E29" s="175"/>
      <c r="F29" s="175"/>
      <c r="G29" s="175"/>
      <c r="H29" s="39"/>
      <c r="I29" s="175"/>
      <c r="J29" s="175"/>
      <c r="K29" s="175"/>
      <c r="L29" s="175"/>
      <c r="M29" s="175"/>
      <c r="N29" s="175"/>
      <c r="O29" s="175"/>
      <c r="P29" s="40"/>
      <c r="Q29" s="41"/>
      <c r="R29" s="42"/>
      <c r="S29" s="42"/>
      <c r="T29" s="41"/>
      <c r="U29" s="44"/>
      <c r="V29" s="41"/>
      <c r="W29" s="9"/>
      <c r="X29" s="3"/>
      <c r="Y29" s="3"/>
    </row>
    <row r="30" spans="1:25" ht="17.25" customHeight="1">
      <c r="A30" s="8" t="s">
        <v>29</v>
      </c>
      <c r="B30" s="175"/>
      <c r="C30" s="175"/>
      <c r="D30" s="175"/>
      <c r="E30" s="175"/>
      <c r="F30" s="175"/>
      <c r="G30" s="175"/>
      <c r="H30" s="39"/>
      <c r="I30" s="175"/>
      <c r="J30" s="175"/>
      <c r="K30" s="175"/>
      <c r="L30" s="175"/>
      <c r="M30" s="175"/>
      <c r="N30" s="175"/>
      <c r="O30" s="175"/>
      <c r="P30" s="40"/>
      <c r="Q30" s="41"/>
      <c r="R30" s="42"/>
      <c r="S30" s="42"/>
      <c r="T30" s="41"/>
      <c r="U30" s="44"/>
      <c r="V30" s="41"/>
      <c r="W30" s="9"/>
      <c r="X30" s="3"/>
      <c r="Y30" s="3"/>
    </row>
    <row r="31" spans="1:25" ht="17.25" customHeight="1">
      <c r="A31" s="8" t="s">
        <v>33</v>
      </c>
      <c r="B31" s="10">
        <v>5</v>
      </c>
      <c r="C31" s="10">
        <v>3</v>
      </c>
      <c r="D31" s="10">
        <v>1</v>
      </c>
      <c r="E31" s="10">
        <v>0</v>
      </c>
      <c r="F31" s="10">
        <v>99</v>
      </c>
      <c r="G31" s="10">
        <v>76</v>
      </c>
      <c r="H31" s="39">
        <v>18</v>
      </c>
      <c r="I31" s="10">
        <v>14</v>
      </c>
      <c r="J31" s="10">
        <v>0</v>
      </c>
      <c r="K31" s="10">
        <v>18</v>
      </c>
      <c r="L31" s="10">
        <v>5</v>
      </c>
      <c r="M31" s="10">
        <v>27</v>
      </c>
      <c r="N31" s="10">
        <v>24</v>
      </c>
      <c r="O31" s="10">
        <v>18</v>
      </c>
      <c r="P31" s="40" cm="1">
        <f t="array" ref="P31">O31*9/H31</f>
        <v>9</v>
      </c>
      <c r="Q31" s="41" cm="1">
        <f t="array" ref="Q31">(K31+L31)/H31</f>
        <v>1.2777777777777777</v>
      </c>
      <c r="R31" s="42" cm="1">
        <f t="array" ref="R31">I31/H31</f>
        <v>0.77777777777777779</v>
      </c>
      <c r="S31" s="42" cm="1">
        <f t="array" ref="S31">H31/B31</f>
        <v>3.6</v>
      </c>
      <c r="T31" s="41" cm="1">
        <f t="array" ref="T31">M31/H31</f>
        <v>1.5</v>
      </c>
      <c r="U31" s="44" cm="1">
        <f t="array" ref="U31">O31/N31</f>
        <v>0.75</v>
      </c>
      <c r="V31" s="41" cm="1">
        <f t="array" ref="V31">(I31+K31+L31)/H31</f>
        <v>2.0555555555555554</v>
      </c>
      <c r="W31" s="9"/>
      <c r="X31" s="3"/>
      <c r="Y31" s="3"/>
    </row>
    <row r="32" spans="1:25" ht="17.25" customHeight="1">
      <c r="A32" s="8" t="s">
        <v>36</v>
      </c>
      <c r="B32" s="175"/>
      <c r="C32" s="175"/>
      <c r="D32" s="175"/>
      <c r="E32" s="175"/>
      <c r="F32" s="175"/>
      <c r="G32" s="175"/>
      <c r="H32" s="39"/>
      <c r="I32" s="175"/>
      <c r="J32" s="175"/>
      <c r="K32" s="175"/>
      <c r="L32" s="175"/>
      <c r="M32" s="175"/>
      <c r="N32" s="175"/>
      <c r="O32" s="175"/>
      <c r="P32" s="40"/>
      <c r="Q32" s="41"/>
      <c r="R32" s="42"/>
      <c r="S32" s="42"/>
      <c r="T32" s="41"/>
      <c r="U32" s="44"/>
      <c r="V32" s="41"/>
      <c r="W32" s="9"/>
      <c r="X32" s="3"/>
      <c r="Y32" s="3"/>
    </row>
    <row r="33" spans="1:25" ht="17.25" customHeight="1">
      <c r="A33" s="8" t="s">
        <v>37</v>
      </c>
      <c r="B33" s="10">
        <v>2</v>
      </c>
      <c r="C33" s="10">
        <v>0</v>
      </c>
      <c r="D33" s="10">
        <v>0</v>
      </c>
      <c r="E33" s="10">
        <v>0</v>
      </c>
      <c r="F33" s="10">
        <v>29</v>
      </c>
      <c r="G33" s="10">
        <v>20</v>
      </c>
      <c r="H33" s="39">
        <v>2.6666660000000002</v>
      </c>
      <c r="I33" s="10">
        <v>13</v>
      </c>
      <c r="J33" s="10">
        <v>0</v>
      </c>
      <c r="K33" s="10">
        <v>4</v>
      </c>
      <c r="L33" s="10">
        <v>4</v>
      </c>
      <c r="M33" s="10">
        <v>2</v>
      </c>
      <c r="N33" s="10">
        <v>16</v>
      </c>
      <c r="O33" s="10">
        <v>15</v>
      </c>
      <c r="P33" s="40" cm="1">
        <f t="array" ref="P33">O33*9/H33</f>
        <v>50.625012656253162</v>
      </c>
      <c r="Q33" s="41" cm="1">
        <f t="array" ref="Q33">(K33+L33)/H33</f>
        <v>3.0000007500001873</v>
      </c>
      <c r="R33" s="42" cm="1">
        <f t="array" ref="R33">I33/H33</f>
        <v>4.8750012187503042</v>
      </c>
      <c r="S33" s="42" cm="1">
        <f t="array" ref="S33">H33/B33</f>
        <v>1.3333330000000001</v>
      </c>
      <c r="T33" s="41" cm="1">
        <f t="array" ref="T33">M33/H33</f>
        <v>0.75000018750004682</v>
      </c>
      <c r="U33" s="44" cm="1">
        <f t="array" ref="U33">O33/N33</f>
        <v>0.9375</v>
      </c>
      <c r="V33" s="41" cm="1">
        <f t="array" ref="V33">(I33+K33+L33)/H33</f>
        <v>7.8750019687504915</v>
      </c>
      <c r="W33" s="9"/>
      <c r="X33" s="3"/>
      <c r="Y33" s="3"/>
    </row>
    <row r="34" spans="1:25" ht="17.25" customHeight="1">
      <c r="A34" s="8" t="s">
        <v>42</v>
      </c>
      <c r="B34" s="175"/>
      <c r="C34" s="175"/>
      <c r="D34" s="175"/>
      <c r="E34" s="175"/>
      <c r="F34" s="175"/>
      <c r="G34" s="175"/>
      <c r="H34" s="39"/>
      <c r="I34" s="175"/>
      <c r="J34" s="175"/>
      <c r="K34" s="175"/>
      <c r="L34" s="175"/>
      <c r="M34" s="175"/>
      <c r="N34" s="175"/>
      <c r="O34" s="175"/>
      <c r="P34" s="40"/>
      <c r="Q34" s="41"/>
      <c r="R34" s="42"/>
      <c r="S34" s="42"/>
      <c r="T34" s="41"/>
      <c r="U34" s="44"/>
      <c r="V34" s="41"/>
      <c r="W34" s="9"/>
      <c r="X34" s="3"/>
      <c r="Y34" s="3"/>
    </row>
    <row r="35" spans="1:25" ht="17.25" customHeight="1">
      <c r="A35" s="8" t="s">
        <v>43</v>
      </c>
      <c r="B35" s="10">
        <v>5</v>
      </c>
      <c r="C35" s="10">
        <v>1</v>
      </c>
      <c r="D35" s="10">
        <v>2</v>
      </c>
      <c r="E35" s="10">
        <v>0</v>
      </c>
      <c r="F35" s="10">
        <v>59</v>
      </c>
      <c r="G35" s="10">
        <v>36</v>
      </c>
      <c r="H35" s="39">
        <v>8.3333329999999997</v>
      </c>
      <c r="I35" s="10">
        <v>11</v>
      </c>
      <c r="J35" s="10">
        <v>0</v>
      </c>
      <c r="K35" s="10">
        <v>14</v>
      </c>
      <c r="L35" s="10">
        <v>5</v>
      </c>
      <c r="M35" s="10">
        <v>14</v>
      </c>
      <c r="N35" s="10">
        <v>23</v>
      </c>
      <c r="O35" s="10">
        <v>20</v>
      </c>
      <c r="P35" s="40" cm="1">
        <f t="array" ref="P35">O35*9/H35</f>
        <v>21.600000864000034</v>
      </c>
      <c r="Q35" s="41" cm="1">
        <f t="array" ref="Q35">(K35+L35)/H35</f>
        <v>2.2800000912000038</v>
      </c>
      <c r="R35" s="42" cm="1">
        <f t="array" ref="R35">I35/H35</f>
        <v>1.3200000528000022</v>
      </c>
      <c r="S35" s="42" cm="1">
        <f t="array" ref="S35">H35/B35</f>
        <v>1.6666665999999999</v>
      </c>
      <c r="T35" s="41" cm="1">
        <f t="array" ref="T35">M35/H35</f>
        <v>1.6800000672000028</v>
      </c>
      <c r="U35" s="44" cm="1">
        <f t="array" ref="U35">O35/N35</f>
        <v>0.86956521739130432</v>
      </c>
      <c r="V35" s="41" cm="1">
        <f t="array" ref="V35">(I35+K35+L35)/H35</f>
        <v>3.6000001440000058</v>
      </c>
      <c r="W35" s="9"/>
      <c r="X35" s="3"/>
      <c r="Y35" s="3"/>
    </row>
    <row r="36" spans="1:25" ht="17.25" customHeight="1">
      <c r="A36" s="29" t="s">
        <v>45</v>
      </c>
      <c r="B36" s="103"/>
      <c r="C36" s="49" cm="1">
        <f t="array" ref="C36">SUM(C28:C35)</f>
        <v>4</v>
      </c>
      <c r="D36" s="49" cm="1">
        <f t="array" ref="D36">SUM(D28:D35)</f>
        <v>3</v>
      </c>
      <c r="E36" s="49" cm="1">
        <f t="array" ref="E36">SUM(E28:E35)</f>
        <v>0</v>
      </c>
      <c r="F36" s="49" cm="1">
        <f t="array" ref="F36">SUM(F28:F35)</f>
        <v>187</v>
      </c>
      <c r="G36" s="49" cm="1">
        <f t="array" ref="G36">SUM(G28:G35)</f>
        <v>132</v>
      </c>
      <c r="H36" s="50" cm="1">
        <f t="array" ref="H36">SUM(H28:H35)</f>
        <v>28.999998999999999</v>
      </c>
      <c r="I36" s="49" cm="1">
        <f t="array" ref="I36">SUM(I28:I35)</f>
        <v>38</v>
      </c>
      <c r="J36" s="49" cm="1">
        <f t="array" ref="J36">SUM(J28:J35)</f>
        <v>0</v>
      </c>
      <c r="K36" s="49" cm="1">
        <f t="array" ref="K36">SUM(K28:K35)</f>
        <v>36</v>
      </c>
      <c r="L36" s="49" cm="1">
        <f t="array" ref="L36">SUM(L28:L35)</f>
        <v>14</v>
      </c>
      <c r="M36" s="49" cm="1">
        <f t="array" ref="M36">SUM(M28:M35)</f>
        <v>43</v>
      </c>
      <c r="N36" s="49" cm="1">
        <f t="array" ref="N36">SUM(N28:N35)</f>
        <v>63</v>
      </c>
      <c r="O36" s="49" cm="1">
        <f t="array" ref="O36">SUM(O28:O35)</f>
        <v>53</v>
      </c>
      <c r="P36" s="51" cm="1">
        <f t="array" ref="P36">O36*9/H36</f>
        <v>16.44827642925091</v>
      </c>
      <c r="Q36" s="52" cm="1">
        <f t="array" ref="Q36">(K36+L36)/H36</f>
        <v>1.7241379904875169</v>
      </c>
      <c r="R36" s="53" cm="1">
        <f t="array" ref="R36">I36/H36</f>
        <v>1.3103448727705129</v>
      </c>
      <c r="S36" s="53" t="e" cm="1">
        <f t="array" ref="S36">H36/B36</f>
        <v>#DIV/0!</v>
      </c>
      <c r="T36" s="52" cm="1">
        <f t="array" ref="T36">M36/H36</f>
        <v>1.4827586718192647</v>
      </c>
      <c r="U36" s="55" cm="1">
        <f t="array" ref="U36">O36/N36</f>
        <v>0.84126984126984128</v>
      </c>
      <c r="V36" s="52" cm="1">
        <f t="array" ref="V36">(I36+K36+L36)/H36</f>
        <v>3.0344828632580301</v>
      </c>
      <c r="W36" s="9"/>
      <c r="X36" s="3"/>
      <c r="Y36" s="3"/>
    </row>
  </sheetData>
  <phoneticPr fontId="21" type="noConversion"/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Y38"/>
  <sheetViews>
    <sheetView showGridLines="0" workbookViewId="0"/>
  </sheetViews>
  <sheetFormatPr defaultColWidth="9" defaultRowHeight="16.5" customHeight="1"/>
  <cols>
    <col min="1" max="18" width="8.125" style="1" customWidth="1"/>
    <col min="19" max="19" width="10.875" style="1" customWidth="1"/>
    <col min="20" max="20" width="10.125" style="1" customWidth="1"/>
    <col min="21" max="26" width="9" style="1" customWidth="1"/>
    <col min="27" max="16384" width="9" style="1"/>
  </cols>
  <sheetData>
    <row r="1" spans="1:25" ht="26.25" customHeight="1">
      <c r="A1" s="2" t="s">
        <v>160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7.25" customHeight="1">
      <c r="A2" s="5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3"/>
      <c r="Y2" s="3"/>
    </row>
    <row r="3" spans="1:25" ht="34.5" customHeight="1">
      <c r="A3" s="8" t="s">
        <v>101</v>
      </c>
      <c r="B3" s="8" t="s">
        <v>102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10</v>
      </c>
      <c r="J3" s="8" t="s">
        <v>11</v>
      </c>
      <c r="K3" s="8" t="s">
        <v>12</v>
      </c>
      <c r="L3" s="8" t="s">
        <v>13</v>
      </c>
      <c r="M3" s="8" t="s">
        <v>14</v>
      </c>
      <c r="N3" s="8" t="s">
        <v>15</v>
      </c>
      <c r="O3" s="8" t="s">
        <v>16</v>
      </c>
      <c r="P3" s="8" t="s">
        <v>17</v>
      </c>
      <c r="Q3" s="8" t="s">
        <v>18</v>
      </c>
      <c r="R3" s="8" t="s">
        <v>19</v>
      </c>
      <c r="S3" s="8" t="s">
        <v>20</v>
      </c>
      <c r="T3" s="8" t="s">
        <v>21</v>
      </c>
      <c r="U3" s="8" t="s">
        <v>22</v>
      </c>
      <c r="V3" s="8" t="s">
        <v>23</v>
      </c>
      <c r="W3" s="8" t="s">
        <v>114</v>
      </c>
      <c r="X3" s="9"/>
      <c r="Y3" s="3"/>
    </row>
    <row r="4" spans="1:25" ht="17.25" customHeight="1">
      <c r="A4" s="8" t="s">
        <v>24</v>
      </c>
      <c r="B4" s="10">
        <v>3</v>
      </c>
      <c r="C4" s="174"/>
      <c r="D4" s="10">
        <v>0</v>
      </c>
      <c r="E4" s="10">
        <v>0</v>
      </c>
      <c r="F4" s="10">
        <v>0</v>
      </c>
      <c r="G4" s="10" cm="1">
        <f t="array" ref="G4">F4-(H4+I4+J4)</f>
        <v>0</v>
      </c>
      <c r="H4" s="10">
        <v>0</v>
      </c>
      <c r="I4" s="10">
        <v>0</v>
      </c>
      <c r="J4" s="175"/>
      <c r="K4" s="10">
        <v>3</v>
      </c>
      <c r="L4" s="10">
        <v>0</v>
      </c>
      <c r="M4" s="10">
        <v>3</v>
      </c>
      <c r="N4" s="10">
        <v>0</v>
      </c>
      <c r="O4" s="10">
        <v>0</v>
      </c>
      <c r="P4" s="12"/>
      <c r="Q4" s="13"/>
      <c r="R4" s="13"/>
      <c r="S4" s="15" cm="1">
        <f t="array" ref="S4">R4+Q4</f>
        <v>0</v>
      </c>
      <c r="T4" s="128"/>
      <c r="U4" s="134" t="e" cm="1">
        <f t="array" ref="U4">RANK(R4,$R$4:$R$23)</f>
        <v>#N/A</v>
      </c>
      <c r="V4" s="18" cm="1">
        <f t="array" ref="V4">RANK(S4,$S$4:$S$23)</f>
        <v>18</v>
      </c>
      <c r="W4" s="133"/>
      <c r="X4" s="9"/>
      <c r="Y4" s="75"/>
    </row>
    <row r="5" spans="1:25" ht="17.25" customHeight="1">
      <c r="A5" s="8" t="s">
        <v>25</v>
      </c>
      <c r="B5" s="175"/>
      <c r="C5" s="174"/>
      <c r="D5" s="175"/>
      <c r="E5" s="175"/>
      <c r="F5" s="175"/>
      <c r="G5" s="10" cm="1">
        <f t="array" ref="G5">F5-(H5+I5+J5)</f>
        <v>0</v>
      </c>
      <c r="H5" s="175"/>
      <c r="I5" s="175"/>
      <c r="J5" s="175"/>
      <c r="K5" s="175"/>
      <c r="L5" s="175"/>
      <c r="M5" s="175"/>
      <c r="N5" s="175"/>
      <c r="O5" s="175"/>
      <c r="P5" s="12"/>
      <c r="Q5" s="13"/>
      <c r="R5" s="13"/>
      <c r="S5" s="15" cm="1">
        <f t="array" ref="S5">R5+Q5</f>
        <v>0</v>
      </c>
      <c r="T5" s="128"/>
      <c r="U5" s="134" t="e" cm="1">
        <f t="array" ref="U5">RANK(R5,$R$4:$R$23)</f>
        <v>#N/A</v>
      </c>
      <c r="V5" s="18" cm="1">
        <f t="array" ref="V5">RANK(S5,$S$4:$S$23)</f>
        <v>18</v>
      </c>
      <c r="W5" s="133"/>
      <c r="X5" s="9"/>
      <c r="Y5" s="75"/>
    </row>
    <row r="6" spans="1:25" ht="17.25" customHeight="1">
      <c r="A6" s="8" t="s">
        <v>26</v>
      </c>
      <c r="B6" s="10">
        <v>6</v>
      </c>
      <c r="C6" s="174" cm="1">
        <f t="array" ref="C6">F6/E6</f>
        <v>0.6</v>
      </c>
      <c r="D6" s="10">
        <v>23</v>
      </c>
      <c r="E6" s="10">
        <v>20</v>
      </c>
      <c r="F6" s="10">
        <v>12</v>
      </c>
      <c r="G6" s="10" cm="1">
        <f t="array" ref="G6">F6-(H6+I6+J6)</f>
        <v>8</v>
      </c>
      <c r="H6" s="10">
        <v>1</v>
      </c>
      <c r="I6" s="10">
        <v>2</v>
      </c>
      <c r="J6" s="10">
        <v>1</v>
      </c>
      <c r="K6" s="10">
        <v>9</v>
      </c>
      <c r="L6" s="10">
        <v>9</v>
      </c>
      <c r="M6" s="10">
        <v>4</v>
      </c>
      <c r="N6" s="10">
        <v>3</v>
      </c>
      <c r="O6" s="10">
        <v>4</v>
      </c>
      <c r="P6" s="12" cm="1">
        <f t="array" ref="P6">O6/D6</f>
        <v>0.17391304347826086</v>
      </c>
      <c r="Q6" s="13" cm="1">
        <f t="array" ref="Q6">(G6*1+H6*2+I6*3+J6*4)/E6</f>
        <v>1</v>
      </c>
      <c r="R6" s="13" cm="1">
        <f t="array" ref="R6">(F6+N6)/D6</f>
        <v>0.65217391304347827</v>
      </c>
      <c r="S6" s="15" cm="1">
        <f t="array" ref="S6">R6+Q6</f>
        <v>1.6521739130434783</v>
      </c>
      <c r="T6" s="128" cm="1">
        <f t="array" ref="T6">O6/(D6-(F6+N6))</f>
        <v>0.5</v>
      </c>
      <c r="U6" s="17" cm="1">
        <f t="array" ref="U6">RANK(R6,$R$4:$R$23)</f>
        <v>4</v>
      </c>
      <c r="V6" s="18" cm="1">
        <f t="array" ref="V6">RANK(S6,$S$4:$S$23)</f>
        <v>1</v>
      </c>
      <c r="W6" s="133"/>
      <c r="X6" s="9"/>
      <c r="Y6" s="75"/>
    </row>
    <row r="7" spans="1:25" ht="17.25" customHeight="1">
      <c r="A7" s="8" t="s">
        <v>27</v>
      </c>
      <c r="B7" s="175"/>
      <c r="C7" s="174"/>
      <c r="D7" s="175"/>
      <c r="E7" s="175"/>
      <c r="F7" s="175"/>
      <c r="G7" s="10" cm="1">
        <f t="array" ref="G7">F7-(H7+I7+J7)</f>
        <v>0</v>
      </c>
      <c r="H7" s="175"/>
      <c r="I7" s="175"/>
      <c r="J7" s="175"/>
      <c r="K7" s="175"/>
      <c r="L7" s="175"/>
      <c r="M7" s="175"/>
      <c r="N7" s="175"/>
      <c r="O7" s="175"/>
      <c r="P7" s="12"/>
      <c r="Q7" s="13"/>
      <c r="R7" s="13"/>
      <c r="S7" s="15" cm="1">
        <f t="array" ref="S7">R7+Q7</f>
        <v>0</v>
      </c>
      <c r="T7" s="128"/>
      <c r="U7" s="134" t="e" cm="1">
        <f t="array" ref="U7">RANK(R7,$R$4:$R$23)</f>
        <v>#N/A</v>
      </c>
      <c r="V7" s="18" cm="1">
        <f t="array" ref="V7">RANK(S7,$S$4:$S$23)</f>
        <v>18</v>
      </c>
      <c r="W7" s="133"/>
      <c r="X7" s="9"/>
      <c r="Y7" s="75"/>
    </row>
    <row r="8" spans="1:25" ht="17.25" customHeight="1">
      <c r="A8" s="8" t="s">
        <v>28</v>
      </c>
      <c r="B8" s="10">
        <v>4</v>
      </c>
      <c r="C8" s="174" cm="1">
        <f t="array" ref="C8">F8/E8</f>
        <v>0.16666666666666666</v>
      </c>
      <c r="D8" s="10">
        <v>8</v>
      </c>
      <c r="E8" s="10">
        <v>6</v>
      </c>
      <c r="F8" s="10">
        <v>1</v>
      </c>
      <c r="G8" s="10" cm="1">
        <f t="array" ref="G8">F8-(H8+I8+J8)</f>
        <v>1</v>
      </c>
      <c r="H8" s="10">
        <v>0</v>
      </c>
      <c r="I8" s="10">
        <v>0</v>
      </c>
      <c r="J8" s="10">
        <v>0</v>
      </c>
      <c r="K8" s="10">
        <v>1</v>
      </c>
      <c r="L8" s="10">
        <v>0</v>
      </c>
      <c r="M8" s="10">
        <v>2</v>
      </c>
      <c r="N8" s="10">
        <v>2</v>
      </c>
      <c r="O8" s="10">
        <v>3</v>
      </c>
      <c r="P8" s="12" cm="1">
        <f t="array" ref="P8">O8/D8</f>
        <v>0.375</v>
      </c>
      <c r="Q8" s="13" cm="1">
        <f t="array" ref="Q8">(G8*1+H8*2+I8*3+J8*4)/E8</f>
        <v>0.16666666666666666</v>
      </c>
      <c r="R8" s="13" cm="1">
        <f t="array" ref="R8">(F8+N8)/D8</f>
        <v>0.375</v>
      </c>
      <c r="S8" s="15" cm="1">
        <f t="array" ref="S8">R8+Q8</f>
        <v>0.54166666666666663</v>
      </c>
      <c r="T8" s="128" cm="1">
        <f t="array" ref="T8">O8/(D8-(F8+N8))</f>
        <v>0.6</v>
      </c>
      <c r="U8" s="17" cm="1">
        <f t="array" ref="U8">RANK(R8,$R$4:$R$23)</f>
        <v>15</v>
      </c>
      <c r="V8" s="18" cm="1">
        <f t="array" ref="V8">RANK(S8,$S$4:$S$23)</f>
        <v>15</v>
      </c>
      <c r="W8" s="133"/>
      <c r="X8" s="9"/>
      <c r="Y8" s="75"/>
    </row>
    <row r="9" spans="1:25" ht="17.25" customHeight="1">
      <c r="A9" s="8" t="s">
        <v>29</v>
      </c>
      <c r="B9" s="10">
        <v>2</v>
      </c>
      <c r="C9" s="174" cm="1">
        <f t="array" ref="C9">F9/E9</f>
        <v>0.5</v>
      </c>
      <c r="D9" s="10">
        <v>3</v>
      </c>
      <c r="E9" s="10">
        <v>4</v>
      </c>
      <c r="F9" s="10">
        <v>2</v>
      </c>
      <c r="G9" s="10" cm="1">
        <f t="array" ref="G9">F9-(H9+I9+J9)</f>
        <v>2</v>
      </c>
      <c r="H9" s="10">
        <v>0</v>
      </c>
      <c r="I9" s="10">
        <v>0</v>
      </c>
      <c r="J9" s="10">
        <v>0</v>
      </c>
      <c r="K9" s="10">
        <v>1</v>
      </c>
      <c r="L9" s="10">
        <v>1</v>
      </c>
      <c r="M9" s="10">
        <v>0</v>
      </c>
      <c r="N9" s="10">
        <v>0</v>
      </c>
      <c r="O9" s="10">
        <v>0</v>
      </c>
      <c r="P9" s="12" cm="1">
        <f t="array" ref="P9">O9/D9</f>
        <v>0</v>
      </c>
      <c r="Q9" s="13" cm="1">
        <f t="array" ref="Q9">(G9*1+H9*2+I9*3+J9*4)/E9</f>
        <v>0.5</v>
      </c>
      <c r="R9" s="13" cm="1">
        <f t="array" ref="R9">(F9+N9)/D9</f>
        <v>0.66666666666666663</v>
      </c>
      <c r="S9" s="15" cm="1">
        <f t="array" ref="S9">R9+Q9</f>
        <v>1.1666666666666665</v>
      </c>
      <c r="T9" s="128" cm="1">
        <f t="array" ref="T9">O9/(D9-(F9+N9))</f>
        <v>0</v>
      </c>
      <c r="U9" s="17" cm="1">
        <f t="array" ref="U9">RANK(R9,$R$4:$R$23)</f>
        <v>1</v>
      </c>
      <c r="V9" s="18" cm="1">
        <f t="array" ref="V9">RANK(S9,$S$4:$S$23)</f>
        <v>5</v>
      </c>
      <c r="W9" s="133"/>
      <c r="X9" s="9"/>
      <c r="Y9" s="75"/>
    </row>
    <row r="10" spans="1:25" ht="17.25" customHeight="1">
      <c r="A10" s="8" t="s">
        <v>30</v>
      </c>
      <c r="B10" s="10">
        <v>9</v>
      </c>
      <c r="C10" s="174" cm="1">
        <f t="array" ref="C10">F10/E10</f>
        <v>0.54838709677419351</v>
      </c>
      <c r="D10" s="10">
        <v>35</v>
      </c>
      <c r="E10" s="10">
        <v>31</v>
      </c>
      <c r="F10" s="10">
        <v>17</v>
      </c>
      <c r="G10" s="10" cm="1">
        <f t="array" ref="G10">F10-(H10+I10+J10)</f>
        <v>15</v>
      </c>
      <c r="H10" s="10">
        <v>0</v>
      </c>
      <c r="I10" s="10">
        <v>2</v>
      </c>
      <c r="J10" s="10">
        <v>0</v>
      </c>
      <c r="K10" s="10">
        <v>16</v>
      </c>
      <c r="L10" s="10">
        <v>11</v>
      </c>
      <c r="M10" s="10">
        <v>13</v>
      </c>
      <c r="N10" s="10">
        <v>3</v>
      </c>
      <c r="O10" s="10">
        <v>0</v>
      </c>
      <c r="P10" s="12" cm="1">
        <f t="array" ref="P10">O10/D10</f>
        <v>0</v>
      </c>
      <c r="Q10" s="13" cm="1">
        <f t="array" ref="Q10">(G10*1+H10*2+I10*3+J10*4)/E10</f>
        <v>0.67741935483870963</v>
      </c>
      <c r="R10" s="13" cm="1">
        <f t="array" ref="R10">(F10+N10)/D10</f>
        <v>0.5714285714285714</v>
      </c>
      <c r="S10" s="15" cm="1">
        <f t="array" ref="S10">R10+Q10</f>
        <v>1.2488479262672811</v>
      </c>
      <c r="T10" s="128" cm="1">
        <f t="array" ref="T10">O10/(D10-(F10+N10))</f>
        <v>0</v>
      </c>
      <c r="U10" s="17" cm="1">
        <f t="array" ref="U10">RANK(R10,$R$4:$R$23)</f>
        <v>7</v>
      </c>
      <c r="V10" s="18" cm="1">
        <f t="array" ref="V10">RANK(S10,$S$4:$S$23)</f>
        <v>4</v>
      </c>
      <c r="W10" s="133"/>
      <c r="X10" s="9"/>
      <c r="Y10" s="75"/>
    </row>
    <row r="11" spans="1:25" ht="17.25" customHeight="1">
      <c r="A11" s="8" t="s">
        <v>31</v>
      </c>
      <c r="B11" s="10">
        <v>6</v>
      </c>
      <c r="C11" s="174" cm="1">
        <f t="array" ref="C11">F11/E11</f>
        <v>0.25</v>
      </c>
      <c r="D11" s="10">
        <v>10</v>
      </c>
      <c r="E11" s="10">
        <v>8</v>
      </c>
      <c r="F11" s="10">
        <v>2</v>
      </c>
      <c r="G11" s="10" cm="1">
        <f t="array" ref="G11">F11-(H11+I11+J11)</f>
        <v>2</v>
      </c>
      <c r="H11" s="10">
        <v>0</v>
      </c>
      <c r="I11" s="10">
        <v>0</v>
      </c>
      <c r="J11" s="10">
        <v>0</v>
      </c>
      <c r="K11" s="10">
        <v>2</v>
      </c>
      <c r="L11" s="10">
        <v>4</v>
      </c>
      <c r="M11" s="10">
        <v>0</v>
      </c>
      <c r="N11" s="10">
        <v>2</v>
      </c>
      <c r="O11" s="10">
        <v>2</v>
      </c>
      <c r="P11" s="12" cm="1">
        <f t="array" ref="P11">O11/D11</f>
        <v>0.2</v>
      </c>
      <c r="Q11" s="13" cm="1">
        <f t="array" ref="Q11">(G11*1+H11*2+I11*3+J11*4)/E11</f>
        <v>0.25</v>
      </c>
      <c r="R11" s="13" cm="1">
        <f t="array" ref="R11">(F11+N11)/D11</f>
        <v>0.4</v>
      </c>
      <c r="S11" s="15" cm="1">
        <f t="array" ref="S11">R11+Q11</f>
        <v>0.65</v>
      </c>
      <c r="T11" s="128" cm="1">
        <f t="array" ref="T11">O11/(D11-(F11+N11))</f>
        <v>0.33333333333333331</v>
      </c>
      <c r="U11" s="17" cm="1">
        <f t="array" ref="U11">RANK(R11,$R$4:$R$23)</f>
        <v>12</v>
      </c>
      <c r="V11" s="18" cm="1">
        <f t="array" ref="V11">RANK(S11,$S$4:$S$23)</f>
        <v>13</v>
      </c>
      <c r="W11" s="133"/>
      <c r="X11" s="9"/>
      <c r="Y11" s="75"/>
    </row>
    <row r="12" spans="1:25" ht="17.25" customHeight="1">
      <c r="A12" s="8" t="s">
        <v>32</v>
      </c>
      <c r="B12" s="10">
        <v>3</v>
      </c>
      <c r="C12" s="174" cm="1">
        <f t="array" ref="C12">F12/E12</f>
        <v>0.33333333333333331</v>
      </c>
      <c r="D12" s="10">
        <v>7</v>
      </c>
      <c r="E12" s="10">
        <v>3</v>
      </c>
      <c r="F12" s="10">
        <v>1</v>
      </c>
      <c r="G12" s="10" cm="1">
        <f t="array" ref="G12">F12-(H12+I12+J12)</f>
        <v>1</v>
      </c>
      <c r="H12" s="10">
        <v>0</v>
      </c>
      <c r="I12" s="10">
        <v>0</v>
      </c>
      <c r="J12" s="10">
        <v>0</v>
      </c>
      <c r="K12" s="10">
        <v>2</v>
      </c>
      <c r="L12" s="10">
        <v>1</v>
      </c>
      <c r="M12" s="10">
        <v>0</v>
      </c>
      <c r="N12" s="10">
        <v>2</v>
      </c>
      <c r="O12" s="10">
        <v>0</v>
      </c>
      <c r="P12" s="12" cm="1">
        <f t="array" ref="P12">O12/D12</f>
        <v>0</v>
      </c>
      <c r="Q12" s="13" cm="1">
        <f t="array" ref="Q12">(G12*1+H12*2+I12*3+J12*4)/E12</f>
        <v>0.33333333333333331</v>
      </c>
      <c r="R12" s="13" cm="1">
        <f t="array" ref="R12">(F12+N12)/D12</f>
        <v>0.42857142857142855</v>
      </c>
      <c r="S12" s="15" cm="1">
        <f t="array" ref="S12">R12+Q12</f>
        <v>0.76190476190476186</v>
      </c>
      <c r="T12" s="128" cm="1">
        <f t="array" ref="T12">O12/(D12-(F12+N12))</f>
        <v>0</v>
      </c>
      <c r="U12" s="17" cm="1">
        <f t="array" ref="U12">RANK(R12,$R$4:$R$23)</f>
        <v>10</v>
      </c>
      <c r="V12" s="18" cm="1">
        <f t="array" ref="V12">RANK(S12,$S$4:$S$23)</f>
        <v>11</v>
      </c>
      <c r="W12" s="133"/>
      <c r="X12" s="9"/>
      <c r="Y12" s="75"/>
    </row>
    <row r="13" spans="1:25" ht="17.25" customHeight="1">
      <c r="A13" s="8" t="s">
        <v>33</v>
      </c>
      <c r="B13" s="10">
        <v>10</v>
      </c>
      <c r="C13" s="174" cm="1">
        <f t="array" ref="C13">F13/E13</f>
        <v>0.51851851851851849</v>
      </c>
      <c r="D13" s="10">
        <v>34</v>
      </c>
      <c r="E13" s="10">
        <v>27</v>
      </c>
      <c r="F13" s="10">
        <v>14</v>
      </c>
      <c r="G13" s="10" cm="1">
        <f t="array" ref="G13">F13-(H13+I13+J13)</f>
        <v>8</v>
      </c>
      <c r="H13" s="10">
        <v>5</v>
      </c>
      <c r="I13" s="10">
        <v>1</v>
      </c>
      <c r="J13" s="10">
        <v>0</v>
      </c>
      <c r="K13" s="10">
        <v>11</v>
      </c>
      <c r="L13" s="10">
        <v>13</v>
      </c>
      <c r="M13" s="10">
        <v>4</v>
      </c>
      <c r="N13" s="10">
        <v>7</v>
      </c>
      <c r="O13" s="10">
        <v>0</v>
      </c>
      <c r="P13" s="12" cm="1">
        <f t="array" ref="P13">O13/D13</f>
        <v>0</v>
      </c>
      <c r="Q13" s="13" cm="1">
        <f t="array" ref="Q13">(G13*1+H13*2+I13*3+J13*4)/E13</f>
        <v>0.77777777777777779</v>
      </c>
      <c r="R13" s="13" cm="1">
        <f t="array" ref="R13">(F13+N13)/D13</f>
        <v>0.61764705882352944</v>
      </c>
      <c r="S13" s="15" cm="1">
        <f t="array" ref="S13">R13+Q13</f>
        <v>1.3954248366013071</v>
      </c>
      <c r="T13" s="128" cm="1">
        <f t="array" ref="T13">O13/(D13-(F13+N13))</f>
        <v>0</v>
      </c>
      <c r="U13" s="17" cm="1">
        <f t="array" ref="U13">RANK(R13,$R$4:$R$23)</f>
        <v>6</v>
      </c>
      <c r="V13" s="18" cm="1">
        <f t="array" ref="V13">RANK(S13,$S$4:$S$23)</f>
        <v>3</v>
      </c>
      <c r="W13" s="133"/>
      <c r="X13" s="9"/>
      <c r="Y13" s="75"/>
    </row>
    <row r="14" spans="1:25" ht="17.25" customHeight="1">
      <c r="A14" s="8" t="s">
        <v>35</v>
      </c>
      <c r="B14" s="10">
        <v>9</v>
      </c>
      <c r="C14" s="174" cm="1">
        <f t="array" ref="C14">F14/E14</f>
        <v>0.33333333333333331</v>
      </c>
      <c r="D14" s="10">
        <v>17</v>
      </c>
      <c r="E14" s="10">
        <v>9</v>
      </c>
      <c r="F14" s="10">
        <v>3</v>
      </c>
      <c r="G14" s="10" cm="1">
        <f t="array" ref="G14">F14-(H14+I14+J14)</f>
        <v>3</v>
      </c>
      <c r="H14" s="10">
        <v>0</v>
      </c>
      <c r="I14" s="10">
        <v>0</v>
      </c>
      <c r="J14" s="10">
        <v>0</v>
      </c>
      <c r="K14" s="10">
        <v>3</v>
      </c>
      <c r="L14" s="10">
        <v>3</v>
      </c>
      <c r="M14" s="10">
        <v>3</v>
      </c>
      <c r="N14" s="10">
        <v>8</v>
      </c>
      <c r="O14" s="10">
        <v>4</v>
      </c>
      <c r="P14" s="12" cm="1">
        <f t="array" ref="P14">O14/D14</f>
        <v>0.23529411764705882</v>
      </c>
      <c r="Q14" s="13" cm="1">
        <f t="array" ref="Q14">(G14*1+H14*2+I14*3+J14*4)/E14</f>
        <v>0.33333333333333331</v>
      </c>
      <c r="R14" s="13" cm="1">
        <f t="array" ref="R14">(F14+N14)/D14</f>
        <v>0.6470588235294118</v>
      </c>
      <c r="S14" s="15" cm="1">
        <f t="array" ref="S14">R14+Q14</f>
        <v>0.98039215686274517</v>
      </c>
      <c r="T14" s="128" cm="1">
        <f t="array" ref="T14">O14/(D14-(F14+N14))</f>
        <v>0.66666666666666663</v>
      </c>
      <c r="U14" s="17" cm="1">
        <f t="array" ref="U14">RANK(R14,$R$4:$R$23)</f>
        <v>5</v>
      </c>
      <c r="V14" s="18" cm="1">
        <f t="array" ref="V14">RANK(S14,$S$4:$S$23)</f>
        <v>7</v>
      </c>
      <c r="W14" s="133"/>
      <c r="X14" s="9"/>
      <c r="Y14" s="75"/>
    </row>
    <row r="15" spans="1:25" ht="17.25" customHeight="1">
      <c r="A15" s="8" t="s">
        <v>36</v>
      </c>
      <c r="B15" s="10">
        <v>6</v>
      </c>
      <c r="C15" s="174" cm="1">
        <f t="array" ref="C15">F15/E15</f>
        <v>9.0909090909090912E-2</v>
      </c>
      <c r="D15" s="10">
        <v>11</v>
      </c>
      <c r="E15" s="10">
        <v>11</v>
      </c>
      <c r="F15" s="10">
        <v>1</v>
      </c>
      <c r="G15" s="10" cm="1">
        <f t="array" ref="G15">F15-(H15+I15+J15)</f>
        <v>1</v>
      </c>
      <c r="H15" s="10">
        <v>0</v>
      </c>
      <c r="I15" s="10">
        <v>0</v>
      </c>
      <c r="J15" s="10">
        <v>0</v>
      </c>
      <c r="K15" s="10">
        <v>1</v>
      </c>
      <c r="L15" s="10">
        <v>1</v>
      </c>
      <c r="M15" s="10">
        <v>1</v>
      </c>
      <c r="N15" s="10">
        <v>0</v>
      </c>
      <c r="O15" s="10">
        <v>4</v>
      </c>
      <c r="P15" s="12" cm="1">
        <f t="array" ref="P15">O15/D15</f>
        <v>0.36363636363636365</v>
      </c>
      <c r="Q15" s="13" cm="1">
        <f t="array" ref="Q15">(G15*1+H15*2+I15*3+J15*4)/E15</f>
        <v>9.0909090909090912E-2</v>
      </c>
      <c r="R15" s="13" cm="1">
        <f t="array" ref="R15">(F15+N15)/D15</f>
        <v>9.0909090909090912E-2</v>
      </c>
      <c r="S15" s="15" cm="1">
        <f t="array" ref="S15">R15+Q15</f>
        <v>0.18181818181818182</v>
      </c>
      <c r="T15" s="128" cm="1">
        <f t="array" ref="T15">O15/(D15-(F15+N15))</f>
        <v>0.4</v>
      </c>
      <c r="U15" s="17" cm="1">
        <f t="array" ref="U15">RANK(R15,$R$4:$R$23)</f>
        <v>17</v>
      </c>
      <c r="V15" s="18" cm="1">
        <f t="array" ref="V15">RANK(S15,$S$4:$S$23)</f>
        <v>17</v>
      </c>
      <c r="W15" s="133"/>
      <c r="X15" s="9"/>
      <c r="Y15" s="75"/>
    </row>
    <row r="16" spans="1:25" ht="17.25" customHeight="1">
      <c r="A16" s="8" t="s">
        <v>37</v>
      </c>
      <c r="B16" s="10">
        <v>9</v>
      </c>
      <c r="C16" s="174" cm="1">
        <f t="array" ref="C16">F16/E16</f>
        <v>0.31818181818181818</v>
      </c>
      <c r="D16" s="10">
        <v>31</v>
      </c>
      <c r="E16" s="10">
        <v>22</v>
      </c>
      <c r="F16" s="10">
        <v>7</v>
      </c>
      <c r="G16" s="10" cm="1">
        <f t="array" ref="G16">F16-(H16+I16+J16)</f>
        <v>5</v>
      </c>
      <c r="H16" s="10">
        <v>1</v>
      </c>
      <c r="I16" s="10">
        <v>1</v>
      </c>
      <c r="J16" s="10">
        <v>0</v>
      </c>
      <c r="K16" s="10">
        <v>9</v>
      </c>
      <c r="L16" s="10">
        <v>4</v>
      </c>
      <c r="M16" s="10">
        <v>10</v>
      </c>
      <c r="N16" s="10">
        <v>8</v>
      </c>
      <c r="O16" s="10">
        <v>4</v>
      </c>
      <c r="P16" s="12" cm="1">
        <f t="array" ref="P16">O16/D16</f>
        <v>0.12903225806451613</v>
      </c>
      <c r="Q16" s="13" cm="1">
        <f t="array" ref="Q16">(G16*1+H16*2+I16*3+J16*4)/E16</f>
        <v>0.45454545454545453</v>
      </c>
      <c r="R16" s="13" cm="1">
        <f t="array" ref="R16">(F16+N16)/D16</f>
        <v>0.4838709677419355</v>
      </c>
      <c r="S16" s="15" cm="1">
        <f t="array" ref="S16">R16+Q16</f>
        <v>0.93841642228739008</v>
      </c>
      <c r="T16" s="128" cm="1">
        <f t="array" ref="T16">O16/(D16-(F16+N16))</f>
        <v>0.25</v>
      </c>
      <c r="U16" s="17" cm="1">
        <f t="array" ref="U16">RANK(R16,$R$4:$R$23)</f>
        <v>9</v>
      </c>
      <c r="V16" s="18" cm="1">
        <f t="array" ref="V16">RANK(S16,$S$4:$S$23)</f>
        <v>8</v>
      </c>
      <c r="W16" s="133"/>
      <c r="X16" s="9"/>
      <c r="Y16" s="75"/>
    </row>
    <row r="17" spans="1:25" ht="17.25" customHeight="1">
      <c r="A17" s="8" t="s">
        <v>38</v>
      </c>
      <c r="B17" s="10">
        <v>7</v>
      </c>
      <c r="C17" s="174" cm="1">
        <f t="array" ref="C17">F17/E17</f>
        <v>0.33333333333333331</v>
      </c>
      <c r="D17" s="10">
        <v>15</v>
      </c>
      <c r="E17" s="10">
        <v>12</v>
      </c>
      <c r="F17" s="10">
        <v>4</v>
      </c>
      <c r="G17" s="10" cm="1">
        <f t="array" ref="G17">F17-(H17+I17+J17)</f>
        <v>3</v>
      </c>
      <c r="H17" s="10">
        <v>1</v>
      </c>
      <c r="I17" s="10">
        <v>0</v>
      </c>
      <c r="J17" s="10">
        <v>0</v>
      </c>
      <c r="K17" s="10">
        <v>3</v>
      </c>
      <c r="L17" s="10">
        <v>2</v>
      </c>
      <c r="M17" s="10">
        <v>1</v>
      </c>
      <c r="N17" s="10">
        <v>2</v>
      </c>
      <c r="O17" s="10">
        <v>2</v>
      </c>
      <c r="P17" s="12" cm="1">
        <f t="array" ref="P17">O17/D17</f>
        <v>0.13333333333333333</v>
      </c>
      <c r="Q17" s="13" cm="1">
        <f t="array" ref="Q17">(G17*1+H17*2+I17*3+J17*4)/E17</f>
        <v>0.41666666666666669</v>
      </c>
      <c r="R17" s="13" cm="1">
        <f t="array" ref="R17">(F17+N17)/D17</f>
        <v>0.4</v>
      </c>
      <c r="S17" s="15" cm="1">
        <f t="array" ref="S17">R17+Q17</f>
        <v>0.81666666666666665</v>
      </c>
      <c r="T17" s="128" cm="1">
        <f t="array" ref="T17">O17/(D17-(F17+N17))</f>
        <v>0.22222222222222221</v>
      </c>
      <c r="U17" s="17" cm="1">
        <f t="array" ref="U17">RANK(R17,$R$4:$R$23)</f>
        <v>12</v>
      </c>
      <c r="V17" s="18" cm="1">
        <f t="array" ref="V17">RANK(S17,$S$4:$S$23)</f>
        <v>10</v>
      </c>
      <c r="W17" s="133"/>
      <c r="X17" s="9"/>
      <c r="Y17" s="75"/>
    </row>
    <row r="18" spans="1:25" ht="17.25" customHeight="1">
      <c r="A18" s="8" t="s">
        <v>39</v>
      </c>
      <c r="B18" s="10">
        <v>8</v>
      </c>
      <c r="C18" s="174" cm="1">
        <f t="array" ref="C18">F18/E18</f>
        <v>0.3</v>
      </c>
      <c r="D18" s="10">
        <v>25</v>
      </c>
      <c r="E18" s="10">
        <v>20</v>
      </c>
      <c r="F18" s="10">
        <v>6</v>
      </c>
      <c r="G18" s="10" cm="1">
        <f t="array" ref="G18">F18-(H18+I18+J18)</f>
        <v>6</v>
      </c>
      <c r="H18" s="10">
        <v>0</v>
      </c>
      <c r="I18" s="10">
        <v>0</v>
      </c>
      <c r="J18" s="10">
        <v>0</v>
      </c>
      <c r="K18" s="10">
        <v>5</v>
      </c>
      <c r="L18" s="10">
        <v>6</v>
      </c>
      <c r="M18" s="10">
        <v>0</v>
      </c>
      <c r="N18" s="10">
        <v>4</v>
      </c>
      <c r="O18" s="10">
        <v>5</v>
      </c>
      <c r="P18" s="12" cm="1">
        <f t="array" ref="P18">O18/D18</f>
        <v>0.2</v>
      </c>
      <c r="Q18" s="13" cm="1">
        <f t="array" ref="Q18">(G18*1+H18*2+I18*3+J18*4)/E18</f>
        <v>0.3</v>
      </c>
      <c r="R18" s="13" cm="1">
        <f t="array" ref="R18">(F18+N18)/D18</f>
        <v>0.4</v>
      </c>
      <c r="S18" s="15" cm="1">
        <f t="array" ref="S18">R18+Q18</f>
        <v>0.7</v>
      </c>
      <c r="T18" s="128" cm="1">
        <f t="array" ref="T18">O18/(D18-(F18+N18))</f>
        <v>0.33333333333333331</v>
      </c>
      <c r="U18" s="17" cm="1">
        <f t="array" ref="U18">RANK(R18,$R$4:$R$23)</f>
        <v>12</v>
      </c>
      <c r="V18" s="18" cm="1">
        <f t="array" ref="V18">RANK(S18,$S$4:$S$23)</f>
        <v>12</v>
      </c>
      <c r="W18" s="133"/>
      <c r="X18" s="9"/>
      <c r="Y18" s="75"/>
    </row>
    <row r="19" spans="1:25" ht="17.25" customHeight="1">
      <c r="A19" s="8" t="s">
        <v>40</v>
      </c>
      <c r="B19" s="10">
        <v>2</v>
      </c>
      <c r="C19" s="174" cm="1">
        <f t="array" ref="C19">F19/E19</f>
        <v>0</v>
      </c>
      <c r="D19" s="10">
        <v>4</v>
      </c>
      <c r="E19" s="10">
        <v>2</v>
      </c>
      <c r="F19" s="10">
        <v>0</v>
      </c>
      <c r="G19" s="10" cm="1">
        <f t="array" ref="G19">F19-(H19+I19+J19)</f>
        <v>0</v>
      </c>
      <c r="H19" s="10">
        <v>0</v>
      </c>
      <c r="I19" s="10">
        <v>0</v>
      </c>
      <c r="J19" s="10">
        <v>0</v>
      </c>
      <c r="K19" s="10">
        <v>1</v>
      </c>
      <c r="L19" s="10">
        <v>0</v>
      </c>
      <c r="M19" s="10">
        <v>0</v>
      </c>
      <c r="N19" s="10">
        <v>2</v>
      </c>
      <c r="O19" s="10">
        <v>0</v>
      </c>
      <c r="P19" s="12" cm="1">
        <f t="array" ref="P19">O19/D19</f>
        <v>0</v>
      </c>
      <c r="Q19" s="13" cm="1">
        <f t="array" ref="Q19">(G19*1+H19*2+I19*3+J19*4)/E19</f>
        <v>0</v>
      </c>
      <c r="R19" s="13" cm="1">
        <f t="array" ref="R19">(F19+N19)/D19</f>
        <v>0.5</v>
      </c>
      <c r="S19" s="15" cm="1">
        <f t="array" ref="S19">R19+Q19</f>
        <v>0.5</v>
      </c>
      <c r="T19" s="128" cm="1">
        <f t="array" ref="T19">O19/(D19-(F19+N19))</f>
        <v>0</v>
      </c>
      <c r="U19" s="17" cm="1">
        <f t="array" ref="U19">RANK(R19,$R$4:$R$23)</f>
        <v>8</v>
      </c>
      <c r="V19" s="18" cm="1">
        <f t="array" ref="V19">RANK(S19,$S$4:$S$23)</f>
        <v>16</v>
      </c>
      <c r="W19" s="133"/>
      <c r="X19" s="9"/>
      <c r="Y19" s="75"/>
    </row>
    <row r="20" spans="1:25" ht="17.25" customHeight="1">
      <c r="A20" s="8" t="s">
        <v>41</v>
      </c>
      <c r="B20" s="10">
        <v>10</v>
      </c>
      <c r="C20" s="174" cm="1">
        <f t="array" ref="C20">F20/E20</f>
        <v>0.58333333333333337</v>
      </c>
      <c r="D20" s="10">
        <v>29</v>
      </c>
      <c r="E20" s="10">
        <v>24</v>
      </c>
      <c r="F20" s="10">
        <v>14</v>
      </c>
      <c r="G20" s="10" cm="1">
        <f t="array" ref="G20">F20-(H20+I20+J20)</f>
        <v>9</v>
      </c>
      <c r="H20" s="10">
        <v>4</v>
      </c>
      <c r="I20" s="10">
        <v>0</v>
      </c>
      <c r="J20" s="10">
        <v>1</v>
      </c>
      <c r="K20" s="10">
        <v>12</v>
      </c>
      <c r="L20" s="10">
        <v>13</v>
      </c>
      <c r="M20" s="10">
        <v>6</v>
      </c>
      <c r="N20" s="10">
        <v>5</v>
      </c>
      <c r="O20" s="10">
        <v>0</v>
      </c>
      <c r="P20" s="12" cm="1">
        <f t="array" ref="P20">O20/D20</f>
        <v>0</v>
      </c>
      <c r="Q20" s="13" cm="1">
        <f t="array" ref="Q20">(G20*1+H20*2+I20*3+J20*4)/E20</f>
        <v>0.875</v>
      </c>
      <c r="R20" s="13" cm="1">
        <f t="array" ref="R20">(F20+N20)/D20</f>
        <v>0.65517241379310343</v>
      </c>
      <c r="S20" s="15" cm="1">
        <f t="array" ref="S20">R20+Q20</f>
        <v>1.5301724137931034</v>
      </c>
      <c r="T20" s="128" cm="1">
        <f t="array" ref="T20">O20/(D20-(F20+N20))</f>
        <v>0</v>
      </c>
      <c r="U20" s="17" cm="1">
        <f t="array" ref="U20">RANK(R20,$R$4:$R$23)</f>
        <v>3</v>
      </c>
      <c r="V20" s="18" cm="1">
        <f t="array" ref="V20">RANK(S20,$S$4:$S$23)</f>
        <v>2</v>
      </c>
      <c r="W20" s="133"/>
      <c r="X20" s="9"/>
      <c r="Y20" s="75"/>
    </row>
    <row r="21" spans="1:25" ht="17.25" customHeight="1">
      <c r="A21" s="8" t="s">
        <v>42</v>
      </c>
      <c r="B21" s="10">
        <v>7</v>
      </c>
      <c r="C21" s="174" cm="1">
        <f t="array" ref="C21">F21/E21</f>
        <v>0.18181818181818182</v>
      </c>
      <c r="D21" s="10">
        <v>13</v>
      </c>
      <c r="E21" s="10">
        <v>11</v>
      </c>
      <c r="F21" s="10">
        <v>2</v>
      </c>
      <c r="G21" s="10" cm="1">
        <f t="array" ref="G21">F21-(H21+I21+J21)</f>
        <v>1</v>
      </c>
      <c r="H21" s="10">
        <v>1</v>
      </c>
      <c r="I21" s="10">
        <v>0</v>
      </c>
      <c r="J21" s="10">
        <v>0</v>
      </c>
      <c r="K21" s="10">
        <v>3</v>
      </c>
      <c r="L21" s="10">
        <v>2</v>
      </c>
      <c r="M21" s="10">
        <v>0</v>
      </c>
      <c r="N21" s="10">
        <v>2</v>
      </c>
      <c r="O21" s="10">
        <v>5</v>
      </c>
      <c r="P21" s="12" cm="1">
        <f t="array" ref="P21">O21/D21</f>
        <v>0.38461538461538464</v>
      </c>
      <c r="Q21" s="13" cm="1">
        <f t="array" ref="Q21">(G21*1+H21*2+I21*3+J21*4)/E21</f>
        <v>0.27272727272727271</v>
      </c>
      <c r="R21" s="13" cm="1">
        <f t="array" ref="R21">(F21+N21)/D21</f>
        <v>0.30769230769230771</v>
      </c>
      <c r="S21" s="15" cm="1">
        <f t="array" ref="S21">R21+Q21</f>
        <v>0.58041958041958042</v>
      </c>
      <c r="T21" s="128" cm="1">
        <f t="array" ref="T21">O21/(D21-(F21+N21))</f>
        <v>0.55555555555555558</v>
      </c>
      <c r="U21" s="17" cm="1">
        <f t="array" ref="U21">RANK(R21,$R$4:$R$23)</f>
        <v>16</v>
      </c>
      <c r="V21" s="18" cm="1">
        <f t="array" ref="V21">RANK(S21,$S$4:$S$23)</f>
        <v>14</v>
      </c>
      <c r="W21" s="133"/>
      <c r="X21" s="9"/>
      <c r="Y21" s="75"/>
    </row>
    <row r="22" spans="1:25" ht="17.25" customHeight="1">
      <c r="A22" s="8" t="s">
        <v>43</v>
      </c>
      <c r="B22" s="10">
        <v>6</v>
      </c>
      <c r="C22" s="174" cm="1">
        <f t="array" ref="C22">F22/E22</f>
        <v>0.2857142857142857</v>
      </c>
      <c r="D22" s="10">
        <v>17</v>
      </c>
      <c r="E22" s="10">
        <v>14</v>
      </c>
      <c r="F22" s="10">
        <v>4</v>
      </c>
      <c r="G22" s="10" cm="1">
        <f t="array" ref="G22">F22-(H22+I22+J22)</f>
        <v>2</v>
      </c>
      <c r="H22" s="10">
        <v>2</v>
      </c>
      <c r="I22" s="10">
        <v>0</v>
      </c>
      <c r="J22" s="10">
        <v>0</v>
      </c>
      <c r="K22" s="10">
        <v>4</v>
      </c>
      <c r="L22" s="10">
        <v>1</v>
      </c>
      <c r="M22" s="10">
        <v>4</v>
      </c>
      <c r="N22" s="10">
        <v>3</v>
      </c>
      <c r="O22" s="10">
        <v>1</v>
      </c>
      <c r="P22" s="12" cm="1">
        <f t="array" ref="P22">O22/D22</f>
        <v>5.8823529411764705E-2</v>
      </c>
      <c r="Q22" s="13" cm="1">
        <f t="array" ref="Q22">(G22*1+H22*2+I22*3+J22*4)/E22</f>
        <v>0.42857142857142855</v>
      </c>
      <c r="R22" s="13" cm="1">
        <f t="array" ref="R22">(F22+N22)/D22</f>
        <v>0.41176470588235292</v>
      </c>
      <c r="S22" s="15" cm="1">
        <f t="array" ref="S22">R22+Q22</f>
        <v>0.84033613445378141</v>
      </c>
      <c r="T22" s="128" cm="1">
        <f t="array" ref="T22">O22/(D22-(F22+N22))</f>
        <v>0.1</v>
      </c>
      <c r="U22" s="17" cm="1">
        <f t="array" ref="U22">RANK(R22,$R$4:$R$23)</f>
        <v>11</v>
      </c>
      <c r="V22" s="18" cm="1">
        <f t="array" ref="V22">RANK(S22,$S$4:$S$23)</f>
        <v>9</v>
      </c>
      <c r="W22" s="133"/>
      <c r="X22" s="9"/>
      <c r="Y22" s="75"/>
    </row>
    <row r="23" spans="1:25" ht="17.25" customHeight="1">
      <c r="A23" s="8" t="s">
        <v>44</v>
      </c>
      <c r="B23" s="10">
        <v>4</v>
      </c>
      <c r="C23" s="174" cm="1">
        <f t="array" ref="C23">F23/E23</f>
        <v>0.5</v>
      </c>
      <c r="D23" s="10">
        <v>12</v>
      </c>
      <c r="E23" s="10">
        <v>8</v>
      </c>
      <c r="F23" s="10">
        <v>4</v>
      </c>
      <c r="G23" s="10" cm="1">
        <f t="array" ref="G23">F23-(H23+I23+J23)</f>
        <v>4</v>
      </c>
      <c r="H23" s="10">
        <v>0</v>
      </c>
      <c r="I23" s="10">
        <v>0</v>
      </c>
      <c r="J23" s="10">
        <v>0</v>
      </c>
      <c r="K23" s="10">
        <v>6</v>
      </c>
      <c r="L23" s="10">
        <v>2</v>
      </c>
      <c r="M23" s="10">
        <v>1</v>
      </c>
      <c r="N23" s="10">
        <v>4</v>
      </c>
      <c r="O23" s="10">
        <v>1</v>
      </c>
      <c r="P23" s="12" cm="1">
        <f t="array" ref="P23">O23/D23</f>
        <v>8.3333333333333329E-2</v>
      </c>
      <c r="Q23" s="13" cm="1">
        <f t="array" ref="Q23">(G23*1+H23*2+I23*3+J23*4)/E23</f>
        <v>0.5</v>
      </c>
      <c r="R23" s="13" cm="1">
        <f t="array" ref="R23">(F23+N23)/D23</f>
        <v>0.66666666666666663</v>
      </c>
      <c r="S23" s="15" cm="1">
        <f t="array" ref="S23">R23+Q23</f>
        <v>1.1666666666666665</v>
      </c>
      <c r="T23" s="128" cm="1">
        <f t="array" ref="T23">O23/(D23-(F23+N23))</f>
        <v>0.25</v>
      </c>
      <c r="U23" s="17" cm="1">
        <f t="array" ref="U23">RANK(R23,$R$4:$R$23)</f>
        <v>1</v>
      </c>
      <c r="V23" s="18" cm="1">
        <f t="array" ref="V23">RANK(S23,$S$4:$S$23)</f>
        <v>5</v>
      </c>
      <c r="W23" s="133"/>
      <c r="X23" s="9"/>
      <c r="Y23" s="75"/>
    </row>
    <row r="24" spans="1:25" ht="17.25" customHeight="1">
      <c r="A24" s="29" t="s">
        <v>45</v>
      </c>
      <c r="B24" s="103"/>
      <c r="C24" s="105" cm="1">
        <f t="array" ref="C24">F24/E24</f>
        <v>0.40517241379310343</v>
      </c>
      <c r="D24" s="49" cm="1">
        <f t="array" ref="D24">SUM(D4:D23)</f>
        <v>294</v>
      </c>
      <c r="E24" s="49" cm="1">
        <f t="array" ref="E24">SUM(E4:E23)</f>
        <v>232</v>
      </c>
      <c r="F24" s="49" cm="1">
        <f t="array" ref="F24">SUM(F4:F23)</f>
        <v>94</v>
      </c>
      <c r="G24" s="49" cm="1">
        <f t="array" ref="G24">SUM(G4:G23)</f>
        <v>71</v>
      </c>
      <c r="H24" s="49" cm="1">
        <f t="array" ref="H24">SUM(H4:H23)</f>
        <v>15</v>
      </c>
      <c r="I24" s="49" cm="1">
        <f t="array" ref="I24">SUM(I4:I23)</f>
        <v>6</v>
      </c>
      <c r="J24" s="49" cm="1">
        <f t="array" ref="J24">SUM(J4:J23)</f>
        <v>2</v>
      </c>
      <c r="K24" s="49" cm="1">
        <f t="array" ref="K24">SUM(K4:K23)</f>
        <v>92</v>
      </c>
      <c r="L24" s="49" cm="1">
        <f t="array" ref="L24">SUM(L4:L23)</f>
        <v>73</v>
      </c>
      <c r="M24" s="49" cm="1">
        <f t="array" ref="M24">SUM(M4:M23)</f>
        <v>52</v>
      </c>
      <c r="N24" s="49" cm="1">
        <f t="array" ref="N24">SUM(N4:N23)</f>
        <v>57</v>
      </c>
      <c r="O24" s="49" cm="1">
        <f t="array" ref="O24">SUM(O4:O23)</f>
        <v>35</v>
      </c>
      <c r="P24" s="33" cm="1">
        <f t="array" ref="P24">O24/D24</f>
        <v>0.11904761904761904</v>
      </c>
      <c r="Q24" s="105"/>
      <c r="R24" s="105"/>
      <c r="S24" s="100"/>
      <c r="T24" s="31"/>
      <c r="U24" s="31"/>
      <c r="V24" s="31"/>
      <c r="W24" s="136" cm="1">
        <f t="array" ref="W24">SUM(W4:W23)</f>
        <v>0</v>
      </c>
      <c r="X24" s="9"/>
      <c r="Y24" s="3"/>
    </row>
    <row r="25" spans="1:25" ht="17.25" customHeight="1">
      <c r="A25" s="111"/>
      <c r="B25" s="112"/>
      <c r="C25" s="113"/>
      <c r="D25" s="112"/>
      <c r="E25" s="112"/>
      <c r="F25" s="112"/>
      <c r="G25" s="112"/>
      <c r="H25" s="112"/>
      <c r="I25" s="112"/>
      <c r="J25" s="112"/>
      <c r="K25" s="112"/>
      <c r="L25" s="112"/>
      <c r="M25" s="112"/>
      <c r="N25" s="112"/>
      <c r="O25" s="112"/>
      <c r="P25" s="112"/>
      <c r="Q25" s="113"/>
      <c r="R25" s="113"/>
      <c r="S25" s="114"/>
      <c r="T25" s="34"/>
      <c r="U25" s="34"/>
      <c r="V25" s="34"/>
      <c r="W25" s="34"/>
      <c r="X25" s="3"/>
      <c r="Y25" s="3"/>
    </row>
    <row r="26" spans="1:25" ht="17.25" customHeight="1">
      <c r="A26" s="115" t="s">
        <v>46</v>
      </c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6"/>
      <c r="T26" s="6"/>
      <c r="U26" s="6"/>
      <c r="V26" s="6"/>
      <c r="W26" s="3"/>
      <c r="X26" s="3"/>
      <c r="Y26" s="3"/>
    </row>
    <row r="27" spans="1:25" ht="34.5" customHeight="1">
      <c r="A27" s="8" t="s">
        <v>2</v>
      </c>
      <c r="B27" s="8" t="s">
        <v>3</v>
      </c>
      <c r="C27" s="8" t="s">
        <v>47</v>
      </c>
      <c r="D27" s="8" t="s">
        <v>48</v>
      </c>
      <c r="E27" s="8" t="s">
        <v>49</v>
      </c>
      <c r="F27" s="8" t="s">
        <v>50</v>
      </c>
      <c r="G27" s="8" t="s">
        <v>6</v>
      </c>
      <c r="H27" s="8" t="s">
        <v>51</v>
      </c>
      <c r="I27" s="8" t="s">
        <v>52</v>
      </c>
      <c r="J27" s="8" t="s">
        <v>53</v>
      </c>
      <c r="K27" s="8" t="s">
        <v>54</v>
      </c>
      <c r="L27" s="8" t="s">
        <v>55</v>
      </c>
      <c r="M27" s="8" t="s">
        <v>56</v>
      </c>
      <c r="N27" s="8" t="s">
        <v>57</v>
      </c>
      <c r="O27" s="8" t="s">
        <v>58</v>
      </c>
      <c r="P27" s="8" t="s">
        <v>59</v>
      </c>
      <c r="Q27" s="8" t="s">
        <v>60</v>
      </c>
      <c r="R27" s="8" t="s">
        <v>61</v>
      </c>
      <c r="S27" s="8" t="s">
        <v>116</v>
      </c>
      <c r="T27" s="8" t="s">
        <v>63</v>
      </c>
      <c r="U27" s="8" t="s">
        <v>64</v>
      </c>
      <c r="V27" s="8" t="s">
        <v>65</v>
      </c>
      <c r="W27" s="9"/>
      <c r="X27" s="3"/>
      <c r="Y27" s="3"/>
    </row>
    <row r="28" spans="1:25" ht="17.25" customHeight="1">
      <c r="A28" s="8" t="s">
        <v>24</v>
      </c>
      <c r="B28" s="175"/>
      <c r="C28" s="175"/>
      <c r="D28" s="175"/>
      <c r="E28" s="175"/>
      <c r="F28" s="175"/>
      <c r="G28" s="175"/>
      <c r="H28" s="39"/>
      <c r="I28" s="175"/>
      <c r="J28" s="175"/>
      <c r="K28" s="175"/>
      <c r="L28" s="175"/>
      <c r="M28" s="175"/>
      <c r="N28" s="175"/>
      <c r="O28" s="175"/>
      <c r="P28" s="40"/>
      <c r="Q28" s="41"/>
      <c r="R28" s="42"/>
      <c r="S28" s="42"/>
      <c r="T28" s="41"/>
      <c r="U28" s="44"/>
      <c r="V28" s="41"/>
      <c r="W28" s="9"/>
      <c r="X28" s="3"/>
      <c r="Y28" s="3"/>
    </row>
    <row r="29" spans="1:25" ht="17.25" customHeight="1">
      <c r="A29" s="8" t="s">
        <v>27</v>
      </c>
      <c r="B29" s="175"/>
      <c r="C29" s="175"/>
      <c r="D29" s="175"/>
      <c r="E29" s="175"/>
      <c r="F29" s="175"/>
      <c r="G29" s="175"/>
      <c r="H29" s="39"/>
      <c r="I29" s="175"/>
      <c r="J29" s="175"/>
      <c r="K29" s="175"/>
      <c r="L29" s="175"/>
      <c r="M29" s="175"/>
      <c r="N29" s="175"/>
      <c r="O29" s="175"/>
      <c r="P29" s="40"/>
      <c r="Q29" s="41"/>
      <c r="R29" s="42"/>
      <c r="S29" s="42"/>
      <c r="T29" s="41"/>
      <c r="U29" s="44"/>
      <c r="V29" s="41"/>
      <c r="W29" s="9"/>
      <c r="X29" s="3"/>
      <c r="Y29" s="3"/>
    </row>
    <row r="30" spans="1:25" ht="17.25" customHeight="1">
      <c r="A30" s="8" t="s">
        <v>29</v>
      </c>
      <c r="B30" s="175"/>
      <c r="C30" s="175"/>
      <c r="D30" s="175"/>
      <c r="E30" s="175"/>
      <c r="F30" s="175"/>
      <c r="G30" s="175"/>
      <c r="H30" s="39"/>
      <c r="I30" s="175"/>
      <c r="J30" s="175"/>
      <c r="K30" s="175"/>
      <c r="L30" s="175"/>
      <c r="M30" s="175"/>
      <c r="N30" s="175"/>
      <c r="O30" s="175"/>
      <c r="P30" s="40"/>
      <c r="Q30" s="41"/>
      <c r="R30" s="42"/>
      <c r="S30" s="42"/>
      <c r="T30" s="41"/>
      <c r="U30" s="44"/>
      <c r="V30" s="41"/>
      <c r="W30" s="9"/>
      <c r="X30" s="3"/>
      <c r="Y30" s="3"/>
    </row>
    <row r="31" spans="1:25" ht="17.25" customHeight="1">
      <c r="A31" s="8" t="s">
        <v>33</v>
      </c>
      <c r="B31" s="10">
        <v>7</v>
      </c>
      <c r="C31" s="10">
        <v>5</v>
      </c>
      <c r="D31" s="10">
        <v>2</v>
      </c>
      <c r="E31" s="10">
        <v>0</v>
      </c>
      <c r="F31" s="10">
        <v>171</v>
      </c>
      <c r="G31" s="10">
        <v>152</v>
      </c>
      <c r="H31" s="39">
        <v>34</v>
      </c>
      <c r="I31" s="10">
        <v>36</v>
      </c>
      <c r="J31" s="10">
        <v>0</v>
      </c>
      <c r="K31" s="10">
        <v>21</v>
      </c>
      <c r="L31" s="10">
        <v>5</v>
      </c>
      <c r="M31" s="10">
        <v>45</v>
      </c>
      <c r="N31" s="10">
        <v>36</v>
      </c>
      <c r="O31" s="10">
        <v>16</v>
      </c>
      <c r="P31" s="40" cm="1">
        <f t="array" ref="P31">O31*9/H31</f>
        <v>4.2352941176470589</v>
      </c>
      <c r="Q31" s="41" cm="1">
        <f t="array" ref="Q31">(K31+L31)/H31</f>
        <v>0.76470588235294112</v>
      </c>
      <c r="R31" s="42" cm="1">
        <f t="array" ref="R31">I31/H31</f>
        <v>1.0588235294117647</v>
      </c>
      <c r="S31" s="42" cm="1">
        <f t="array" ref="S31">H31/B31</f>
        <v>4.8571428571428568</v>
      </c>
      <c r="T31" s="41" cm="1">
        <f t="array" ref="T31">M31/H31</f>
        <v>1.3235294117647058</v>
      </c>
      <c r="U31" s="44" cm="1">
        <f t="array" ref="U31">O31/N31</f>
        <v>0.44444444444444442</v>
      </c>
      <c r="V31" s="41" cm="1">
        <f t="array" ref="V31">(I31+K31)/H31</f>
        <v>1.6764705882352942</v>
      </c>
      <c r="W31" s="9"/>
      <c r="X31" s="3"/>
      <c r="Y31" s="67">
        <v>3.29</v>
      </c>
    </row>
    <row r="32" spans="1:25" ht="17.25" customHeight="1">
      <c r="A32" s="8" t="s">
        <v>35</v>
      </c>
      <c r="B32" s="175"/>
      <c r="C32" s="175"/>
      <c r="D32" s="175"/>
      <c r="E32" s="175"/>
      <c r="F32" s="175"/>
      <c r="G32" s="175"/>
      <c r="H32" s="39"/>
      <c r="I32" s="175"/>
      <c r="J32" s="175"/>
      <c r="K32" s="175"/>
      <c r="L32" s="175"/>
      <c r="M32" s="175"/>
      <c r="N32" s="175"/>
      <c r="O32" s="175"/>
      <c r="P32" s="40"/>
      <c r="Q32" s="41"/>
      <c r="R32" s="42"/>
      <c r="S32" s="42"/>
      <c r="T32" s="41"/>
      <c r="U32" s="44"/>
      <c r="V32" s="41"/>
      <c r="W32" s="9"/>
      <c r="X32" s="3"/>
      <c r="Y32" s="3"/>
    </row>
    <row r="33" spans="1:25" ht="17.25" customHeight="1">
      <c r="A33" s="8" t="s">
        <v>36</v>
      </c>
      <c r="B33" s="175"/>
      <c r="C33" s="175"/>
      <c r="D33" s="175"/>
      <c r="E33" s="175"/>
      <c r="F33" s="175"/>
      <c r="G33" s="175"/>
      <c r="H33" s="39"/>
      <c r="I33" s="175"/>
      <c r="J33" s="175"/>
      <c r="K33" s="175"/>
      <c r="L33" s="175"/>
      <c r="M33" s="175"/>
      <c r="N33" s="175"/>
      <c r="O33" s="175"/>
      <c r="P33" s="40"/>
      <c r="Q33" s="41"/>
      <c r="R33" s="42"/>
      <c r="S33" s="42"/>
      <c r="T33" s="41"/>
      <c r="U33" s="44"/>
      <c r="V33" s="41"/>
      <c r="W33" s="9"/>
      <c r="X33" s="3"/>
      <c r="Y33" s="3"/>
    </row>
    <row r="34" spans="1:25" ht="17.25" customHeight="1">
      <c r="A34" s="8" t="s">
        <v>37</v>
      </c>
      <c r="B34" s="10">
        <v>3</v>
      </c>
      <c r="C34" s="10">
        <v>1</v>
      </c>
      <c r="D34" s="10">
        <v>0</v>
      </c>
      <c r="E34" s="10">
        <v>0</v>
      </c>
      <c r="F34" s="10">
        <v>34</v>
      </c>
      <c r="G34" s="10">
        <v>25</v>
      </c>
      <c r="H34" s="39">
        <v>6</v>
      </c>
      <c r="I34" s="10">
        <v>10</v>
      </c>
      <c r="J34" s="10">
        <v>0</v>
      </c>
      <c r="K34" s="10">
        <v>8</v>
      </c>
      <c r="L34" s="10">
        <v>0</v>
      </c>
      <c r="M34" s="10">
        <v>4</v>
      </c>
      <c r="N34" s="10">
        <v>9</v>
      </c>
      <c r="O34" s="10">
        <v>7</v>
      </c>
      <c r="P34" s="40" cm="1">
        <f t="array" ref="P34">O34*9/H34</f>
        <v>10.5</v>
      </c>
      <c r="Q34" s="41" cm="1">
        <f t="array" ref="Q34">(K34+L34)/H34</f>
        <v>1.3333333333333333</v>
      </c>
      <c r="R34" s="42" cm="1">
        <f t="array" ref="R34">I34/H34</f>
        <v>1.6666666666666667</v>
      </c>
      <c r="S34" s="42" cm="1">
        <f t="array" ref="S34">H34/B34</f>
        <v>2</v>
      </c>
      <c r="T34" s="41" cm="1">
        <f t="array" ref="T34">M34/H34</f>
        <v>0.66666666666666663</v>
      </c>
      <c r="U34" s="44" cm="1">
        <f t="array" ref="U34">O34/N34</f>
        <v>0.77777777777777779</v>
      </c>
      <c r="V34" s="41" cm="1">
        <f t="array" ref="V34">(I34+K34)/H34</f>
        <v>3</v>
      </c>
      <c r="W34" s="9"/>
      <c r="X34" s="3"/>
      <c r="Y34" s="3"/>
    </row>
    <row r="35" spans="1:25" ht="17.25" customHeight="1">
      <c r="A35" s="8" t="s">
        <v>40</v>
      </c>
      <c r="B35" s="175"/>
      <c r="C35" s="175"/>
      <c r="D35" s="175"/>
      <c r="E35" s="175"/>
      <c r="F35" s="175"/>
      <c r="G35" s="175"/>
      <c r="H35" s="39"/>
      <c r="I35" s="175"/>
      <c r="J35" s="175"/>
      <c r="K35" s="175"/>
      <c r="L35" s="175"/>
      <c r="M35" s="175"/>
      <c r="N35" s="175"/>
      <c r="O35" s="175"/>
      <c r="P35" s="40"/>
      <c r="Q35" s="41"/>
      <c r="R35" s="42"/>
      <c r="S35" s="42"/>
      <c r="T35" s="41"/>
      <c r="U35" s="44"/>
      <c r="V35" s="41"/>
      <c r="W35" s="9"/>
      <c r="X35" s="3"/>
      <c r="Y35" s="3"/>
    </row>
    <row r="36" spans="1:25" ht="17.25" customHeight="1">
      <c r="A36" s="8" t="s">
        <v>42</v>
      </c>
      <c r="B36" s="175"/>
      <c r="C36" s="175"/>
      <c r="D36" s="175"/>
      <c r="E36" s="175"/>
      <c r="F36" s="175"/>
      <c r="G36" s="175"/>
      <c r="H36" s="39"/>
      <c r="I36" s="175"/>
      <c r="J36" s="175"/>
      <c r="K36" s="175"/>
      <c r="L36" s="175"/>
      <c r="M36" s="175"/>
      <c r="N36" s="175"/>
      <c r="O36" s="175"/>
      <c r="P36" s="40"/>
      <c r="Q36" s="41"/>
      <c r="R36" s="42"/>
      <c r="S36" s="42"/>
      <c r="T36" s="41"/>
      <c r="U36" s="44"/>
      <c r="V36" s="41"/>
      <c r="W36" s="9"/>
      <c r="X36" s="3"/>
      <c r="Y36" s="3"/>
    </row>
    <row r="37" spans="1:25" ht="17.25" customHeight="1">
      <c r="A37" s="8" t="s">
        <v>43</v>
      </c>
      <c r="B37" s="10">
        <v>2</v>
      </c>
      <c r="C37" s="10">
        <v>2</v>
      </c>
      <c r="D37" s="10">
        <v>0</v>
      </c>
      <c r="E37" s="10">
        <v>0</v>
      </c>
      <c r="F37" s="10">
        <v>36</v>
      </c>
      <c r="G37" s="10">
        <v>27</v>
      </c>
      <c r="H37" s="39">
        <v>8</v>
      </c>
      <c r="I37" s="10">
        <v>3</v>
      </c>
      <c r="J37" s="10">
        <v>0</v>
      </c>
      <c r="K37" s="10">
        <v>8</v>
      </c>
      <c r="L37" s="10">
        <v>1</v>
      </c>
      <c r="M37" s="10">
        <v>10</v>
      </c>
      <c r="N37" s="10">
        <v>4</v>
      </c>
      <c r="O37" s="10">
        <v>1</v>
      </c>
      <c r="P37" s="40" cm="1">
        <f t="array" ref="P37">O37*9/H37</f>
        <v>1.125</v>
      </c>
      <c r="Q37" s="41" cm="1">
        <f t="array" ref="Q37">(K37+L37)/H37</f>
        <v>1.125</v>
      </c>
      <c r="R37" s="42" cm="1">
        <f t="array" ref="R37">I37/H37</f>
        <v>0.375</v>
      </c>
      <c r="S37" s="42" cm="1">
        <f t="array" ref="S37">H37/B37</f>
        <v>4</v>
      </c>
      <c r="T37" s="41" cm="1">
        <f t="array" ref="T37">M37/H37</f>
        <v>1.25</v>
      </c>
      <c r="U37" s="44" cm="1">
        <f t="array" ref="U37">O37/N37</f>
        <v>0.25</v>
      </c>
      <c r="V37" s="41" cm="1">
        <f t="array" ref="V37">(I37+K37)/H37</f>
        <v>1.375</v>
      </c>
      <c r="W37" s="9"/>
      <c r="X37" s="3"/>
      <c r="Y37" s="3"/>
    </row>
    <row r="38" spans="1:25" ht="17.25" customHeight="1">
      <c r="A38" s="29" t="s">
        <v>45</v>
      </c>
      <c r="B38" s="103"/>
      <c r="C38" s="49" cm="1">
        <f t="array" ref="C38">SUM(C28:C37)</f>
        <v>8</v>
      </c>
      <c r="D38" s="49" cm="1">
        <f t="array" ref="D38">SUM(D28:D37)</f>
        <v>2</v>
      </c>
      <c r="E38" s="49" cm="1">
        <f t="array" ref="E38">SUM(E28:E37)</f>
        <v>0</v>
      </c>
      <c r="F38" s="49" cm="1">
        <f t="array" ref="F38">SUM(F28:F37)</f>
        <v>241</v>
      </c>
      <c r="G38" s="49" cm="1">
        <f t="array" ref="G38">SUM(G28:G37)</f>
        <v>204</v>
      </c>
      <c r="H38" s="50" cm="1">
        <f t="array" ref="H38">SUM(H28:H37)</f>
        <v>48</v>
      </c>
      <c r="I38" s="49" cm="1">
        <f t="array" ref="I38">SUM(I28:I37)</f>
        <v>49</v>
      </c>
      <c r="J38" s="49" cm="1">
        <f t="array" ref="J38">SUM(J28:J37)</f>
        <v>0</v>
      </c>
      <c r="K38" s="49" cm="1">
        <f t="array" ref="K38">SUM(K28:K37)</f>
        <v>37</v>
      </c>
      <c r="L38" s="49" cm="1">
        <f t="array" ref="L38">SUM(L28:L37)</f>
        <v>6</v>
      </c>
      <c r="M38" s="49" cm="1">
        <f t="array" ref="M38">SUM(M28:M37)</f>
        <v>59</v>
      </c>
      <c r="N38" s="49" cm="1">
        <f t="array" ref="N38">SUM(N28:N37)</f>
        <v>49</v>
      </c>
      <c r="O38" s="49" cm="1">
        <f t="array" ref="O38">SUM(O28:O37)</f>
        <v>24</v>
      </c>
      <c r="P38" s="51" cm="1">
        <f t="array" ref="P38">O38*9/H38</f>
        <v>4.5</v>
      </c>
      <c r="Q38" s="52" cm="1">
        <f t="array" ref="Q38">(K38+L38)/H38</f>
        <v>0.89583333333333337</v>
      </c>
      <c r="R38" s="53" cm="1">
        <f t="array" ref="R38">I38/H38</f>
        <v>1.0208333333333333</v>
      </c>
      <c r="S38" s="53" t="e" cm="1">
        <f t="array" ref="S38">H38/B38</f>
        <v>#DIV/0!</v>
      </c>
      <c r="T38" s="52" cm="1">
        <f t="array" ref="T38">M38/H38</f>
        <v>1.2291666666666667</v>
      </c>
      <c r="U38" s="55" cm="1">
        <f t="array" ref="U38">O38/N38</f>
        <v>0.48979591836734693</v>
      </c>
      <c r="V38" s="52" cm="1">
        <f t="array" ref="V38">(I38+K38+L38)/H38</f>
        <v>1.9166666666666667</v>
      </c>
      <c r="W38" s="9"/>
      <c r="X38" s="3"/>
      <c r="Y38" s="3"/>
    </row>
  </sheetData>
  <phoneticPr fontId="21" type="noConversion"/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Y38"/>
  <sheetViews>
    <sheetView showGridLines="0" workbookViewId="0"/>
  </sheetViews>
  <sheetFormatPr defaultColWidth="9" defaultRowHeight="16.5" customHeight="1"/>
  <cols>
    <col min="1" max="18" width="8.125" style="1" customWidth="1"/>
    <col min="19" max="19" width="10.875" style="1" customWidth="1"/>
    <col min="20" max="20" width="8.125" style="1" customWidth="1"/>
    <col min="21" max="26" width="9" style="1" customWidth="1"/>
    <col min="27" max="16384" width="9" style="1"/>
  </cols>
  <sheetData>
    <row r="1" spans="1:25" ht="26.25" customHeight="1">
      <c r="A1" s="2" t="s">
        <v>161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7.25" customHeight="1">
      <c r="A2" s="5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3"/>
      <c r="Y2" s="3"/>
    </row>
    <row r="3" spans="1:25" ht="34.5" customHeight="1">
      <c r="A3" s="8" t="s">
        <v>101</v>
      </c>
      <c r="B3" s="8" t="s">
        <v>102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10</v>
      </c>
      <c r="J3" s="8" t="s">
        <v>11</v>
      </c>
      <c r="K3" s="8" t="s">
        <v>12</v>
      </c>
      <c r="L3" s="8" t="s">
        <v>13</v>
      </c>
      <c r="M3" s="8" t="s">
        <v>14</v>
      </c>
      <c r="N3" s="8" t="s">
        <v>15</v>
      </c>
      <c r="O3" s="8" t="s">
        <v>16</v>
      </c>
      <c r="P3" s="8" t="s">
        <v>17</v>
      </c>
      <c r="Q3" s="8" t="s">
        <v>18</v>
      </c>
      <c r="R3" s="8" t="s">
        <v>19</v>
      </c>
      <c r="S3" s="8" t="s">
        <v>20</v>
      </c>
      <c r="T3" s="8" t="s">
        <v>21</v>
      </c>
      <c r="U3" s="8" t="s">
        <v>22</v>
      </c>
      <c r="V3" s="8" t="s">
        <v>23</v>
      </c>
      <c r="W3" s="8" t="s">
        <v>114</v>
      </c>
      <c r="X3" s="9"/>
      <c r="Y3" s="3"/>
    </row>
    <row r="4" spans="1:25" ht="17.25" customHeight="1">
      <c r="A4" s="8" t="s">
        <v>24</v>
      </c>
      <c r="B4" s="10">
        <v>5</v>
      </c>
      <c r="C4" s="174" cm="1">
        <f t="array" ref="C4">F4/E4</f>
        <v>9.0909090909090912E-2</v>
      </c>
      <c r="D4" s="10">
        <v>14</v>
      </c>
      <c r="E4" s="10">
        <v>11</v>
      </c>
      <c r="F4" s="10">
        <v>1</v>
      </c>
      <c r="G4" s="10" cm="1">
        <f t="array" ref="G4">F4-(H4+I4+J4)</f>
        <v>1</v>
      </c>
      <c r="H4" s="10">
        <v>0</v>
      </c>
      <c r="I4" s="10">
        <v>0</v>
      </c>
      <c r="J4" s="10">
        <v>0</v>
      </c>
      <c r="K4" s="10">
        <v>3</v>
      </c>
      <c r="L4" s="10">
        <v>1</v>
      </c>
      <c r="M4" s="10">
        <v>3</v>
      </c>
      <c r="N4" s="10">
        <v>3</v>
      </c>
      <c r="O4" s="10">
        <v>5</v>
      </c>
      <c r="P4" s="12" cm="1">
        <f t="array" ref="P4">O4/D4</f>
        <v>0.35714285714285715</v>
      </c>
      <c r="Q4" s="13" cm="1">
        <f t="array" ref="Q4">(G4*1+H4*2+I4*3+J4*4)/E4</f>
        <v>9.0909090909090912E-2</v>
      </c>
      <c r="R4" s="13" cm="1">
        <f t="array" ref="R4">(F4+N4)/D4</f>
        <v>0.2857142857142857</v>
      </c>
      <c r="S4" s="15" cm="1">
        <f t="array" ref="S4">R4+Q4</f>
        <v>0.37662337662337664</v>
      </c>
      <c r="T4" s="128" cm="1">
        <f t="array" ref="T4">O4/(D4-(F4+N4))</f>
        <v>0.5</v>
      </c>
      <c r="U4" s="17" cm="1">
        <f t="array" ref="U4">RANK(R4,$R$4:$R$23)</f>
        <v>15</v>
      </c>
      <c r="V4" s="18" cm="1">
        <f t="array" ref="V4">RANK(S4,$S$4:$S$23)</f>
        <v>16</v>
      </c>
      <c r="W4" s="133"/>
      <c r="X4" s="9"/>
      <c r="Y4" s="75"/>
    </row>
    <row r="5" spans="1:25" ht="17.25" customHeight="1">
      <c r="A5" s="8" t="s">
        <v>25</v>
      </c>
      <c r="B5" s="10">
        <v>5</v>
      </c>
      <c r="C5" s="174" cm="1">
        <f t="array" ref="C5">F5/E5</f>
        <v>0</v>
      </c>
      <c r="D5" s="10">
        <v>9</v>
      </c>
      <c r="E5" s="10">
        <v>6</v>
      </c>
      <c r="F5" s="10">
        <v>0</v>
      </c>
      <c r="G5" s="10" cm="1">
        <f t="array" ref="G5">F5-(H5+I5+J5)</f>
        <v>0</v>
      </c>
      <c r="H5" s="10">
        <v>0</v>
      </c>
      <c r="I5" s="10">
        <v>0</v>
      </c>
      <c r="J5" s="10">
        <v>0</v>
      </c>
      <c r="K5" s="10">
        <v>1</v>
      </c>
      <c r="L5" s="10">
        <v>0</v>
      </c>
      <c r="M5" s="10">
        <v>0</v>
      </c>
      <c r="N5" s="10">
        <v>3</v>
      </c>
      <c r="O5" s="10">
        <v>5</v>
      </c>
      <c r="P5" s="12" cm="1">
        <f t="array" ref="P5">O5/D5</f>
        <v>0.55555555555555558</v>
      </c>
      <c r="Q5" s="13" cm="1">
        <f t="array" ref="Q5">(G5*1+H5*2+I5*3+J5*4)/E5</f>
        <v>0</v>
      </c>
      <c r="R5" s="13" cm="1">
        <f t="array" ref="R5">(F5+N5)/D5</f>
        <v>0.33333333333333331</v>
      </c>
      <c r="S5" s="15" cm="1">
        <f t="array" ref="S5">R5+Q5</f>
        <v>0.33333333333333331</v>
      </c>
      <c r="T5" s="128" cm="1">
        <f t="array" ref="T5">O5/(D5-(F5+N5))</f>
        <v>0.83333333333333337</v>
      </c>
      <c r="U5" s="17" cm="1">
        <f t="array" ref="U5">RANK(R5,$R$4:$R$23)</f>
        <v>13</v>
      </c>
      <c r="V5" s="18" cm="1">
        <f t="array" ref="V5">RANK(S5,$S$4:$S$23)</f>
        <v>17</v>
      </c>
      <c r="W5" s="133"/>
      <c r="X5" s="9"/>
      <c r="Y5" s="75"/>
    </row>
    <row r="6" spans="1:25" ht="17.25" customHeight="1">
      <c r="A6" s="8" t="s">
        <v>26</v>
      </c>
      <c r="B6" s="10">
        <v>5</v>
      </c>
      <c r="C6" s="174" cm="1">
        <f t="array" ref="C6">F6/E6</f>
        <v>0.6</v>
      </c>
      <c r="D6" s="10">
        <v>10</v>
      </c>
      <c r="E6" s="10">
        <v>10</v>
      </c>
      <c r="F6" s="10">
        <v>6</v>
      </c>
      <c r="G6" s="10" cm="1">
        <f t="array" ref="G6">F6-(H6+I6+J6)</f>
        <v>5</v>
      </c>
      <c r="H6" s="10">
        <v>1</v>
      </c>
      <c r="I6" s="10">
        <v>0</v>
      </c>
      <c r="J6" s="10">
        <v>0</v>
      </c>
      <c r="K6" s="10">
        <v>1</v>
      </c>
      <c r="L6" s="10">
        <v>8</v>
      </c>
      <c r="M6" s="10">
        <v>1</v>
      </c>
      <c r="N6" s="10">
        <v>0</v>
      </c>
      <c r="O6" s="10">
        <v>0</v>
      </c>
      <c r="P6" s="12" cm="1">
        <f t="array" ref="P6">O6/D6</f>
        <v>0</v>
      </c>
      <c r="Q6" s="13" cm="1">
        <f t="array" ref="Q6">(G6*1+H6*2+I6*3+J6*4)/E6</f>
        <v>0.7</v>
      </c>
      <c r="R6" s="13" cm="1">
        <f t="array" ref="R6">(F6+N6)/D6</f>
        <v>0.6</v>
      </c>
      <c r="S6" s="15" cm="1">
        <f t="array" ref="S6">R6+Q6</f>
        <v>1.2999999999999998</v>
      </c>
      <c r="T6" s="128"/>
      <c r="U6" s="17" cm="1">
        <f t="array" ref="U6">RANK(R6,$R$4:$R$23)</f>
        <v>5</v>
      </c>
      <c r="V6" s="18" cm="1">
        <f t="array" ref="V6">RANK(S6,$S$4:$S$23)</f>
        <v>4</v>
      </c>
      <c r="W6" s="133"/>
      <c r="X6" s="9"/>
      <c r="Y6" s="75"/>
    </row>
    <row r="7" spans="1:25" ht="17.25" customHeight="1">
      <c r="A7" s="8" t="s">
        <v>27</v>
      </c>
      <c r="B7" s="10">
        <v>1</v>
      </c>
      <c r="C7" s="174" cm="1">
        <f t="array" ref="C7">F7/E7</f>
        <v>0</v>
      </c>
      <c r="D7" s="10">
        <v>1</v>
      </c>
      <c r="E7" s="10">
        <v>1</v>
      </c>
      <c r="F7" s="10">
        <v>0</v>
      </c>
      <c r="G7" s="10" cm="1">
        <f t="array" ref="G7">F7-(H7+I7+J7)</f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1</v>
      </c>
      <c r="P7" s="127"/>
      <c r="Q7" s="13"/>
      <c r="R7" s="13"/>
      <c r="S7" s="15"/>
      <c r="T7" s="128"/>
      <c r="U7" s="134"/>
      <c r="V7" s="135"/>
      <c r="W7" s="133"/>
      <c r="X7" s="9"/>
      <c r="Y7" s="75"/>
    </row>
    <row r="8" spans="1:25" ht="17.25" customHeight="1">
      <c r="A8" s="8" t="s">
        <v>28</v>
      </c>
      <c r="B8" s="10">
        <v>7</v>
      </c>
      <c r="C8" s="174" cm="1">
        <f t="array" ref="C8">F8/E8</f>
        <v>0.5</v>
      </c>
      <c r="D8" s="10">
        <v>20</v>
      </c>
      <c r="E8" s="10">
        <v>14</v>
      </c>
      <c r="F8" s="10">
        <v>7</v>
      </c>
      <c r="G8" s="10" cm="1">
        <f t="array" ref="G8">F8-(H8+I8+J8)</f>
        <v>4</v>
      </c>
      <c r="H8" s="10">
        <v>2</v>
      </c>
      <c r="I8" s="10">
        <v>0</v>
      </c>
      <c r="J8" s="10">
        <v>1</v>
      </c>
      <c r="K8" s="10">
        <v>9</v>
      </c>
      <c r="L8" s="10">
        <v>7</v>
      </c>
      <c r="M8" s="10">
        <v>2</v>
      </c>
      <c r="N8" s="10">
        <v>6</v>
      </c>
      <c r="O8" s="10">
        <v>2</v>
      </c>
      <c r="P8" s="12" cm="1">
        <f t="array" ref="P8">O8/D8</f>
        <v>0.1</v>
      </c>
      <c r="Q8" s="13" cm="1">
        <f t="array" ref="Q8">(G8*1+H8*2+I8*3+J8*4)/E8</f>
        <v>0.8571428571428571</v>
      </c>
      <c r="R8" s="13" cm="1">
        <f t="array" ref="R8">(F8+N8)/D8</f>
        <v>0.65</v>
      </c>
      <c r="S8" s="15" cm="1">
        <f t="array" ref="S8">R8+Q8</f>
        <v>1.5071428571428571</v>
      </c>
      <c r="T8" s="128" cm="1">
        <f t="array" ref="T8">O8/(D8-(F8+N8))</f>
        <v>0.2857142857142857</v>
      </c>
      <c r="U8" s="17" cm="1">
        <f t="array" ref="U8">RANK(R8,$R$4:$R$23)</f>
        <v>4</v>
      </c>
      <c r="V8" s="18" cm="1">
        <f t="array" ref="V8">RANK(S8,$S$4:$S$23)</f>
        <v>1</v>
      </c>
      <c r="W8" s="48">
        <v>1</v>
      </c>
      <c r="X8" s="9"/>
      <c r="Y8" s="75"/>
    </row>
    <row r="9" spans="1:25" ht="17.25" customHeight="1">
      <c r="A9" s="8" t="s">
        <v>29</v>
      </c>
      <c r="B9" s="10">
        <v>2</v>
      </c>
      <c r="C9" s="174" cm="1">
        <f t="array" ref="C9">F9/E9</f>
        <v>0.25</v>
      </c>
      <c r="D9" s="10">
        <v>5</v>
      </c>
      <c r="E9" s="10">
        <v>4</v>
      </c>
      <c r="F9" s="10">
        <v>1</v>
      </c>
      <c r="G9" s="10" cm="1">
        <f t="array" ref="G9">F9-(H9+I9+J9)</f>
        <v>1</v>
      </c>
      <c r="H9" s="10">
        <v>0</v>
      </c>
      <c r="I9" s="10">
        <v>0</v>
      </c>
      <c r="J9" s="10">
        <v>0</v>
      </c>
      <c r="K9" s="10">
        <v>2</v>
      </c>
      <c r="L9" s="10">
        <v>1</v>
      </c>
      <c r="M9" s="10">
        <v>1</v>
      </c>
      <c r="N9" s="10">
        <v>1</v>
      </c>
      <c r="O9" s="10">
        <v>0</v>
      </c>
      <c r="P9" s="127" cm="1">
        <f t="array" ref="P9">O9/D9</f>
        <v>0</v>
      </c>
      <c r="Q9" s="13" cm="1">
        <f t="array" ref="Q9">(G9*1+H9*2+I9*3+J9*4)/E9</f>
        <v>0.25</v>
      </c>
      <c r="R9" s="13" cm="1">
        <f t="array" ref="R9">(F9+N9)/D9</f>
        <v>0.4</v>
      </c>
      <c r="S9" s="15" cm="1">
        <f t="array" ref="S9">R9+Q9</f>
        <v>0.65</v>
      </c>
      <c r="T9" s="128"/>
      <c r="U9" s="17" cm="1">
        <f t="array" ref="U9">RANK(R9,$R$4:$R$23)</f>
        <v>10</v>
      </c>
      <c r="V9" s="18" cm="1">
        <f t="array" ref="V9">RANK(S9,$S$4:$S$23)</f>
        <v>14</v>
      </c>
      <c r="W9" s="133"/>
      <c r="X9" s="9"/>
      <c r="Y9" s="75"/>
    </row>
    <row r="10" spans="1:25" ht="17.25" customHeight="1">
      <c r="A10" s="8" t="s">
        <v>30</v>
      </c>
      <c r="B10" s="10">
        <v>6</v>
      </c>
      <c r="C10" s="174" cm="1">
        <f t="array" ref="C10">F10/E10</f>
        <v>0.5</v>
      </c>
      <c r="D10" s="10">
        <v>12</v>
      </c>
      <c r="E10" s="10">
        <v>10</v>
      </c>
      <c r="F10" s="10">
        <v>5</v>
      </c>
      <c r="G10" s="10" cm="1">
        <f t="array" ref="G10">F10-(H10+I10+J10)</f>
        <v>4</v>
      </c>
      <c r="H10" s="10">
        <v>1</v>
      </c>
      <c r="I10" s="10">
        <v>0</v>
      </c>
      <c r="J10" s="10">
        <v>0</v>
      </c>
      <c r="K10" s="10">
        <v>3</v>
      </c>
      <c r="L10" s="10">
        <v>3</v>
      </c>
      <c r="M10" s="10">
        <v>10</v>
      </c>
      <c r="N10" s="10">
        <v>2</v>
      </c>
      <c r="O10" s="10">
        <v>2</v>
      </c>
      <c r="P10" s="12" cm="1">
        <f t="array" ref="P10">O10/D10</f>
        <v>0.16666666666666666</v>
      </c>
      <c r="Q10" s="13" cm="1">
        <f t="array" ref="Q10">(G10*1+H10*2+I10*3+J10*4)/E10</f>
        <v>0.6</v>
      </c>
      <c r="R10" s="13" cm="1">
        <f t="array" ref="R10">(F10+N10)/D10</f>
        <v>0.58333333333333337</v>
      </c>
      <c r="S10" s="15" cm="1">
        <f t="array" ref="S10">R10+Q10</f>
        <v>1.1833333333333333</v>
      </c>
      <c r="T10" s="128"/>
      <c r="U10" s="17" cm="1">
        <f t="array" ref="U10">RANK(R10,$R$4:$R$23)</f>
        <v>6</v>
      </c>
      <c r="V10" s="18" cm="1">
        <f t="array" ref="V10">RANK(S10,$S$4:$S$23)</f>
        <v>6</v>
      </c>
      <c r="W10" s="133"/>
      <c r="X10" s="9"/>
      <c r="Y10" s="75"/>
    </row>
    <row r="11" spans="1:25" ht="17.25" customHeight="1">
      <c r="A11" s="8" t="s">
        <v>31</v>
      </c>
      <c r="B11" s="10">
        <v>5</v>
      </c>
      <c r="C11" s="174" cm="1">
        <f t="array" ref="C11">F11/E11</f>
        <v>0.3</v>
      </c>
      <c r="D11" s="10">
        <v>11</v>
      </c>
      <c r="E11" s="10">
        <v>10</v>
      </c>
      <c r="F11" s="10">
        <v>3</v>
      </c>
      <c r="G11" s="10" cm="1">
        <f t="array" ref="G11">F11-(H11+I11+J11)</f>
        <v>2</v>
      </c>
      <c r="H11" s="10">
        <v>1</v>
      </c>
      <c r="I11" s="10">
        <v>0</v>
      </c>
      <c r="J11" s="10">
        <v>0</v>
      </c>
      <c r="K11" s="10">
        <v>2</v>
      </c>
      <c r="L11" s="10">
        <v>1</v>
      </c>
      <c r="M11" s="10">
        <v>5</v>
      </c>
      <c r="N11" s="10">
        <v>1</v>
      </c>
      <c r="O11" s="10">
        <v>2</v>
      </c>
      <c r="P11" s="12" cm="1">
        <f t="array" ref="P11">O11/D11</f>
        <v>0.18181818181818182</v>
      </c>
      <c r="Q11" s="13" cm="1">
        <f t="array" ref="Q11">(G11*1+H11*2+I11*3+J11*4)/E11</f>
        <v>0.4</v>
      </c>
      <c r="R11" s="13" cm="1">
        <f t="array" ref="R11">(F11+N11)/D11</f>
        <v>0.36363636363636365</v>
      </c>
      <c r="S11" s="15" cm="1">
        <f t="array" ref="S11">R11+Q11</f>
        <v>0.76363636363636367</v>
      </c>
      <c r="T11" s="128" cm="1">
        <f t="array" ref="T11">O11/(D11-(F11+N11))</f>
        <v>0.2857142857142857</v>
      </c>
      <c r="U11" s="17" cm="1">
        <f t="array" ref="U11">RANK(R11,$R$4:$R$23)</f>
        <v>12</v>
      </c>
      <c r="V11" s="18" cm="1">
        <f t="array" ref="V11">RANK(S11,$S$4:$S$23)</f>
        <v>11</v>
      </c>
      <c r="W11" s="133"/>
      <c r="X11" s="9"/>
      <c r="Y11" s="75"/>
    </row>
    <row r="12" spans="1:25" ht="17.25" customHeight="1">
      <c r="A12" s="8" t="s">
        <v>32</v>
      </c>
      <c r="B12" s="10">
        <v>3</v>
      </c>
      <c r="C12" s="174" cm="1">
        <f t="array" ref="C12">F12/E12</f>
        <v>0.2857142857142857</v>
      </c>
      <c r="D12" s="10">
        <v>8</v>
      </c>
      <c r="E12" s="10">
        <v>7</v>
      </c>
      <c r="F12" s="10">
        <v>2</v>
      </c>
      <c r="G12" s="10" cm="1">
        <f t="array" ref="G12">F12-(H12+I12+J12)</f>
        <v>2</v>
      </c>
      <c r="H12" s="10">
        <v>0</v>
      </c>
      <c r="I12" s="10">
        <v>0</v>
      </c>
      <c r="J12" s="10">
        <v>0</v>
      </c>
      <c r="K12" s="10">
        <v>4</v>
      </c>
      <c r="L12" s="10">
        <v>3</v>
      </c>
      <c r="M12" s="10">
        <v>2</v>
      </c>
      <c r="N12" s="10">
        <v>0</v>
      </c>
      <c r="O12" s="10">
        <v>0</v>
      </c>
      <c r="P12" s="12" cm="1">
        <f t="array" ref="P12">O12/D12</f>
        <v>0</v>
      </c>
      <c r="Q12" s="13" cm="1">
        <f t="array" ref="Q12">(G12*1+H12*2+I12*3+J12*4)/E12</f>
        <v>0.2857142857142857</v>
      </c>
      <c r="R12" s="13" cm="1">
        <f t="array" ref="R12">(F12+N12)/D12</f>
        <v>0.25</v>
      </c>
      <c r="S12" s="15" cm="1">
        <f t="array" ref="S12">R12+Q12</f>
        <v>0.5357142857142857</v>
      </c>
      <c r="T12" s="128" cm="1">
        <f t="array" ref="T12">O12/(D12-(F12+N12))</f>
        <v>0</v>
      </c>
      <c r="U12" s="17" cm="1">
        <f t="array" ref="U12">RANK(R12,$R$4:$R$23)</f>
        <v>16</v>
      </c>
      <c r="V12" s="18" cm="1">
        <f t="array" ref="V12">RANK(S12,$S$4:$S$23)</f>
        <v>15</v>
      </c>
      <c r="W12" s="133"/>
      <c r="X12" s="9"/>
      <c r="Y12" s="75"/>
    </row>
    <row r="13" spans="1:25" ht="17.25" customHeight="1">
      <c r="A13" s="8" t="s">
        <v>33</v>
      </c>
      <c r="B13" s="10">
        <v>1</v>
      </c>
      <c r="C13" s="174" cm="1">
        <f t="array" ref="C13">F13/E13</f>
        <v>0</v>
      </c>
      <c r="D13" s="10">
        <v>2</v>
      </c>
      <c r="E13" s="10">
        <v>2</v>
      </c>
      <c r="F13" s="10">
        <v>0</v>
      </c>
      <c r="G13" s="10" cm="1">
        <f t="array" ref="G13">F13-(H13+I13+J13)</f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0">
        <v>0</v>
      </c>
      <c r="P13" s="127" cm="1">
        <f t="array" ref="P13">O13/D13</f>
        <v>0</v>
      </c>
      <c r="Q13" s="13" cm="1">
        <f t="array" ref="Q13">(G13*1+H13*2+I13*3+J13*4)/E13</f>
        <v>0</v>
      </c>
      <c r="R13" s="13" cm="1">
        <f t="array" ref="R13">(F13+N13)/D13</f>
        <v>0</v>
      </c>
      <c r="S13" s="15" cm="1">
        <f t="array" ref="S13">R13+Q13</f>
        <v>0</v>
      </c>
      <c r="T13" s="128"/>
      <c r="U13" s="17" cm="1">
        <f t="array" ref="U13">RANK(R13,$R$4:$R$23)</f>
        <v>19</v>
      </c>
      <c r="V13" s="18" cm="1">
        <f t="array" ref="V13">RANK(S13,$S$4:$S$23)</f>
        <v>19</v>
      </c>
      <c r="W13" s="133"/>
      <c r="X13" s="9"/>
      <c r="Y13" s="75"/>
    </row>
    <row r="14" spans="1:25" ht="17.25" customHeight="1">
      <c r="A14" s="8" t="s">
        <v>35</v>
      </c>
      <c r="B14" s="10">
        <v>7</v>
      </c>
      <c r="C14" s="174" cm="1">
        <f t="array" ref="C14">F14/E14</f>
        <v>0.33333333333333331</v>
      </c>
      <c r="D14" s="10">
        <v>19</v>
      </c>
      <c r="E14" s="10">
        <v>15</v>
      </c>
      <c r="F14" s="10">
        <v>5</v>
      </c>
      <c r="G14" s="10" cm="1">
        <f t="array" ref="G14">F14-(H14+I14+J14)</f>
        <v>4</v>
      </c>
      <c r="H14" s="10">
        <v>1</v>
      </c>
      <c r="I14" s="10">
        <v>0</v>
      </c>
      <c r="J14" s="10">
        <v>0</v>
      </c>
      <c r="K14" s="10">
        <v>7</v>
      </c>
      <c r="L14" s="10">
        <v>3</v>
      </c>
      <c r="M14" s="10">
        <v>6</v>
      </c>
      <c r="N14" s="10">
        <v>3</v>
      </c>
      <c r="O14" s="10">
        <v>7</v>
      </c>
      <c r="P14" s="12" cm="1">
        <f t="array" ref="P14">O14/D14</f>
        <v>0.36842105263157893</v>
      </c>
      <c r="Q14" s="13" cm="1">
        <f t="array" ref="Q14">(G14*1+H14*2+I14*3+J14*4)/E14</f>
        <v>0.4</v>
      </c>
      <c r="R14" s="13" cm="1">
        <f t="array" ref="R14">(F14+N14)/D14</f>
        <v>0.42105263157894735</v>
      </c>
      <c r="S14" s="15" cm="1">
        <f t="array" ref="S14">R14+Q14</f>
        <v>0.82105263157894737</v>
      </c>
      <c r="T14" s="128" cm="1">
        <f t="array" ref="T14">O14/(D14-(F14+N14))</f>
        <v>0.63636363636363635</v>
      </c>
      <c r="U14" s="17" cm="1">
        <f t="array" ref="U14">RANK(R14,$R$4:$R$23)</f>
        <v>9</v>
      </c>
      <c r="V14" s="18" cm="1">
        <f t="array" ref="V14">RANK(S14,$S$4:$S$23)</f>
        <v>9</v>
      </c>
      <c r="W14" s="133"/>
      <c r="X14" s="9"/>
      <c r="Y14" s="75"/>
    </row>
    <row r="15" spans="1:25" ht="17.25" customHeight="1">
      <c r="A15" s="8" t="s">
        <v>36</v>
      </c>
      <c r="B15" s="10">
        <v>4</v>
      </c>
      <c r="C15" s="174" cm="1">
        <f t="array" ref="C15">F15/E15</f>
        <v>0.2857142857142857</v>
      </c>
      <c r="D15" s="10">
        <v>8</v>
      </c>
      <c r="E15" s="10">
        <v>7</v>
      </c>
      <c r="F15" s="10">
        <v>2</v>
      </c>
      <c r="G15" s="10" cm="1">
        <f t="array" ref="G15">F15-(H15+I15+J15)</f>
        <v>1</v>
      </c>
      <c r="H15" s="10">
        <v>1</v>
      </c>
      <c r="I15" s="10">
        <v>0</v>
      </c>
      <c r="J15" s="10">
        <v>0</v>
      </c>
      <c r="K15" s="10">
        <v>3</v>
      </c>
      <c r="L15" s="10">
        <v>2</v>
      </c>
      <c r="M15" s="10">
        <v>1</v>
      </c>
      <c r="N15" s="10">
        <v>0</v>
      </c>
      <c r="O15" s="10">
        <v>2</v>
      </c>
      <c r="P15" s="12" cm="1">
        <f t="array" ref="P15">O15/D15</f>
        <v>0.25</v>
      </c>
      <c r="Q15" s="13" cm="1">
        <f t="array" ref="Q15">(G15*1+H15*2+I15*3+J15*4)/E15</f>
        <v>0.42857142857142855</v>
      </c>
      <c r="R15" s="13" cm="1">
        <f t="array" ref="R15">(F15+N15)/D15</f>
        <v>0.25</v>
      </c>
      <c r="S15" s="15" cm="1">
        <f t="array" ref="S15">R15+Q15</f>
        <v>0.6785714285714286</v>
      </c>
      <c r="T15" s="128" cm="1">
        <f t="array" ref="T15">O15/(D15-(F15+N15))</f>
        <v>0.33333333333333331</v>
      </c>
      <c r="U15" s="17" cm="1">
        <f t="array" ref="U15">RANK(R15,$R$4:$R$23)</f>
        <v>16</v>
      </c>
      <c r="V15" s="18" cm="1">
        <f t="array" ref="V15">RANK(S15,$S$4:$S$23)</f>
        <v>12</v>
      </c>
      <c r="W15" s="133"/>
      <c r="X15" s="9"/>
      <c r="Y15" s="75"/>
    </row>
    <row r="16" spans="1:25" ht="17.25" customHeight="1">
      <c r="A16" s="8" t="s">
        <v>37</v>
      </c>
      <c r="B16" s="10">
        <v>5</v>
      </c>
      <c r="C16" s="174" cm="1">
        <f t="array" ref="C16">F16/E16</f>
        <v>0.625</v>
      </c>
      <c r="D16" s="10">
        <v>11</v>
      </c>
      <c r="E16" s="10">
        <v>8</v>
      </c>
      <c r="F16" s="10">
        <v>5</v>
      </c>
      <c r="G16" s="10" cm="1">
        <f t="array" ref="G16">F16-(H16+I16+J16)</f>
        <v>5</v>
      </c>
      <c r="H16" s="10">
        <v>0</v>
      </c>
      <c r="I16" s="10">
        <v>0</v>
      </c>
      <c r="J16" s="10">
        <v>0</v>
      </c>
      <c r="K16" s="10">
        <v>3</v>
      </c>
      <c r="L16" s="10">
        <v>1</v>
      </c>
      <c r="M16" s="10">
        <v>5</v>
      </c>
      <c r="N16" s="10">
        <v>3</v>
      </c>
      <c r="O16" s="10">
        <v>1</v>
      </c>
      <c r="P16" s="12" cm="1">
        <f t="array" ref="P16">O16/D16</f>
        <v>9.0909090909090912E-2</v>
      </c>
      <c r="Q16" s="13" cm="1">
        <f t="array" ref="Q16">(G16*1+H16*2+I16*3+J16*4)/E16</f>
        <v>0.625</v>
      </c>
      <c r="R16" s="13" cm="1">
        <f t="array" ref="R16">(F16+N16)/D16</f>
        <v>0.72727272727272729</v>
      </c>
      <c r="S16" s="15" cm="1">
        <f t="array" ref="S16">R16+Q16</f>
        <v>1.3522727272727273</v>
      </c>
      <c r="T16" s="128"/>
      <c r="U16" s="17" cm="1">
        <f t="array" ref="U16">RANK(R16,$R$4:$R$23)</f>
        <v>2</v>
      </c>
      <c r="V16" s="18" cm="1">
        <f t="array" ref="V16">RANK(S16,$S$4:$S$23)</f>
        <v>3</v>
      </c>
      <c r="W16" s="133"/>
      <c r="X16" s="9"/>
      <c r="Y16" s="75"/>
    </row>
    <row r="17" spans="1:25" ht="17.25" customHeight="1">
      <c r="A17" s="8" t="s">
        <v>38</v>
      </c>
      <c r="B17" s="10">
        <v>7</v>
      </c>
      <c r="C17" s="174" cm="1">
        <f t="array" ref="C17">F17/E17</f>
        <v>0.41176470588235292</v>
      </c>
      <c r="D17" s="10">
        <v>18</v>
      </c>
      <c r="E17" s="10">
        <v>17</v>
      </c>
      <c r="F17" s="10">
        <v>7</v>
      </c>
      <c r="G17" s="10" cm="1">
        <f t="array" ref="G17">F17-(H17+I17+J17)</f>
        <v>5</v>
      </c>
      <c r="H17" s="10">
        <v>2</v>
      </c>
      <c r="I17" s="10">
        <v>0</v>
      </c>
      <c r="J17" s="10">
        <v>0</v>
      </c>
      <c r="K17" s="10">
        <v>6</v>
      </c>
      <c r="L17" s="10">
        <v>6</v>
      </c>
      <c r="M17" s="10">
        <v>3</v>
      </c>
      <c r="N17" s="10">
        <v>1</v>
      </c>
      <c r="O17" s="10">
        <v>3</v>
      </c>
      <c r="P17" s="12" cm="1">
        <f t="array" ref="P17">O17/D17</f>
        <v>0.16666666666666666</v>
      </c>
      <c r="Q17" s="13" cm="1">
        <f t="array" ref="Q17">(G17*1+H17*2+I17*3+J17*4)/E17</f>
        <v>0.52941176470588236</v>
      </c>
      <c r="R17" s="13" cm="1">
        <f t="array" ref="R17">(F17+N17)/D17</f>
        <v>0.44444444444444442</v>
      </c>
      <c r="S17" s="15" cm="1">
        <f t="array" ref="S17">R17+Q17</f>
        <v>0.97385620915032678</v>
      </c>
      <c r="T17" s="128" cm="1">
        <f t="array" ref="T17">O17/(D17-(F17+N17))</f>
        <v>0.3</v>
      </c>
      <c r="U17" s="17" cm="1">
        <f t="array" ref="U17">RANK(R17,$R$4:$R$23)</f>
        <v>8</v>
      </c>
      <c r="V17" s="18" cm="1">
        <f t="array" ref="V17">RANK(S17,$S$4:$S$23)</f>
        <v>7</v>
      </c>
      <c r="W17" s="48">
        <v>1</v>
      </c>
      <c r="X17" s="9"/>
      <c r="Y17" s="75"/>
    </row>
    <row r="18" spans="1:25" ht="17.25" customHeight="1">
      <c r="A18" s="8" t="s">
        <v>39</v>
      </c>
      <c r="B18" s="10">
        <v>3</v>
      </c>
      <c r="C18" s="174" cm="1">
        <f t="array" ref="C18">F18/E18</f>
        <v>0.4</v>
      </c>
      <c r="D18" s="10">
        <v>6</v>
      </c>
      <c r="E18" s="10">
        <v>5</v>
      </c>
      <c r="F18" s="10">
        <v>2</v>
      </c>
      <c r="G18" s="10" cm="1">
        <f t="array" ref="G18">F18-(H18+I18+J18)</f>
        <v>1</v>
      </c>
      <c r="H18" s="10">
        <v>0</v>
      </c>
      <c r="I18" s="10">
        <v>0</v>
      </c>
      <c r="J18" s="10">
        <v>1</v>
      </c>
      <c r="K18" s="10">
        <v>3</v>
      </c>
      <c r="L18" s="10">
        <v>3</v>
      </c>
      <c r="M18" s="10">
        <v>0</v>
      </c>
      <c r="N18" s="10">
        <v>1</v>
      </c>
      <c r="O18" s="10">
        <v>1</v>
      </c>
      <c r="P18" s="12" cm="1">
        <f t="array" ref="P18">O18/D18</f>
        <v>0.16666666666666666</v>
      </c>
      <c r="Q18" s="13" cm="1">
        <f t="array" ref="Q18">(G18*1+H18*2+I18*3+J18*4)/E18</f>
        <v>1</v>
      </c>
      <c r="R18" s="13" cm="1">
        <f t="array" ref="R18">(F18+N18)/D18</f>
        <v>0.5</v>
      </c>
      <c r="S18" s="15" cm="1">
        <f t="array" ref="S18">R18+Q18</f>
        <v>1.5</v>
      </c>
      <c r="T18" s="128" cm="1">
        <f t="array" ref="T18">O18/(D18-(F18+N18))</f>
        <v>0.33333333333333331</v>
      </c>
      <c r="U18" s="17" cm="1">
        <f t="array" ref="U18">RANK(R18,$R$4:$R$23)</f>
        <v>7</v>
      </c>
      <c r="V18" s="18" cm="1">
        <f t="array" ref="V18">RANK(S18,$S$4:$S$23)</f>
        <v>2</v>
      </c>
      <c r="W18" s="48">
        <v>1</v>
      </c>
      <c r="X18" s="9"/>
      <c r="Y18" s="75"/>
    </row>
    <row r="19" spans="1:25" ht="17.25" customHeight="1">
      <c r="A19" s="8" t="s">
        <v>40</v>
      </c>
      <c r="B19" s="10">
        <v>3</v>
      </c>
      <c r="C19" s="174" cm="1">
        <f t="array" ref="C19">F19/E19</f>
        <v>0</v>
      </c>
      <c r="D19" s="10">
        <v>4</v>
      </c>
      <c r="E19" s="10">
        <v>3</v>
      </c>
      <c r="F19" s="10">
        <v>0</v>
      </c>
      <c r="G19" s="10" cm="1">
        <f t="array" ref="G19">F19-(H19+I19+J19)</f>
        <v>0</v>
      </c>
      <c r="H19" s="10">
        <v>0</v>
      </c>
      <c r="I19" s="10">
        <v>0</v>
      </c>
      <c r="J19" s="10">
        <v>0</v>
      </c>
      <c r="K19" s="10">
        <v>1</v>
      </c>
      <c r="L19" s="10">
        <v>0</v>
      </c>
      <c r="M19" s="10">
        <v>0</v>
      </c>
      <c r="N19" s="10">
        <v>1</v>
      </c>
      <c r="O19" s="10">
        <v>0</v>
      </c>
      <c r="P19" s="12" cm="1">
        <f t="array" ref="P19">O19/D19</f>
        <v>0</v>
      </c>
      <c r="Q19" s="13" cm="1">
        <f t="array" ref="Q19">(G19*1+H19*2+I19*3+J19*4)/E19</f>
        <v>0</v>
      </c>
      <c r="R19" s="13" cm="1">
        <f t="array" ref="R19">(F19+N19)/D19</f>
        <v>0.25</v>
      </c>
      <c r="S19" s="15" cm="1">
        <f t="array" ref="S19">R19+Q19</f>
        <v>0.25</v>
      </c>
      <c r="T19" s="128" cm="1">
        <f t="array" ref="T19">O19/(D19-(F19+N19))</f>
        <v>0</v>
      </c>
      <c r="U19" s="17" cm="1">
        <f t="array" ref="U19">RANK(R19,$R$4:$R$23)</f>
        <v>16</v>
      </c>
      <c r="V19" s="18" cm="1">
        <f t="array" ref="V19">RANK(S19,$S$4:$S$23)</f>
        <v>18</v>
      </c>
      <c r="W19" s="133"/>
      <c r="X19" s="9"/>
      <c r="Y19" s="75"/>
    </row>
    <row r="20" spans="1:25" ht="17.25" customHeight="1">
      <c r="A20" s="8" t="s">
        <v>41</v>
      </c>
      <c r="B20" s="10">
        <v>3</v>
      </c>
      <c r="C20" s="174" cm="1">
        <f t="array" ref="C20">F20/E20</f>
        <v>0.75</v>
      </c>
      <c r="D20" s="10">
        <v>5</v>
      </c>
      <c r="E20" s="10">
        <v>4</v>
      </c>
      <c r="F20" s="10">
        <v>3</v>
      </c>
      <c r="G20" s="10" cm="1">
        <f t="array" ref="G20">F20-(H20+I20+J20)</f>
        <v>3</v>
      </c>
      <c r="H20" s="10">
        <v>0</v>
      </c>
      <c r="I20" s="10">
        <v>0</v>
      </c>
      <c r="J20" s="10">
        <v>0</v>
      </c>
      <c r="K20" s="10">
        <v>2</v>
      </c>
      <c r="L20" s="10">
        <v>0</v>
      </c>
      <c r="M20" s="10">
        <v>0</v>
      </c>
      <c r="N20" s="10">
        <v>1</v>
      </c>
      <c r="O20" s="10">
        <v>0</v>
      </c>
      <c r="P20" s="12" cm="1">
        <f t="array" ref="P20">O20/D20</f>
        <v>0</v>
      </c>
      <c r="Q20" s="13"/>
      <c r="R20" s="13" cm="1">
        <f t="array" ref="R20">(F20+N20)/D20</f>
        <v>0.8</v>
      </c>
      <c r="S20" s="15" cm="1">
        <f t="array" ref="S20">R20+Q20</f>
        <v>0.8</v>
      </c>
      <c r="T20" s="128"/>
      <c r="U20" s="17" cm="1">
        <f t="array" ref="U20">RANK(R20,$R$4:$R$23)</f>
        <v>1</v>
      </c>
      <c r="V20" s="18" cm="1">
        <f t="array" ref="V20">RANK(S20,$S$4:$S$23)</f>
        <v>10</v>
      </c>
      <c r="W20" s="48">
        <v>1</v>
      </c>
      <c r="X20" s="9"/>
      <c r="Y20" s="75"/>
    </row>
    <row r="21" spans="1:25" ht="17.25" customHeight="1">
      <c r="A21" s="8" t="s">
        <v>42</v>
      </c>
      <c r="B21" s="10">
        <v>5</v>
      </c>
      <c r="C21" s="174" cm="1">
        <f t="array" ref="C21">F21/E21</f>
        <v>0.5714285714285714</v>
      </c>
      <c r="D21" s="10">
        <v>13</v>
      </c>
      <c r="E21" s="10">
        <v>7</v>
      </c>
      <c r="F21" s="10">
        <v>4</v>
      </c>
      <c r="G21" s="10" cm="1">
        <f t="array" ref="G21">F21-(H21+I21+J21)</f>
        <v>4</v>
      </c>
      <c r="H21" s="10">
        <v>0</v>
      </c>
      <c r="I21" s="10">
        <v>0</v>
      </c>
      <c r="J21" s="10">
        <v>0</v>
      </c>
      <c r="K21" s="10">
        <v>3</v>
      </c>
      <c r="L21" s="10">
        <v>7</v>
      </c>
      <c r="M21" s="10">
        <v>3</v>
      </c>
      <c r="N21" s="10">
        <v>5</v>
      </c>
      <c r="O21" s="10">
        <v>1</v>
      </c>
      <c r="P21" s="12" cm="1">
        <f t="array" ref="P21">O21/D21</f>
        <v>7.6923076923076927E-2</v>
      </c>
      <c r="Q21" s="13" cm="1">
        <f t="array" ref="Q21">(G21*1+H21*2+I21*3+J21*4)/E21</f>
        <v>0.5714285714285714</v>
      </c>
      <c r="R21" s="13" cm="1">
        <f t="array" ref="R21">(F21+N21)/D21</f>
        <v>0.69230769230769229</v>
      </c>
      <c r="S21" s="15" cm="1">
        <f t="array" ref="S21">R21+Q21</f>
        <v>1.2637362637362637</v>
      </c>
      <c r="T21" s="128"/>
      <c r="U21" s="17" cm="1">
        <f t="array" ref="U21">RANK(R21,$R$4:$R$23)</f>
        <v>3</v>
      </c>
      <c r="V21" s="18" cm="1">
        <f t="array" ref="V21">RANK(S21,$S$4:$S$23)</f>
        <v>5</v>
      </c>
      <c r="W21" s="48">
        <v>2</v>
      </c>
      <c r="X21" s="9"/>
      <c r="Y21" s="75"/>
    </row>
    <row r="22" spans="1:25" ht="17.25" customHeight="1">
      <c r="A22" s="8" t="s">
        <v>43</v>
      </c>
      <c r="B22" s="10">
        <v>4</v>
      </c>
      <c r="C22" s="174" cm="1">
        <f t="array" ref="C22">F22/E22</f>
        <v>0.375</v>
      </c>
      <c r="D22" s="10">
        <v>10</v>
      </c>
      <c r="E22" s="10">
        <v>8</v>
      </c>
      <c r="F22" s="10">
        <v>3</v>
      </c>
      <c r="G22" s="10" cm="1">
        <f t="array" ref="G22">F22-(H22+I22+J22)</f>
        <v>2</v>
      </c>
      <c r="H22" s="10">
        <v>1</v>
      </c>
      <c r="I22" s="10">
        <v>0</v>
      </c>
      <c r="J22" s="10">
        <v>0</v>
      </c>
      <c r="K22" s="10">
        <v>3</v>
      </c>
      <c r="L22" s="10">
        <v>4</v>
      </c>
      <c r="M22" s="10">
        <v>2</v>
      </c>
      <c r="N22" s="10">
        <v>1</v>
      </c>
      <c r="O22" s="10">
        <v>2</v>
      </c>
      <c r="P22" s="12" cm="1">
        <f t="array" ref="P22">O22/D22</f>
        <v>0.2</v>
      </c>
      <c r="Q22" s="13" cm="1">
        <f t="array" ref="Q22">(G22*1+H22*2+I22*3+J22*4)/E22</f>
        <v>0.5</v>
      </c>
      <c r="R22" s="13" cm="1">
        <f t="array" ref="R22">(F22+N22)/D22</f>
        <v>0.4</v>
      </c>
      <c r="S22" s="15" cm="1">
        <f t="array" ref="S22">R22+Q22</f>
        <v>0.9</v>
      </c>
      <c r="T22" s="128" cm="1">
        <f t="array" ref="T22">O22/(D22-(F22+N22))</f>
        <v>0.33333333333333331</v>
      </c>
      <c r="U22" s="17" cm="1">
        <f t="array" ref="U22">RANK(R22,$R$4:$R$23)</f>
        <v>10</v>
      </c>
      <c r="V22" s="18" cm="1">
        <f t="array" ref="V22">RANK(S22,$S$4:$S$23)</f>
        <v>8</v>
      </c>
      <c r="W22" s="133"/>
      <c r="X22" s="9"/>
      <c r="Y22" s="75"/>
    </row>
    <row r="23" spans="1:25" ht="17.25" customHeight="1">
      <c r="A23" s="8" t="s">
        <v>44</v>
      </c>
      <c r="B23" s="10">
        <v>3</v>
      </c>
      <c r="C23" s="174" cm="1">
        <f t="array" ref="C23">F23/E23</f>
        <v>0.33333333333333331</v>
      </c>
      <c r="D23" s="10">
        <v>12</v>
      </c>
      <c r="E23" s="10">
        <v>9</v>
      </c>
      <c r="F23" s="10">
        <v>3</v>
      </c>
      <c r="G23" s="10" cm="1">
        <f t="array" ref="G23">F23-(H23+I23+J23)</f>
        <v>3</v>
      </c>
      <c r="H23" s="10">
        <v>0</v>
      </c>
      <c r="I23" s="10">
        <v>0</v>
      </c>
      <c r="J23" s="10">
        <v>0</v>
      </c>
      <c r="K23" s="10">
        <v>3</v>
      </c>
      <c r="L23" s="10">
        <v>2</v>
      </c>
      <c r="M23" s="10">
        <v>0</v>
      </c>
      <c r="N23" s="10">
        <v>1</v>
      </c>
      <c r="O23" s="10">
        <v>2</v>
      </c>
      <c r="P23" s="12" cm="1">
        <f t="array" ref="P23">O23/D23</f>
        <v>0.16666666666666666</v>
      </c>
      <c r="Q23" s="13" cm="1">
        <f t="array" ref="Q23">(G23*1+H23*2+I23*3+J23*4)/E23</f>
        <v>0.33333333333333331</v>
      </c>
      <c r="R23" s="13" cm="1">
        <f t="array" ref="R23">(F23+N23)/D23</f>
        <v>0.33333333333333331</v>
      </c>
      <c r="S23" s="15" cm="1">
        <f t="array" ref="S23">R23+Q23</f>
        <v>0.66666666666666663</v>
      </c>
      <c r="T23" s="128" cm="1">
        <f t="array" ref="T23">O23/(D23-(F23+N23))</f>
        <v>0.25</v>
      </c>
      <c r="U23" s="17" cm="1">
        <f t="array" ref="U23">RANK(R23,$R$4:$R$23)</f>
        <v>13</v>
      </c>
      <c r="V23" s="18" cm="1">
        <f t="array" ref="V23">RANK(S23,$S$4:$S$23)</f>
        <v>13</v>
      </c>
      <c r="W23" s="133"/>
      <c r="X23" s="9"/>
      <c r="Y23" s="75"/>
    </row>
    <row r="24" spans="1:25" ht="17.25" customHeight="1">
      <c r="A24" s="29" t="s">
        <v>45</v>
      </c>
      <c r="B24" s="103"/>
      <c r="C24" s="105" cm="1">
        <f t="array" ref="C24">F24/E24</f>
        <v>0.37341772151898733</v>
      </c>
      <c r="D24" s="49" cm="1">
        <f t="array" ref="D24">SUM(D4:D23)</f>
        <v>198</v>
      </c>
      <c r="E24" s="49" cm="1">
        <f t="array" ref="E24">SUM(E4:E23)</f>
        <v>158</v>
      </c>
      <c r="F24" s="49" cm="1">
        <f t="array" ref="F24">SUM(F4:F23)</f>
        <v>59</v>
      </c>
      <c r="G24" s="49" cm="1">
        <f t="array" ref="G24">SUM(G4:G23)</f>
        <v>47</v>
      </c>
      <c r="H24" s="49" cm="1">
        <f t="array" ref="H24">SUM(H4:H23)</f>
        <v>10</v>
      </c>
      <c r="I24" s="49" cm="1">
        <f t="array" ref="I24">SUM(I4:I23)</f>
        <v>0</v>
      </c>
      <c r="J24" s="49" cm="1">
        <f t="array" ref="J24">SUM(J4:J23)</f>
        <v>2</v>
      </c>
      <c r="K24" s="49" cm="1">
        <f t="array" ref="K24">SUM(K4:K23)</f>
        <v>59</v>
      </c>
      <c r="L24" s="49" cm="1">
        <f t="array" ref="L24">SUM(L4:L23)</f>
        <v>52</v>
      </c>
      <c r="M24" s="49" cm="1">
        <f t="array" ref="M24">SUM(M4:M23)</f>
        <v>44</v>
      </c>
      <c r="N24" s="49" cm="1">
        <f t="array" ref="N24">SUM(N4:N23)</f>
        <v>33</v>
      </c>
      <c r="O24" s="49" cm="1">
        <f t="array" ref="O24">SUM(O4:O23)</f>
        <v>36</v>
      </c>
      <c r="P24" s="33" cm="1">
        <f t="array" ref="P24">O24/D24</f>
        <v>0.18181818181818182</v>
      </c>
      <c r="Q24" s="105"/>
      <c r="R24" s="105"/>
      <c r="S24" s="100"/>
      <c r="T24" s="31"/>
      <c r="U24" s="31"/>
      <c r="V24" s="31"/>
      <c r="W24" s="136" cm="1">
        <f t="array" ref="W24">SUM(W4:W23)</f>
        <v>6</v>
      </c>
      <c r="X24" s="9"/>
      <c r="Y24" s="3"/>
    </row>
    <row r="25" spans="1:25" ht="17.25" customHeight="1">
      <c r="A25" s="111"/>
      <c r="B25" s="112"/>
      <c r="C25" s="113"/>
      <c r="D25" s="112"/>
      <c r="E25" s="112"/>
      <c r="F25" s="112"/>
      <c r="G25" s="112"/>
      <c r="H25" s="112"/>
      <c r="I25" s="112"/>
      <c r="J25" s="112"/>
      <c r="K25" s="112"/>
      <c r="L25" s="112"/>
      <c r="M25" s="112"/>
      <c r="N25" s="112"/>
      <c r="O25" s="112"/>
      <c r="P25" s="112"/>
      <c r="Q25" s="113"/>
      <c r="R25" s="113"/>
      <c r="S25" s="114"/>
      <c r="T25" s="34"/>
      <c r="U25" s="34"/>
      <c r="V25" s="34"/>
      <c r="W25" s="34"/>
      <c r="X25" s="3"/>
      <c r="Y25" s="3"/>
    </row>
    <row r="26" spans="1:25" ht="17.25" customHeight="1">
      <c r="A26" s="115" t="s">
        <v>46</v>
      </c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6"/>
      <c r="T26" s="6"/>
      <c r="U26" s="6"/>
      <c r="V26" s="6"/>
      <c r="W26" s="3"/>
      <c r="X26" s="3"/>
      <c r="Y26" s="3"/>
    </row>
    <row r="27" spans="1:25" ht="34.5" customHeight="1">
      <c r="A27" s="8" t="s">
        <v>2</v>
      </c>
      <c r="B27" s="8" t="s">
        <v>3</v>
      </c>
      <c r="C27" s="8" t="s">
        <v>47</v>
      </c>
      <c r="D27" s="8" t="s">
        <v>48</v>
      </c>
      <c r="E27" s="8" t="s">
        <v>49</v>
      </c>
      <c r="F27" s="8" t="s">
        <v>50</v>
      </c>
      <c r="G27" s="8" t="s">
        <v>6</v>
      </c>
      <c r="H27" s="8" t="s">
        <v>51</v>
      </c>
      <c r="I27" s="8" t="s">
        <v>52</v>
      </c>
      <c r="J27" s="8" t="s">
        <v>53</v>
      </c>
      <c r="K27" s="8" t="s">
        <v>54</v>
      </c>
      <c r="L27" s="8" t="s">
        <v>55</v>
      </c>
      <c r="M27" s="8" t="s">
        <v>56</v>
      </c>
      <c r="N27" s="8" t="s">
        <v>57</v>
      </c>
      <c r="O27" s="8" t="s">
        <v>58</v>
      </c>
      <c r="P27" s="8" t="s">
        <v>59</v>
      </c>
      <c r="Q27" s="8" t="s">
        <v>60</v>
      </c>
      <c r="R27" s="8" t="s">
        <v>61</v>
      </c>
      <c r="S27" s="8" t="s">
        <v>116</v>
      </c>
      <c r="T27" s="8" t="s">
        <v>63</v>
      </c>
      <c r="U27" s="8" t="s">
        <v>64</v>
      </c>
      <c r="V27" s="8" t="s">
        <v>65</v>
      </c>
      <c r="W27" s="9"/>
      <c r="X27" s="3"/>
      <c r="Y27" s="3"/>
    </row>
    <row r="28" spans="1:25" ht="17.25" customHeight="1">
      <c r="A28" s="8" t="s">
        <v>24</v>
      </c>
      <c r="B28" s="10">
        <v>2</v>
      </c>
      <c r="C28" s="175"/>
      <c r="D28" s="175"/>
      <c r="E28" s="175"/>
      <c r="F28" s="10">
        <v>26</v>
      </c>
      <c r="G28" s="10">
        <v>9</v>
      </c>
      <c r="H28" s="39">
        <v>2.3333333333300001</v>
      </c>
      <c r="I28" s="10">
        <v>3</v>
      </c>
      <c r="J28" s="10">
        <v>0</v>
      </c>
      <c r="K28" s="10">
        <v>16</v>
      </c>
      <c r="L28" s="10">
        <v>0</v>
      </c>
      <c r="M28" s="10">
        <v>1</v>
      </c>
      <c r="N28" s="10">
        <v>17</v>
      </c>
      <c r="O28" s="10">
        <v>14</v>
      </c>
      <c r="P28" s="40" cm="1">
        <f t="array" ref="P28">O28*9/H28</f>
        <v>54.000000000077137</v>
      </c>
      <c r="Q28" s="41" cm="1">
        <f t="array" ref="Q28">(K28+L28)/H28</f>
        <v>6.8571428571526525</v>
      </c>
      <c r="R28" s="42" cm="1">
        <f t="array" ref="R28">I28/H28</f>
        <v>1.2857142857161223</v>
      </c>
      <c r="S28" s="42" cm="1">
        <f t="array" ref="S28">H28/B28</f>
        <v>1.1666666666650001</v>
      </c>
      <c r="T28" s="41" cm="1">
        <f t="array" ref="T28">M28/H28</f>
        <v>0.42857142857204078</v>
      </c>
      <c r="U28" s="44" cm="1">
        <f t="array" ref="U28">O28/N28</f>
        <v>0.82352941176470584</v>
      </c>
      <c r="V28" s="41" cm="1">
        <f t="array" ref="V28">(I28+K28+L28)/H28</f>
        <v>8.1428571428687757</v>
      </c>
      <c r="W28" s="9"/>
      <c r="X28" s="3"/>
      <c r="Y28" s="3"/>
    </row>
    <row r="29" spans="1:25" ht="17.25" customHeight="1">
      <c r="A29" s="8" t="s">
        <v>27</v>
      </c>
      <c r="B29" s="175"/>
      <c r="C29" s="175"/>
      <c r="D29" s="175"/>
      <c r="E29" s="175"/>
      <c r="F29" s="175"/>
      <c r="G29" s="175"/>
      <c r="H29" s="39"/>
      <c r="I29" s="175"/>
      <c r="J29" s="175"/>
      <c r="K29" s="175"/>
      <c r="L29" s="175"/>
      <c r="M29" s="175"/>
      <c r="N29" s="175"/>
      <c r="O29" s="175"/>
      <c r="P29" s="40"/>
      <c r="Q29" s="41"/>
      <c r="R29" s="42"/>
      <c r="S29" s="42"/>
      <c r="T29" s="41"/>
      <c r="U29" s="44"/>
      <c r="V29" s="41"/>
      <c r="W29" s="9"/>
      <c r="X29" s="3"/>
      <c r="Y29" s="3"/>
    </row>
    <row r="30" spans="1:25" ht="17.25" customHeight="1">
      <c r="A30" s="8" t="s">
        <v>29</v>
      </c>
      <c r="B30" s="10">
        <v>2</v>
      </c>
      <c r="C30" s="10">
        <v>1</v>
      </c>
      <c r="D30" s="175"/>
      <c r="E30" s="175"/>
      <c r="F30" s="10">
        <v>12</v>
      </c>
      <c r="G30" s="10">
        <v>9</v>
      </c>
      <c r="H30" s="39">
        <v>1</v>
      </c>
      <c r="I30" s="10">
        <v>3</v>
      </c>
      <c r="J30" s="10">
        <v>0</v>
      </c>
      <c r="K30" s="10">
        <v>3</v>
      </c>
      <c r="L30" s="10">
        <v>0</v>
      </c>
      <c r="M30" s="10">
        <v>2</v>
      </c>
      <c r="N30" s="10">
        <v>7</v>
      </c>
      <c r="O30" s="10">
        <v>1</v>
      </c>
      <c r="P30" s="40" cm="1">
        <f t="array" ref="P30">O30*9/H30</f>
        <v>9</v>
      </c>
      <c r="Q30" s="41" cm="1">
        <f t="array" ref="Q30">(K30+L30)/H30</f>
        <v>3</v>
      </c>
      <c r="R30" s="42" cm="1">
        <f t="array" ref="R30">I30/H30</f>
        <v>3</v>
      </c>
      <c r="S30" s="42" cm="1">
        <f t="array" ref="S30">H30/B30</f>
        <v>0.5</v>
      </c>
      <c r="T30" s="41" cm="1">
        <f t="array" ref="T30">M30/H30</f>
        <v>2</v>
      </c>
      <c r="U30" s="44" cm="1">
        <f t="array" ref="U30">O30/N30</f>
        <v>0.14285714285714285</v>
      </c>
      <c r="V30" s="41" cm="1">
        <f t="array" ref="V30">(I30+K30+L30)/H30</f>
        <v>6</v>
      </c>
      <c r="W30" s="9"/>
      <c r="X30" s="3"/>
      <c r="Y30" s="3"/>
    </row>
    <row r="31" spans="1:25" ht="17.25" customHeight="1">
      <c r="A31" s="8" t="s">
        <v>33</v>
      </c>
      <c r="B31" s="175"/>
      <c r="C31" s="175"/>
      <c r="D31" s="175"/>
      <c r="E31" s="175"/>
      <c r="F31" s="175"/>
      <c r="G31" s="175"/>
      <c r="H31" s="39"/>
      <c r="I31" s="175"/>
      <c r="J31" s="175"/>
      <c r="K31" s="175"/>
      <c r="L31" s="175"/>
      <c r="M31" s="175"/>
      <c r="N31" s="175"/>
      <c r="O31" s="175"/>
      <c r="P31" s="40"/>
      <c r="Q31" s="41"/>
      <c r="R31" s="42"/>
      <c r="S31" s="42"/>
      <c r="T31" s="41"/>
      <c r="U31" s="44"/>
      <c r="V31" s="41"/>
      <c r="W31" s="9"/>
      <c r="X31" s="3"/>
      <c r="Y31" s="3"/>
    </row>
    <row r="32" spans="1:25" ht="17.25" customHeight="1">
      <c r="A32" s="8" t="s">
        <v>35</v>
      </c>
      <c r="B32" s="10">
        <v>1</v>
      </c>
      <c r="C32" s="175"/>
      <c r="D32" s="175"/>
      <c r="E32" s="175"/>
      <c r="F32" s="10">
        <v>3</v>
      </c>
      <c r="G32" s="10">
        <v>1</v>
      </c>
      <c r="H32" s="39">
        <v>0.3333333</v>
      </c>
      <c r="I32" s="10">
        <v>0</v>
      </c>
      <c r="J32" s="10">
        <v>0</v>
      </c>
      <c r="K32" s="10">
        <v>2</v>
      </c>
      <c r="L32" s="10">
        <v>0</v>
      </c>
      <c r="M32" s="10">
        <v>0</v>
      </c>
      <c r="N32" s="10">
        <v>0</v>
      </c>
      <c r="O32" s="10">
        <v>0</v>
      </c>
      <c r="P32" s="40" cm="1">
        <f t="array" ref="P32">O32*9/H32</f>
        <v>0</v>
      </c>
      <c r="Q32" s="41" cm="1">
        <f t="array" ref="Q32">(K32+L32)/H32</f>
        <v>6.0000006000000603</v>
      </c>
      <c r="R32" s="42" cm="1">
        <f t="array" ref="R32">I32/H32</f>
        <v>0</v>
      </c>
      <c r="S32" s="42" cm="1">
        <f t="array" ref="S32">H32/B32</f>
        <v>0.3333333</v>
      </c>
      <c r="T32" s="41" cm="1">
        <f t="array" ref="T32">M32/H32</f>
        <v>0</v>
      </c>
      <c r="U32" s="44"/>
      <c r="V32" s="41" cm="1">
        <f t="array" ref="V32">(I32+K32+L32)/H32</f>
        <v>6.0000006000000603</v>
      </c>
      <c r="W32" s="9"/>
      <c r="X32" s="3"/>
      <c r="Y32" s="3"/>
    </row>
    <row r="33" spans="1:25" ht="17.25" customHeight="1">
      <c r="A33" s="8" t="s">
        <v>36</v>
      </c>
      <c r="B33" s="10">
        <v>2</v>
      </c>
      <c r="C33" s="175"/>
      <c r="D33" s="175"/>
      <c r="E33" s="175"/>
      <c r="F33" s="10">
        <v>9</v>
      </c>
      <c r="G33" s="10">
        <v>7</v>
      </c>
      <c r="H33" s="39">
        <v>1.66666</v>
      </c>
      <c r="I33" s="10">
        <v>1</v>
      </c>
      <c r="J33" s="10">
        <v>0</v>
      </c>
      <c r="K33" s="10">
        <v>4</v>
      </c>
      <c r="L33" s="10">
        <v>0</v>
      </c>
      <c r="M33" s="10">
        <v>0</v>
      </c>
      <c r="N33" s="10">
        <v>0</v>
      </c>
      <c r="O33" s="10">
        <v>3</v>
      </c>
      <c r="P33" s="40" cm="1">
        <f t="array" ref="P33">O33*9/H33</f>
        <v>16.200064800259202</v>
      </c>
      <c r="Q33" s="41" cm="1">
        <f t="array" ref="Q33">(K33+L33)/H33</f>
        <v>2.4000096000384001</v>
      </c>
      <c r="R33" s="42" cm="1">
        <f t="array" ref="R33">I33/H33</f>
        <v>0.60000240000960003</v>
      </c>
      <c r="S33" s="42" cm="1">
        <f t="array" ref="S33">H33/B33</f>
        <v>0.83333000000000002</v>
      </c>
      <c r="T33" s="41" cm="1">
        <f t="array" ref="T33">M33/H33</f>
        <v>0</v>
      </c>
      <c r="U33" s="44"/>
      <c r="V33" s="41" cm="1">
        <f t="array" ref="V33">(I33+K33+L33)/H33</f>
        <v>3.0000120000480002</v>
      </c>
      <c r="W33" s="9"/>
      <c r="X33" s="3"/>
      <c r="Y33" s="3"/>
    </row>
    <row r="34" spans="1:25" ht="17.25" customHeight="1">
      <c r="A34" s="8" t="s">
        <v>37</v>
      </c>
      <c r="B34" s="175"/>
      <c r="C34" s="175"/>
      <c r="D34" s="10">
        <v>1</v>
      </c>
      <c r="E34" s="175"/>
      <c r="F34" s="10">
        <v>26</v>
      </c>
      <c r="G34" s="10">
        <v>22</v>
      </c>
      <c r="H34" s="39">
        <v>3</v>
      </c>
      <c r="I34" s="10">
        <v>14</v>
      </c>
      <c r="J34" s="10">
        <v>1</v>
      </c>
      <c r="K34" s="10">
        <v>1</v>
      </c>
      <c r="L34" s="10">
        <v>3</v>
      </c>
      <c r="M34" s="10">
        <v>5</v>
      </c>
      <c r="N34" s="10">
        <v>14</v>
      </c>
      <c r="O34" s="10">
        <v>11</v>
      </c>
      <c r="P34" s="40" cm="1">
        <f t="array" ref="P34">O34*9/H34</f>
        <v>33</v>
      </c>
      <c r="Q34" s="41"/>
      <c r="R34" s="42"/>
      <c r="S34" s="42"/>
      <c r="T34" s="41"/>
      <c r="U34" s="44"/>
      <c r="V34" s="41"/>
      <c r="W34" s="9"/>
      <c r="X34" s="3"/>
      <c r="Y34" s="3"/>
    </row>
    <row r="35" spans="1:25" ht="17.25" customHeight="1">
      <c r="A35" s="8" t="s">
        <v>40</v>
      </c>
      <c r="B35" s="10">
        <v>4</v>
      </c>
      <c r="C35" s="175"/>
      <c r="D35" s="10">
        <v>2</v>
      </c>
      <c r="E35" s="175"/>
      <c r="F35" s="10">
        <v>50</v>
      </c>
      <c r="G35" s="10">
        <v>41</v>
      </c>
      <c r="H35" s="39">
        <v>4.6666666666600003</v>
      </c>
      <c r="I35" s="10">
        <v>25</v>
      </c>
      <c r="J35" s="10">
        <v>2</v>
      </c>
      <c r="K35" s="10">
        <v>7</v>
      </c>
      <c r="L35" s="10">
        <v>2</v>
      </c>
      <c r="M35" s="10">
        <v>5</v>
      </c>
      <c r="N35" s="10">
        <v>31</v>
      </c>
      <c r="O35" s="10">
        <v>23</v>
      </c>
      <c r="P35" s="40" cm="1">
        <f t="array" ref="P35">O35*9/H35</f>
        <v>44.35714285720622</v>
      </c>
      <c r="Q35" s="41" cm="1">
        <f t="array" ref="Q35">(K35+L35)/H35</f>
        <v>1.9285714285741835</v>
      </c>
      <c r="R35" s="42" cm="1">
        <f t="array" ref="R35">I35/H35</f>
        <v>5.3571428571505102</v>
      </c>
      <c r="S35" s="42" cm="1">
        <f t="array" ref="S35">H35/B35</f>
        <v>1.1666666666650001</v>
      </c>
      <c r="T35" s="41" cm="1">
        <f t="array" ref="T35">M35/H35</f>
        <v>1.071428571430102</v>
      </c>
      <c r="U35" s="44" cm="1">
        <f t="array" ref="U35">O35/N35</f>
        <v>0.74193548387096775</v>
      </c>
      <c r="V35" s="41" cm="1">
        <f t="array" ref="V35">(I35+K35+L35)/H35</f>
        <v>7.2857142857246933</v>
      </c>
      <c r="W35" s="9"/>
      <c r="X35" s="3"/>
      <c r="Y35" s="3"/>
    </row>
    <row r="36" spans="1:25" ht="17.25" customHeight="1">
      <c r="A36" s="8" t="s">
        <v>42</v>
      </c>
      <c r="B36" s="10">
        <v>1</v>
      </c>
      <c r="C36" s="175"/>
      <c r="D36" s="175"/>
      <c r="E36" s="175"/>
      <c r="F36" s="10">
        <v>3</v>
      </c>
      <c r="G36" s="10">
        <v>1</v>
      </c>
      <c r="H36" s="39">
        <v>0.33333332999999998</v>
      </c>
      <c r="I36" s="10">
        <v>0</v>
      </c>
      <c r="J36" s="10">
        <v>0</v>
      </c>
      <c r="K36" s="10">
        <v>2</v>
      </c>
      <c r="L36" s="10">
        <v>0</v>
      </c>
      <c r="M36" s="10">
        <v>0</v>
      </c>
      <c r="N36" s="10">
        <v>0</v>
      </c>
      <c r="O36" s="10">
        <v>0</v>
      </c>
      <c r="P36" s="40" cm="1">
        <f t="array" ref="P36">O36*9/H36</f>
        <v>0</v>
      </c>
      <c r="Q36" s="41" cm="1">
        <f t="array" ref="Q36">(K36+L36)/H36</f>
        <v>6.0000000600000005</v>
      </c>
      <c r="R36" s="42" cm="1">
        <f t="array" ref="R36">I36/H36</f>
        <v>0</v>
      </c>
      <c r="S36" s="42" cm="1">
        <f t="array" ref="S36">H36/B36</f>
        <v>0.33333332999999998</v>
      </c>
      <c r="T36" s="41" cm="1">
        <f t="array" ref="T36">M36/H36</f>
        <v>0</v>
      </c>
      <c r="U36" s="44"/>
      <c r="V36" s="41" cm="1">
        <f t="array" ref="V36">(I36+K36+L36)/H36</f>
        <v>6.0000000600000005</v>
      </c>
      <c r="W36" s="9"/>
      <c r="X36" s="3"/>
      <c r="Y36" s="3"/>
    </row>
    <row r="37" spans="1:25" ht="17.25" customHeight="1">
      <c r="A37" s="8" t="s">
        <v>43</v>
      </c>
      <c r="B37" s="10">
        <v>4</v>
      </c>
      <c r="C37" s="175"/>
      <c r="D37" s="10">
        <v>1</v>
      </c>
      <c r="E37" s="175"/>
      <c r="F37" s="10">
        <v>40</v>
      </c>
      <c r="G37" s="10">
        <v>31</v>
      </c>
      <c r="H37" s="39">
        <v>6.6666666599999997</v>
      </c>
      <c r="I37" s="10">
        <v>9</v>
      </c>
      <c r="J37" s="10">
        <v>0</v>
      </c>
      <c r="K37" s="10">
        <v>8</v>
      </c>
      <c r="L37" s="10">
        <v>1</v>
      </c>
      <c r="M37" s="10">
        <v>16</v>
      </c>
      <c r="N37" s="10">
        <v>7</v>
      </c>
      <c r="O37" s="10">
        <v>6</v>
      </c>
      <c r="P37" s="40" cm="1">
        <f t="array" ref="P37">O37*9/H37</f>
        <v>8.1000000081000003</v>
      </c>
      <c r="Q37" s="41" cm="1">
        <f t="array" ref="Q37">(K37+L37)/H37</f>
        <v>1.35000000135</v>
      </c>
      <c r="R37" s="42" cm="1">
        <f t="array" ref="R37">I37/H37</f>
        <v>1.35000000135</v>
      </c>
      <c r="S37" s="42" cm="1">
        <f t="array" ref="S37">H37/B37</f>
        <v>1.6666666649999999</v>
      </c>
      <c r="T37" s="41" cm="1">
        <f t="array" ref="T37">M37/H37</f>
        <v>2.4000000024000001</v>
      </c>
      <c r="U37" s="44" cm="1">
        <f t="array" ref="U37">O37/N37</f>
        <v>0.8571428571428571</v>
      </c>
      <c r="V37" s="41" cm="1">
        <f t="array" ref="V37">(I37+K37+L37)/H37</f>
        <v>2.7000000027</v>
      </c>
      <c r="W37" s="9"/>
      <c r="X37" s="3"/>
      <c r="Y37" s="3"/>
    </row>
    <row r="38" spans="1:25" ht="17.25" customHeight="1">
      <c r="A38" s="29" t="s">
        <v>45</v>
      </c>
      <c r="B38" s="103"/>
      <c r="C38" s="49" cm="1">
        <f t="array" ref="C38">SUM(C28:C37)</f>
        <v>1</v>
      </c>
      <c r="D38" s="49" cm="1">
        <f t="array" ref="D38">SUM(D28:D37)</f>
        <v>4</v>
      </c>
      <c r="E38" s="49" cm="1">
        <f t="array" ref="E38">SUM(E28:E37)</f>
        <v>0</v>
      </c>
      <c r="F38" s="49" cm="1">
        <f t="array" ref="F38">SUM(F28:F37)</f>
        <v>169</v>
      </c>
      <c r="G38" s="49" cm="1">
        <f t="array" ref="G38">SUM(G28:G37)</f>
        <v>121</v>
      </c>
      <c r="H38" s="50" cm="1">
        <f t="array" ref="H38">SUM(H28:H37)</f>
        <v>19.999993289989998</v>
      </c>
      <c r="I38" s="49" cm="1">
        <f t="array" ref="I38">SUM(I28:I37)</f>
        <v>55</v>
      </c>
      <c r="J38" s="49" cm="1">
        <f t="array" ref="J38">SUM(J28:J37)</f>
        <v>3</v>
      </c>
      <c r="K38" s="49" cm="1">
        <f t="array" ref="K38">SUM(K28:K37)</f>
        <v>43</v>
      </c>
      <c r="L38" s="49" cm="1">
        <f t="array" ref="L38">SUM(L28:L37)</f>
        <v>6</v>
      </c>
      <c r="M38" s="49" cm="1">
        <f t="array" ref="M38">SUM(M28:M37)</f>
        <v>29</v>
      </c>
      <c r="N38" s="49" cm="1">
        <f t="array" ref="N38">SUM(N28:N37)</f>
        <v>76</v>
      </c>
      <c r="O38" s="49" cm="1">
        <f t="array" ref="O38">SUM(O28:O37)</f>
        <v>58</v>
      </c>
      <c r="P38" s="51" cm="1">
        <f t="array" ref="P38">O38*9/H38</f>
        <v>26.100008756565991</v>
      </c>
      <c r="Q38" s="52" cm="1">
        <f t="array" ref="Q38">(K38+L38)/H38</f>
        <v>2.4500008219765008</v>
      </c>
      <c r="R38" s="53" cm="1">
        <f t="array" ref="R38">I38/H38</f>
        <v>2.7500009226266848</v>
      </c>
      <c r="S38" s="53" t="e" cm="1">
        <f t="array" ref="S38">H38/B38</f>
        <v>#DIV/0!</v>
      </c>
      <c r="T38" s="52" cm="1">
        <f t="array" ref="T38">M38/H38</f>
        <v>1.4500004864758884</v>
      </c>
      <c r="U38" s="55" cm="1">
        <f t="array" ref="U38">O38/N38</f>
        <v>0.76315789473684215</v>
      </c>
      <c r="V38" s="52" cm="1">
        <f t="array" ref="V38">(I38+K38+L38)/H38</f>
        <v>5.2000017446031856</v>
      </c>
      <c r="W38" s="9"/>
      <c r="X38" s="3"/>
      <c r="Y38" s="3"/>
    </row>
  </sheetData>
  <phoneticPr fontId="21" type="noConversion"/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C42"/>
  <sheetViews>
    <sheetView showGridLines="0" workbookViewId="0"/>
  </sheetViews>
  <sheetFormatPr defaultColWidth="9" defaultRowHeight="16.5" customHeight="1"/>
  <cols>
    <col min="1" max="18" width="8.125" style="1" customWidth="1"/>
    <col min="19" max="19" width="10.875" style="1" customWidth="1"/>
    <col min="20" max="20" width="8.125" style="1" customWidth="1"/>
    <col min="21" max="22" width="9" style="1" customWidth="1"/>
    <col min="23" max="23" width="11.375" style="1" customWidth="1"/>
    <col min="24" max="24" width="2.625" style="1" customWidth="1"/>
    <col min="25" max="26" width="9" style="1" customWidth="1"/>
    <col min="27" max="27" width="10.125" style="1" customWidth="1"/>
    <col min="28" max="30" width="9" style="1" customWidth="1"/>
    <col min="31" max="16384" width="9" style="1"/>
  </cols>
  <sheetData>
    <row r="1" spans="1:29" ht="26.25" customHeight="1">
      <c r="A1" s="2" t="s">
        <v>162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29" ht="17.25" customHeight="1">
      <c r="A2" s="5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3"/>
      <c r="Y2" s="6"/>
      <c r="Z2" s="6"/>
      <c r="AA2" s="6"/>
      <c r="AB2" s="6"/>
      <c r="AC2" s="6"/>
    </row>
    <row r="3" spans="1:29" ht="34.5" customHeight="1">
      <c r="A3" s="8" t="s">
        <v>101</v>
      </c>
      <c r="B3" s="8" t="s">
        <v>102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10</v>
      </c>
      <c r="J3" s="8" t="s">
        <v>11</v>
      </c>
      <c r="K3" s="8" t="s">
        <v>12</v>
      </c>
      <c r="L3" s="8" t="s">
        <v>13</v>
      </c>
      <c r="M3" s="8" t="s">
        <v>14</v>
      </c>
      <c r="N3" s="8" t="s">
        <v>15</v>
      </c>
      <c r="O3" s="8" t="s">
        <v>16</v>
      </c>
      <c r="P3" s="8" t="s">
        <v>17</v>
      </c>
      <c r="Q3" s="8" t="s">
        <v>18</v>
      </c>
      <c r="R3" s="8" t="s">
        <v>19</v>
      </c>
      <c r="S3" s="8" t="s">
        <v>20</v>
      </c>
      <c r="T3" s="8" t="s">
        <v>21</v>
      </c>
      <c r="U3" s="8" t="s">
        <v>22</v>
      </c>
      <c r="V3" s="8" t="s">
        <v>23</v>
      </c>
      <c r="W3" s="8" t="s">
        <v>111</v>
      </c>
      <c r="X3" s="58"/>
      <c r="Y3" s="8" t="s">
        <v>112</v>
      </c>
      <c r="Z3" s="8" t="s">
        <v>55</v>
      </c>
      <c r="AA3" s="8" t="s">
        <v>113</v>
      </c>
      <c r="AB3" s="8" t="s">
        <v>114</v>
      </c>
      <c r="AC3" s="8" t="s">
        <v>115</v>
      </c>
    </row>
    <row r="4" spans="1:29" ht="17.25" customHeight="1">
      <c r="A4" s="8" t="s">
        <v>24</v>
      </c>
      <c r="B4" s="10">
        <v>2</v>
      </c>
      <c r="C4" s="174" cm="1">
        <f t="array" ref="C4">F4/E4</f>
        <v>0</v>
      </c>
      <c r="D4" s="10">
        <v>1</v>
      </c>
      <c r="E4" s="10">
        <v>1</v>
      </c>
      <c r="F4" s="10">
        <v>0</v>
      </c>
      <c r="G4" s="10" cm="1">
        <f t="array" ref="G4">F4-(H4+I4+J4)</f>
        <v>0</v>
      </c>
      <c r="H4" s="10">
        <v>0</v>
      </c>
      <c r="I4" s="10">
        <v>0</v>
      </c>
      <c r="J4" s="10">
        <v>0</v>
      </c>
      <c r="K4" s="10">
        <v>1</v>
      </c>
      <c r="L4" s="10">
        <v>0</v>
      </c>
      <c r="M4" s="10">
        <v>1</v>
      </c>
      <c r="N4" s="10" cm="1">
        <f t="array" ref="N4">Y4+Z4</f>
        <v>0</v>
      </c>
      <c r="O4" s="10">
        <v>1</v>
      </c>
      <c r="P4" s="12" cm="1">
        <f t="array" ref="P4">O4/D4</f>
        <v>1</v>
      </c>
      <c r="Q4" s="13" cm="1">
        <f t="array" ref="Q4">(G4*1+H4*2+I4*3+J4*4)/E4</f>
        <v>0</v>
      </c>
      <c r="R4" s="13" cm="1">
        <f t="array" ref="R4">(F4+N4)/(D4-AA4)</f>
        <v>0</v>
      </c>
      <c r="S4" s="15" cm="1">
        <f t="array" ref="S4">R4+Q4</f>
        <v>0</v>
      </c>
      <c r="T4" s="128" cm="1">
        <f t="array" ref="T4">O4/(D4-(F4+N4))</f>
        <v>1</v>
      </c>
      <c r="U4" s="17" cm="1">
        <f t="array" ref="U4">RANK(R4,$R$4:$R$26)</f>
        <v>15</v>
      </c>
      <c r="V4" s="18" cm="1">
        <f t="array" ref="V4">RANK(S4,$S$4:$S$26)</f>
        <v>15</v>
      </c>
      <c r="W4" s="129" cm="1">
        <f t="array" ref="W4">RANK(C4,$C$4:$C$26)</f>
        <v>14</v>
      </c>
      <c r="X4" s="176"/>
      <c r="Y4" s="48">
        <v>0</v>
      </c>
      <c r="Z4" s="48">
        <v>0</v>
      </c>
      <c r="AA4" s="48">
        <v>0</v>
      </c>
      <c r="AB4" s="48">
        <v>0</v>
      </c>
      <c r="AC4" s="133"/>
    </row>
    <row r="5" spans="1:29" ht="17.25" customHeight="1">
      <c r="A5" s="8" t="s">
        <v>25</v>
      </c>
      <c r="B5" s="175"/>
      <c r="C5" s="174"/>
      <c r="D5" s="175"/>
      <c r="E5" s="175"/>
      <c r="F5" s="175"/>
      <c r="G5" s="10" cm="1">
        <f t="array" ref="G5">F5-(H5+I5+J5)</f>
        <v>0</v>
      </c>
      <c r="H5" s="175"/>
      <c r="I5" s="175"/>
      <c r="J5" s="175"/>
      <c r="K5" s="175"/>
      <c r="L5" s="175"/>
      <c r="M5" s="175"/>
      <c r="N5" s="10" cm="1">
        <f t="array" ref="N5">Y5+Z5</f>
        <v>0</v>
      </c>
      <c r="O5" s="175"/>
      <c r="P5" s="12"/>
      <c r="Q5" s="13"/>
      <c r="R5" s="13"/>
      <c r="S5" s="15"/>
      <c r="T5" s="128"/>
      <c r="U5" s="134"/>
      <c r="V5" s="135"/>
      <c r="W5" s="177"/>
      <c r="X5" s="176"/>
      <c r="Y5" s="133"/>
      <c r="Z5" s="133"/>
      <c r="AA5" s="133"/>
      <c r="AB5" s="133"/>
      <c r="AC5" s="133"/>
    </row>
    <row r="6" spans="1:29" ht="17.25" customHeight="1">
      <c r="A6" s="8" t="s">
        <v>26</v>
      </c>
      <c r="B6" s="10">
        <v>7</v>
      </c>
      <c r="C6" s="174" cm="1">
        <f t="array" ref="C6">F6/E6</f>
        <v>0.61904761904761907</v>
      </c>
      <c r="D6" s="10">
        <v>24</v>
      </c>
      <c r="E6" s="10">
        <v>21</v>
      </c>
      <c r="F6" s="10">
        <v>13</v>
      </c>
      <c r="G6" s="10" cm="1">
        <f t="array" ref="G6">F6-(H6+I6+J6)</f>
        <v>7</v>
      </c>
      <c r="H6" s="10">
        <v>6</v>
      </c>
      <c r="I6" s="10">
        <v>0</v>
      </c>
      <c r="J6" s="10">
        <v>0</v>
      </c>
      <c r="K6" s="10">
        <v>11</v>
      </c>
      <c r="L6" s="10">
        <v>10</v>
      </c>
      <c r="M6" s="10">
        <v>9</v>
      </c>
      <c r="N6" s="10" cm="1">
        <f t="array" ref="N6">Y6+Z6</f>
        <v>2</v>
      </c>
      <c r="O6" s="10">
        <v>0</v>
      </c>
      <c r="P6" s="12" cm="1">
        <f t="array" ref="P6">O6/D6</f>
        <v>0</v>
      </c>
      <c r="Q6" s="13" cm="1">
        <f t="array" ref="Q6">(G6*1+H6*2+I6*3+J6*4)/E6</f>
        <v>0.90476190476190477</v>
      </c>
      <c r="R6" s="13" cm="1">
        <f t="array" ref="R6">(F6+N6)/(D6-AA6)</f>
        <v>0.625</v>
      </c>
      <c r="S6" s="15" cm="1">
        <f t="array" ref="S6">R6+Q6</f>
        <v>1.5297619047619047</v>
      </c>
      <c r="T6" s="128" cm="1">
        <f t="array" ref="T6">O6/(D6-(F6+N6))</f>
        <v>0</v>
      </c>
      <c r="U6" s="17" cm="1">
        <f t="array" ref="U6">RANK(R6,$R$4:$R$26)</f>
        <v>3</v>
      </c>
      <c r="V6" s="18" cm="1">
        <f t="array" ref="V6">RANK(S6,$S$4:$S$26)</f>
        <v>1</v>
      </c>
      <c r="W6" s="129" cm="1">
        <f t="array" ref="W6">RANK(C6,$C$4:$C$26)</f>
        <v>1</v>
      </c>
      <c r="X6" s="176"/>
      <c r="Y6" s="48">
        <v>0</v>
      </c>
      <c r="Z6" s="48">
        <v>2</v>
      </c>
      <c r="AA6" s="48">
        <v>0</v>
      </c>
      <c r="AB6" s="48">
        <v>0</v>
      </c>
      <c r="AC6" s="133"/>
    </row>
    <row r="7" spans="1:29" ht="17.25" customHeight="1">
      <c r="A7" s="8" t="s">
        <v>27</v>
      </c>
      <c r="B7" s="175"/>
      <c r="C7" s="174"/>
      <c r="D7" s="175"/>
      <c r="E7" s="175"/>
      <c r="F7" s="175"/>
      <c r="G7" s="10" cm="1">
        <f t="array" ref="G7">F7-(H7+I7+J7)</f>
        <v>0</v>
      </c>
      <c r="H7" s="175"/>
      <c r="I7" s="175"/>
      <c r="J7" s="175"/>
      <c r="K7" s="175"/>
      <c r="L7" s="175"/>
      <c r="M7" s="175"/>
      <c r="N7" s="10" cm="1">
        <f t="array" ref="N7">Y7+Z7</f>
        <v>0</v>
      </c>
      <c r="O7" s="175"/>
      <c r="P7" s="12"/>
      <c r="Q7" s="13"/>
      <c r="R7" s="13"/>
      <c r="S7" s="15"/>
      <c r="T7" s="128"/>
      <c r="U7" s="134"/>
      <c r="V7" s="135"/>
      <c r="W7" s="177"/>
      <c r="X7" s="176"/>
      <c r="Y7" s="133"/>
      <c r="Z7" s="133"/>
      <c r="AA7" s="133"/>
      <c r="AB7" s="133"/>
      <c r="AC7" s="133"/>
    </row>
    <row r="8" spans="1:29" ht="17.25" customHeight="1">
      <c r="A8" s="8" t="s">
        <v>28</v>
      </c>
      <c r="B8" s="10">
        <v>3</v>
      </c>
      <c r="C8" s="174" cm="1">
        <f t="array" ref="C8">F8/E8</f>
        <v>0</v>
      </c>
      <c r="D8" s="10">
        <v>3</v>
      </c>
      <c r="E8" s="10">
        <v>1</v>
      </c>
      <c r="F8" s="10">
        <v>0</v>
      </c>
      <c r="G8" s="10" cm="1">
        <f t="array" ref="G8">F8-(H8+I8+J8)</f>
        <v>0</v>
      </c>
      <c r="H8" s="10">
        <v>0</v>
      </c>
      <c r="I8" s="10">
        <v>0</v>
      </c>
      <c r="J8" s="10">
        <v>0</v>
      </c>
      <c r="K8" s="10">
        <v>2</v>
      </c>
      <c r="L8" s="10">
        <v>0</v>
      </c>
      <c r="M8" s="10">
        <v>1</v>
      </c>
      <c r="N8" s="10" cm="1">
        <f t="array" ref="N8">Y8+Z8</f>
        <v>2</v>
      </c>
      <c r="O8" s="10">
        <v>1</v>
      </c>
      <c r="P8" s="12" cm="1">
        <f t="array" ref="P8">O8/D8</f>
        <v>0.33333333333333331</v>
      </c>
      <c r="Q8" s="13" cm="1">
        <f t="array" ref="Q8">(G8*1+H8*2+I8*3+J8*4)/E8</f>
        <v>0</v>
      </c>
      <c r="R8" s="13" cm="1">
        <f t="array" ref="R8">(F8+N8)/(D8-AA8)</f>
        <v>0.66666666666666663</v>
      </c>
      <c r="S8" s="15" cm="1">
        <f t="array" ref="S8">R8+Q8</f>
        <v>0.66666666666666663</v>
      </c>
      <c r="T8" s="128" cm="1">
        <f t="array" ref="T8">O8/(D8-(F8+N8))</f>
        <v>1</v>
      </c>
      <c r="U8" s="17" cm="1">
        <f t="array" ref="U8">RANK(R8,$R$4:$R$26)</f>
        <v>1</v>
      </c>
      <c r="V8" s="18" cm="1">
        <f t="array" ref="V8">RANK(S8,$S$4:$S$26)</f>
        <v>12</v>
      </c>
      <c r="W8" s="129" cm="1">
        <f t="array" ref="W8">RANK(C8,$C$4:$C$26)</f>
        <v>14</v>
      </c>
      <c r="X8" s="176"/>
      <c r="Y8" s="48">
        <v>2</v>
      </c>
      <c r="Z8" s="48">
        <v>0</v>
      </c>
      <c r="AA8" s="48">
        <v>0</v>
      </c>
      <c r="AB8" s="48">
        <v>0</v>
      </c>
      <c r="AC8" s="133"/>
    </row>
    <row r="9" spans="1:29" ht="17.25" customHeight="1">
      <c r="A9" s="8" t="s">
        <v>29</v>
      </c>
      <c r="B9" s="10">
        <v>5</v>
      </c>
      <c r="C9" s="174" cm="1">
        <f t="array" ref="C9">F9/E9</f>
        <v>0.55555555555555558</v>
      </c>
      <c r="D9" s="10">
        <v>11</v>
      </c>
      <c r="E9" s="10">
        <v>9</v>
      </c>
      <c r="F9" s="10">
        <v>5</v>
      </c>
      <c r="G9" s="10" cm="1">
        <f t="array" ref="G9">F9-(H9+I9+J9)</f>
        <v>5</v>
      </c>
      <c r="H9" s="10">
        <v>0</v>
      </c>
      <c r="I9" s="10">
        <v>0</v>
      </c>
      <c r="J9" s="10">
        <v>0</v>
      </c>
      <c r="K9" s="10">
        <v>5</v>
      </c>
      <c r="L9" s="10">
        <v>3</v>
      </c>
      <c r="M9" s="10">
        <v>2</v>
      </c>
      <c r="N9" s="10" cm="1">
        <f t="array" ref="N9">Y9+Z9</f>
        <v>1</v>
      </c>
      <c r="O9" s="10">
        <v>0</v>
      </c>
      <c r="P9" s="12" cm="1">
        <f t="array" ref="P9">O9/D9</f>
        <v>0</v>
      </c>
      <c r="Q9" s="13" cm="1">
        <f t="array" ref="Q9">(G9*1+H9*2+I9*3+J9*4)/E9</f>
        <v>0.55555555555555558</v>
      </c>
      <c r="R9" s="13" cm="1">
        <f t="array" ref="R9">(F9+N9)/(D9-AA9)</f>
        <v>0.54545454545454541</v>
      </c>
      <c r="S9" s="15" cm="1">
        <f t="array" ref="S9">R9+Q9</f>
        <v>1.101010101010101</v>
      </c>
      <c r="T9" s="128" cm="1">
        <f t="array" ref="T9">O9/(D9-(F9+N9))</f>
        <v>0</v>
      </c>
      <c r="U9" s="17" cm="1">
        <f t="array" ref="U9">RANK(R9,$R$4:$R$26)</f>
        <v>9</v>
      </c>
      <c r="V9" s="18" cm="1">
        <f t="array" ref="V9">RANK(S9,$S$4:$S$26)</f>
        <v>7</v>
      </c>
      <c r="W9" s="129" cm="1">
        <f t="array" ref="W9">RANK(C9,$C$4:$C$26)</f>
        <v>3</v>
      </c>
      <c r="X9" s="176"/>
      <c r="Y9" s="48">
        <v>0</v>
      </c>
      <c r="Z9" s="48">
        <v>1</v>
      </c>
      <c r="AA9" s="48">
        <v>0</v>
      </c>
      <c r="AB9" s="48">
        <v>0</v>
      </c>
      <c r="AC9" s="133"/>
    </row>
    <row r="10" spans="1:29" ht="17.25" customHeight="1">
      <c r="A10" s="8" t="s">
        <v>69</v>
      </c>
      <c r="B10" s="175"/>
      <c r="C10" s="174"/>
      <c r="D10" s="175"/>
      <c r="E10" s="175"/>
      <c r="F10" s="175"/>
      <c r="G10" s="10" cm="1">
        <f t="array" ref="G10">F10-(H10+I10+J10)</f>
        <v>0</v>
      </c>
      <c r="H10" s="175"/>
      <c r="I10" s="175"/>
      <c r="J10" s="175"/>
      <c r="K10" s="175"/>
      <c r="L10" s="175"/>
      <c r="M10" s="175"/>
      <c r="N10" s="10" cm="1">
        <f t="array" ref="N10">Y10+Z10</f>
        <v>0</v>
      </c>
      <c r="O10" s="175"/>
      <c r="P10" s="12"/>
      <c r="Q10" s="13"/>
      <c r="R10" s="13"/>
      <c r="S10" s="15"/>
      <c r="T10" s="128"/>
      <c r="U10" s="134"/>
      <c r="V10" s="135"/>
      <c r="W10" s="177"/>
      <c r="X10" s="176"/>
      <c r="Y10" s="133"/>
      <c r="Z10" s="133"/>
      <c r="AA10" s="133"/>
      <c r="AB10" s="133"/>
      <c r="AC10" s="133"/>
    </row>
    <row r="11" spans="1:29" ht="17.25" customHeight="1">
      <c r="A11" s="8" t="s">
        <v>30</v>
      </c>
      <c r="B11" s="10">
        <v>7</v>
      </c>
      <c r="C11" s="174" cm="1">
        <f t="array" ref="C11">F11/E11</f>
        <v>0.54545454545454541</v>
      </c>
      <c r="D11" s="10">
        <v>25</v>
      </c>
      <c r="E11" s="10">
        <v>22</v>
      </c>
      <c r="F11" s="10">
        <v>12</v>
      </c>
      <c r="G11" s="10" cm="1">
        <f t="array" ref="G11">F11-(H11+I11+J11)</f>
        <v>10</v>
      </c>
      <c r="H11" s="10">
        <v>1</v>
      </c>
      <c r="I11" s="10">
        <v>1</v>
      </c>
      <c r="J11" s="10">
        <v>0</v>
      </c>
      <c r="K11" s="10">
        <v>15</v>
      </c>
      <c r="L11" s="10">
        <v>7</v>
      </c>
      <c r="M11" s="10">
        <v>14</v>
      </c>
      <c r="N11" s="10" cm="1">
        <f t="array" ref="N11">Y11+Z11</f>
        <v>2</v>
      </c>
      <c r="O11" s="10">
        <v>2</v>
      </c>
      <c r="P11" s="12" cm="1">
        <f t="array" ref="P11">O11/D11</f>
        <v>0.08</v>
      </c>
      <c r="Q11" s="13" cm="1">
        <f t="array" ref="Q11">(G11*1+H11*2+I11*3+J11*4)/E11</f>
        <v>0.68181818181818177</v>
      </c>
      <c r="R11" s="13" cm="1">
        <f t="array" ref="R11">(F11+N11)/(D11-AA11)</f>
        <v>0.56000000000000005</v>
      </c>
      <c r="S11" s="15" cm="1">
        <f t="array" ref="S11">R11+Q11</f>
        <v>1.2418181818181817</v>
      </c>
      <c r="T11" s="128" cm="1">
        <f t="array" ref="T11">O11/(D11-(F11+N11))</f>
        <v>0.18181818181818182</v>
      </c>
      <c r="U11" s="17" cm="1">
        <f t="array" ref="U11">RANK(R11,$R$4:$R$26)</f>
        <v>7</v>
      </c>
      <c r="V11" s="18" cm="1">
        <f t="array" ref="V11">RANK(S11,$S$4:$S$26)</f>
        <v>4</v>
      </c>
      <c r="W11" s="129" cm="1">
        <f t="array" ref="W11">RANK(C11,$C$4:$C$26)</f>
        <v>5</v>
      </c>
      <c r="X11" s="176"/>
      <c r="Y11" s="48">
        <v>0</v>
      </c>
      <c r="Z11" s="48">
        <v>2</v>
      </c>
      <c r="AA11" s="48">
        <v>0</v>
      </c>
      <c r="AB11" s="48">
        <v>0</v>
      </c>
      <c r="AC11" s="133"/>
    </row>
    <row r="12" spans="1:29" ht="17.25" customHeight="1">
      <c r="A12" s="8" t="s">
        <v>31</v>
      </c>
      <c r="B12" s="10">
        <v>5</v>
      </c>
      <c r="C12" s="174" cm="1">
        <f t="array" ref="C12">F12/E12</f>
        <v>0.42857142857142855</v>
      </c>
      <c r="D12" s="10">
        <v>18</v>
      </c>
      <c r="E12" s="10">
        <v>14</v>
      </c>
      <c r="F12" s="10">
        <v>6</v>
      </c>
      <c r="G12" s="10" cm="1">
        <f t="array" ref="G12">F12-(H12+I12+J12)</f>
        <v>5</v>
      </c>
      <c r="H12" s="10">
        <v>1</v>
      </c>
      <c r="I12" s="10">
        <v>0</v>
      </c>
      <c r="J12" s="10">
        <v>0</v>
      </c>
      <c r="K12" s="10">
        <v>7</v>
      </c>
      <c r="L12" s="10">
        <v>3</v>
      </c>
      <c r="M12" s="10">
        <v>7</v>
      </c>
      <c r="N12" s="10" cm="1">
        <f t="array" ref="N12">Y12+Z12</f>
        <v>4</v>
      </c>
      <c r="O12" s="10">
        <v>4</v>
      </c>
      <c r="P12" s="12" cm="1">
        <f t="array" ref="P12">O12/D12</f>
        <v>0.22222222222222221</v>
      </c>
      <c r="Q12" s="13" cm="1">
        <f t="array" ref="Q12">(G12*1+H12*2+I12*3+J12*4)/E12</f>
        <v>0.5</v>
      </c>
      <c r="R12" s="13" cm="1">
        <f t="array" ref="R12">(F12+N12)/(D12-AA12)</f>
        <v>0.55555555555555558</v>
      </c>
      <c r="S12" s="15" cm="1">
        <f t="array" ref="S12">R12+Q12</f>
        <v>1.0555555555555556</v>
      </c>
      <c r="T12" s="128" cm="1">
        <f t="array" ref="T12">O12/(D12-(F12+N12))</f>
        <v>0.5</v>
      </c>
      <c r="U12" s="17" cm="1">
        <f t="array" ref="U12">RANK(R12,$R$4:$R$26)</f>
        <v>8</v>
      </c>
      <c r="V12" s="18" cm="1">
        <f t="array" ref="V12">RANK(S12,$S$4:$S$26)</f>
        <v>8</v>
      </c>
      <c r="W12" s="129" cm="1">
        <f t="array" ref="W12">RANK(C12,$C$4:$C$26)</f>
        <v>8</v>
      </c>
      <c r="X12" s="176"/>
      <c r="Y12" s="48">
        <v>4</v>
      </c>
      <c r="Z12" s="48">
        <v>0</v>
      </c>
      <c r="AA12" s="48">
        <v>0</v>
      </c>
      <c r="AB12" s="48">
        <v>0</v>
      </c>
      <c r="AC12" s="133"/>
    </row>
    <row r="13" spans="1:29" ht="17.25" customHeight="1">
      <c r="A13" s="8" t="s">
        <v>32</v>
      </c>
      <c r="B13" s="10">
        <v>3</v>
      </c>
      <c r="C13" s="174" cm="1">
        <f t="array" ref="C13">F13/E13</f>
        <v>0.6</v>
      </c>
      <c r="D13" s="10">
        <v>6</v>
      </c>
      <c r="E13" s="10">
        <v>5</v>
      </c>
      <c r="F13" s="10">
        <v>3</v>
      </c>
      <c r="G13" s="10" cm="1">
        <f t="array" ref="G13">F13-(H13+I13+J13)</f>
        <v>3</v>
      </c>
      <c r="H13" s="10">
        <v>0</v>
      </c>
      <c r="I13" s="10">
        <v>0</v>
      </c>
      <c r="J13" s="10">
        <v>0</v>
      </c>
      <c r="K13" s="10">
        <v>1</v>
      </c>
      <c r="L13" s="10">
        <v>2</v>
      </c>
      <c r="M13" s="10">
        <v>2</v>
      </c>
      <c r="N13" s="10" cm="1">
        <f t="array" ref="N13">Y13+Z13</f>
        <v>1</v>
      </c>
      <c r="O13" s="10">
        <v>1</v>
      </c>
      <c r="P13" s="12" cm="1">
        <f t="array" ref="P13">O13/D13</f>
        <v>0.16666666666666666</v>
      </c>
      <c r="Q13" s="13" cm="1">
        <f t="array" ref="Q13">(G13*1+H13*2+I13*3+J13*4)/E13</f>
        <v>0.6</v>
      </c>
      <c r="R13" s="13" cm="1">
        <f t="array" ref="R13">(F13+N13)/(D13-AA13)</f>
        <v>0.66666666666666663</v>
      </c>
      <c r="S13" s="15" cm="1">
        <f t="array" ref="S13">R13+Q13</f>
        <v>1.2666666666666666</v>
      </c>
      <c r="T13" s="128" cm="1">
        <f t="array" ref="T13">O13/(D13-(F13+N13))</f>
        <v>0.5</v>
      </c>
      <c r="U13" s="17" cm="1">
        <f t="array" ref="U13">RANK(R13,$R$4:$R$26)</f>
        <v>1</v>
      </c>
      <c r="V13" s="18" cm="1">
        <f t="array" ref="V13">RANK(S13,$S$4:$S$26)</f>
        <v>3</v>
      </c>
      <c r="W13" s="129" cm="1">
        <f t="array" ref="W13">RANK(C13,$C$4:$C$26)</f>
        <v>2</v>
      </c>
      <c r="X13" s="176"/>
      <c r="Y13" s="48">
        <v>1</v>
      </c>
      <c r="Z13" s="48">
        <v>0</v>
      </c>
      <c r="AA13" s="48">
        <v>0</v>
      </c>
      <c r="AB13" s="48">
        <v>0</v>
      </c>
      <c r="AC13" s="133"/>
    </row>
    <row r="14" spans="1:29" ht="17.25" customHeight="1">
      <c r="A14" s="8" t="s">
        <v>33</v>
      </c>
      <c r="B14" s="10">
        <v>7</v>
      </c>
      <c r="C14" s="174" cm="1">
        <f t="array" ref="C14">F14/E14</f>
        <v>0.55000000000000004</v>
      </c>
      <c r="D14" s="10">
        <v>23</v>
      </c>
      <c r="E14" s="10">
        <v>20</v>
      </c>
      <c r="F14" s="10">
        <v>11</v>
      </c>
      <c r="G14" s="10" cm="1">
        <f t="array" ref="G14">F14-(H14+I14+J14)</f>
        <v>6</v>
      </c>
      <c r="H14" s="10">
        <v>4</v>
      </c>
      <c r="I14" s="10">
        <v>1</v>
      </c>
      <c r="J14" s="10">
        <v>0</v>
      </c>
      <c r="K14" s="10">
        <v>11</v>
      </c>
      <c r="L14" s="10">
        <v>11</v>
      </c>
      <c r="M14" s="10">
        <v>8</v>
      </c>
      <c r="N14" s="10" cm="1">
        <f t="array" ref="N14">Y14+Z14</f>
        <v>3</v>
      </c>
      <c r="O14" s="10">
        <v>1</v>
      </c>
      <c r="P14" s="12" cm="1">
        <f t="array" ref="P14">O14/D14</f>
        <v>4.3478260869565216E-2</v>
      </c>
      <c r="Q14" s="13" cm="1">
        <f t="array" ref="Q14">(G14*1+H14*2+I14*3+J14*4)/E14</f>
        <v>0.85</v>
      </c>
      <c r="R14" s="13" cm="1">
        <f t="array" ref="R14">(F14+N14)/(D14-AA14)</f>
        <v>0.60869565217391308</v>
      </c>
      <c r="S14" s="15" cm="1">
        <f t="array" ref="S14">R14+Q14</f>
        <v>1.4586956521739132</v>
      </c>
      <c r="T14" s="128" cm="1">
        <f t="array" ref="T14">O14/(D14-(F14+N14))</f>
        <v>0.1111111111111111</v>
      </c>
      <c r="U14" s="17" cm="1">
        <f t="array" ref="U14">RANK(R14,$R$4:$R$26)</f>
        <v>4</v>
      </c>
      <c r="V14" s="18" cm="1">
        <f t="array" ref="V14">RANK(S14,$S$4:$S$26)</f>
        <v>2</v>
      </c>
      <c r="W14" s="129" cm="1">
        <f t="array" ref="W14">RANK(C14,$C$4:$C$26)</f>
        <v>4</v>
      </c>
      <c r="X14" s="176"/>
      <c r="Y14" s="48">
        <v>2</v>
      </c>
      <c r="Z14" s="48">
        <v>1</v>
      </c>
      <c r="AA14" s="48">
        <v>0</v>
      </c>
      <c r="AB14" s="48">
        <v>0</v>
      </c>
      <c r="AC14" s="133"/>
    </row>
    <row r="15" spans="1:29" ht="17.25" customHeight="1">
      <c r="A15" s="8" t="s">
        <v>35</v>
      </c>
      <c r="B15" s="10">
        <v>4</v>
      </c>
      <c r="C15" s="174" cm="1">
        <f t="array" ref="C15">F15/E15</f>
        <v>0.27272727272727271</v>
      </c>
      <c r="D15" s="10">
        <v>12</v>
      </c>
      <c r="E15" s="10">
        <v>11</v>
      </c>
      <c r="F15" s="10">
        <v>3</v>
      </c>
      <c r="G15" s="10" cm="1">
        <f t="array" ref="G15">F15-(H15+I15+J15)</f>
        <v>3</v>
      </c>
      <c r="H15" s="10">
        <v>0</v>
      </c>
      <c r="I15" s="10">
        <v>0</v>
      </c>
      <c r="J15" s="10">
        <v>0</v>
      </c>
      <c r="K15" s="10">
        <v>2</v>
      </c>
      <c r="L15" s="10">
        <v>0</v>
      </c>
      <c r="M15" s="10">
        <v>3</v>
      </c>
      <c r="N15" s="10" cm="1">
        <f t="array" ref="N15">Y15+Z15</f>
        <v>1</v>
      </c>
      <c r="O15" s="10">
        <v>3</v>
      </c>
      <c r="P15" s="12" cm="1">
        <f t="array" ref="P15">O15/D15</f>
        <v>0.25</v>
      </c>
      <c r="Q15" s="13" cm="1">
        <f t="array" ref="Q15">(G15*1+H15*2+I15*3+J15*4)/E15</f>
        <v>0.27272727272727271</v>
      </c>
      <c r="R15" s="13" cm="1">
        <f t="array" ref="R15">(F15+N15)/(D15-AA15)</f>
        <v>0.33333333333333331</v>
      </c>
      <c r="S15" s="15" cm="1">
        <f t="array" ref="S15">R15+Q15</f>
        <v>0.60606060606060597</v>
      </c>
      <c r="T15" s="128" cm="1">
        <f t="array" ref="T15">O15/(D15-(F15+N15))</f>
        <v>0.375</v>
      </c>
      <c r="U15" s="17" cm="1">
        <f t="array" ref="U15">RANK(R15,$R$4:$R$26)</f>
        <v>13</v>
      </c>
      <c r="V15" s="18" cm="1">
        <f t="array" ref="V15">RANK(S15,$S$4:$S$26)</f>
        <v>13</v>
      </c>
      <c r="W15" s="129" cm="1">
        <f t="array" ref="W15">RANK(C15,$C$4:$C$26)</f>
        <v>12</v>
      </c>
      <c r="X15" s="176"/>
      <c r="Y15" s="48">
        <v>0</v>
      </c>
      <c r="Z15" s="48">
        <v>1</v>
      </c>
      <c r="AA15" s="48">
        <v>0</v>
      </c>
      <c r="AB15" s="48">
        <v>0</v>
      </c>
      <c r="AC15" s="133"/>
    </row>
    <row r="16" spans="1:29" ht="17.25" customHeight="1">
      <c r="A16" s="8" t="s">
        <v>36</v>
      </c>
      <c r="B16" s="10">
        <v>6</v>
      </c>
      <c r="C16" s="174" cm="1">
        <f t="array" ref="C16">F16/E16</f>
        <v>0.18181818181818182</v>
      </c>
      <c r="D16" s="10">
        <v>13</v>
      </c>
      <c r="E16" s="10">
        <v>11</v>
      </c>
      <c r="F16" s="10">
        <v>2</v>
      </c>
      <c r="G16" s="10" cm="1">
        <f t="array" ref="G16">F16-(H16+I16+J16)</f>
        <v>2</v>
      </c>
      <c r="H16" s="10">
        <v>0</v>
      </c>
      <c r="I16" s="10">
        <v>0</v>
      </c>
      <c r="J16" s="10">
        <v>0</v>
      </c>
      <c r="K16" s="10">
        <v>1</v>
      </c>
      <c r="L16" s="10">
        <v>2</v>
      </c>
      <c r="M16" s="10">
        <v>1</v>
      </c>
      <c r="N16" s="10" cm="1">
        <f t="array" ref="N16">Y16+Z16</f>
        <v>1</v>
      </c>
      <c r="O16" s="10">
        <v>1</v>
      </c>
      <c r="P16" s="12" cm="1">
        <f t="array" ref="P16">O16/D16</f>
        <v>7.6923076923076927E-2</v>
      </c>
      <c r="Q16" s="13" cm="1">
        <f t="array" ref="Q16">(G16*1+H16*2+I16*3+J16*4)/E16</f>
        <v>0.18181818181818182</v>
      </c>
      <c r="R16" s="13" cm="1">
        <f t="array" ref="R16">(F16+N16)/(D16-AA16)</f>
        <v>0.23076923076923078</v>
      </c>
      <c r="S16" s="15" cm="1">
        <f t="array" ref="S16">R16+Q16</f>
        <v>0.41258741258741261</v>
      </c>
      <c r="T16" s="128" cm="1">
        <f t="array" ref="T16">O16/(D16-(F16+N16))</f>
        <v>0.1</v>
      </c>
      <c r="U16" s="17" cm="1">
        <f t="array" ref="U16">RANK(R16,$R$4:$R$26)</f>
        <v>14</v>
      </c>
      <c r="V16" s="18" cm="1">
        <f t="array" ref="V16">RANK(S16,$S$4:$S$26)</f>
        <v>14</v>
      </c>
      <c r="W16" s="129" cm="1">
        <f t="array" ref="W16">RANK(C16,$C$4:$C$26)</f>
        <v>13</v>
      </c>
      <c r="X16" s="176"/>
      <c r="Y16" s="48">
        <v>1</v>
      </c>
      <c r="Z16" s="48">
        <v>0</v>
      </c>
      <c r="AA16" s="48">
        <v>0</v>
      </c>
      <c r="AB16" s="48">
        <v>0</v>
      </c>
      <c r="AC16" s="133"/>
    </row>
    <row r="17" spans="1:29" ht="17.25" customHeight="1">
      <c r="A17" s="8" t="s">
        <v>37</v>
      </c>
      <c r="B17" s="10">
        <v>3</v>
      </c>
      <c r="C17" s="174" cm="1">
        <f t="array" ref="C17">F17/E17</f>
        <v>0.375</v>
      </c>
      <c r="D17" s="10">
        <v>9</v>
      </c>
      <c r="E17" s="10">
        <v>8</v>
      </c>
      <c r="F17" s="10">
        <v>3</v>
      </c>
      <c r="G17" s="10" cm="1">
        <f t="array" ref="G17">F17-(H17+I17+J17)</f>
        <v>2</v>
      </c>
      <c r="H17" s="10">
        <v>1</v>
      </c>
      <c r="I17" s="10">
        <v>0</v>
      </c>
      <c r="J17" s="10">
        <v>0</v>
      </c>
      <c r="K17" s="10">
        <v>1</v>
      </c>
      <c r="L17" s="10">
        <v>2</v>
      </c>
      <c r="M17" s="10">
        <v>4</v>
      </c>
      <c r="N17" s="10" cm="1">
        <f t="array" ref="N17">Y17+Z17</f>
        <v>1</v>
      </c>
      <c r="O17" s="10">
        <v>1</v>
      </c>
      <c r="P17" s="12" cm="1">
        <f t="array" ref="P17">O17/D17</f>
        <v>0.1111111111111111</v>
      </c>
      <c r="Q17" s="13" cm="1">
        <f t="array" ref="Q17">(G17*1+H17*2+I17*3+J17*4)/E17</f>
        <v>0.5</v>
      </c>
      <c r="R17" s="13" cm="1">
        <f t="array" ref="R17">(F17+N17)/(D17-AA17)</f>
        <v>0.44444444444444442</v>
      </c>
      <c r="S17" s="15" cm="1">
        <f t="array" ref="S17">R17+Q17</f>
        <v>0.94444444444444442</v>
      </c>
      <c r="T17" s="128" cm="1">
        <f t="array" ref="T17">O17/(D17-(F17+N17))</f>
        <v>0.2</v>
      </c>
      <c r="U17" s="17" cm="1">
        <f t="array" ref="U17">RANK(R17,$R$4:$R$26)</f>
        <v>11</v>
      </c>
      <c r="V17" s="18" cm="1">
        <f t="array" ref="V17">RANK(S17,$S$4:$S$26)</f>
        <v>11</v>
      </c>
      <c r="W17" s="129" cm="1">
        <f t="array" ref="W17">RANK(C17,$C$4:$C$26)</f>
        <v>10</v>
      </c>
      <c r="X17" s="176"/>
      <c r="Y17" s="48">
        <v>1</v>
      </c>
      <c r="Z17" s="48">
        <v>0</v>
      </c>
      <c r="AA17" s="48">
        <v>0</v>
      </c>
      <c r="AB17" s="48">
        <v>0</v>
      </c>
      <c r="AC17" s="133"/>
    </row>
    <row r="18" spans="1:29" ht="17.25" customHeight="1">
      <c r="A18" s="8" t="s">
        <v>38</v>
      </c>
      <c r="B18" s="175"/>
      <c r="C18" s="174"/>
      <c r="D18" s="175"/>
      <c r="E18" s="175"/>
      <c r="F18" s="175"/>
      <c r="G18" s="10" cm="1">
        <f t="array" ref="G18">F18-(H18+I18+J18)</f>
        <v>0</v>
      </c>
      <c r="H18" s="175"/>
      <c r="I18" s="175"/>
      <c r="J18" s="175"/>
      <c r="K18" s="175"/>
      <c r="L18" s="175"/>
      <c r="M18" s="175"/>
      <c r="N18" s="10" cm="1">
        <f t="array" ref="N18">Y18+Z18</f>
        <v>0</v>
      </c>
      <c r="O18" s="175"/>
      <c r="P18" s="12"/>
      <c r="Q18" s="13"/>
      <c r="R18" s="13"/>
      <c r="S18" s="15"/>
      <c r="T18" s="128"/>
      <c r="U18" s="134"/>
      <c r="V18" s="135"/>
      <c r="W18" s="177"/>
      <c r="X18" s="176"/>
      <c r="Y18" s="133"/>
      <c r="Z18" s="133"/>
      <c r="AA18" s="133"/>
      <c r="AB18" s="133"/>
      <c r="AC18" s="133"/>
    </row>
    <row r="19" spans="1:29" ht="17.25" customHeight="1">
      <c r="A19" s="8" t="s">
        <v>39</v>
      </c>
      <c r="B19" s="10">
        <v>5</v>
      </c>
      <c r="C19" s="174" cm="1">
        <f t="array" ref="C19">F19/E19</f>
        <v>0.5</v>
      </c>
      <c r="D19" s="10">
        <v>15</v>
      </c>
      <c r="E19" s="10">
        <v>12</v>
      </c>
      <c r="F19" s="10">
        <v>6</v>
      </c>
      <c r="G19" s="10" cm="1">
        <f t="array" ref="G19">F19-(H19+I19+J19)</f>
        <v>5</v>
      </c>
      <c r="H19" s="10">
        <v>1</v>
      </c>
      <c r="I19" s="10">
        <v>0</v>
      </c>
      <c r="J19" s="10">
        <v>0</v>
      </c>
      <c r="K19" s="10">
        <v>4</v>
      </c>
      <c r="L19" s="10">
        <v>2</v>
      </c>
      <c r="M19" s="10">
        <v>2</v>
      </c>
      <c r="N19" s="10" cm="1">
        <f t="array" ref="N19">Y19+Z19</f>
        <v>2</v>
      </c>
      <c r="O19" s="10">
        <v>3</v>
      </c>
      <c r="P19" s="12" cm="1">
        <f t="array" ref="P19">O19/D19</f>
        <v>0.2</v>
      </c>
      <c r="Q19" s="13" cm="1">
        <f t="array" ref="Q19">(G19*1+H19*2+I19*3+J19*4)/E19</f>
        <v>0.58333333333333337</v>
      </c>
      <c r="R19" s="13" cm="1">
        <f t="array" ref="R19">(F19+N19)/(D19-AA19)</f>
        <v>0.53333333333333333</v>
      </c>
      <c r="S19" s="15" cm="1">
        <f t="array" ref="S19">R19+Q19</f>
        <v>1.1166666666666667</v>
      </c>
      <c r="T19" s="128" cm="1">
        <f t="array" ref="T19">O19/(D19-(F19+N19))</f>
        <v>0.42857142857142855</v>
      </c>
      <c r="U19" s="17" cm="1">
        <f t="array" ref="U19">RANK(R19,$R$4:$R$26)</f>
        <v>10</v>
      </c>
      <c r="V19" s="18" cm="1">
        <f t="array" ref="V19">RANK(S19,$S$4:$S$26)</f>
        <v>6</v>
      </c>
      <c r="W19" s="129" cm="1">
        <f t="array" ref="W19">RANK(C19,$C$4:$C$26)</f>
        <v>7</v>
      </c>
      <c r="X19" s="176"/>
      <c r="Y19" s="48">
        <v>2</v>
      </c>
      <c r="Z19" s="48">
        <v>0</v>
      </c>
      <c r="AA19" s="48">
        <v>0</v>
      </c>
      <c r="AB19" s="48">
        <v>0</v>
      </c>
      <c r="AC19" s="133"/>
    </row>
    <row r="20" spans="1:29" ht="17.25" customHeight="1">
      <c r="A20" s="8" t="s">
        <v>70</v>
      </c>
      <c r="B20" s="175"/>
      <c r="C20" s="174"/>
      <c r="D20" s="175"/>
      <c r="E20" s="175"/>
      <c r="F20" s="175"/>
      <c r="G20" s="175"/>
      <c r="H20" s="175"/>
      <c r="I20" s="175"/>
      <c r="J20" s="175"/>
      <c r="K20" s="175"/>
      <c r="L20" s="175"/>
      <c r="M20" s="175"/>
      <c r="N20" s="175"/>
      <c r="O20" s="175"/>
      <c r="P20" s="12"/>
      <c r="Q20" s="13"/>
      <c r="R20" s="13"/>
      <c r="S20" s="15"/>
      <c r="T20" s="128"/>
      <c r="U20" s="134"/>
      <c r="V20" s="135"/>
      <c r="W20" s="177"/>
      <c r="X20" s="176"/>
      <c r="Y20" s="133"/>
      <c r="Z20" s="133"/>
      <c r="AA20" s="133"/>
      <c r="AB20" s="133"/>
      <c r="AC20" s="133"/>
    </row>
    <row r="21" spans="1:29" ht="17.25" customHeight="1">
      <c r="A21" s="8" t="s">
        <v>40</v>
      </c>
      <c r="B21" s="10">
        <v>3</v>
      </c>
      <c r="C21" s="174" cm="1">
        <f t="array" ref="C21">F21/E21</f>
        <v>0.4</v>
      </c>
      <c r="D21" s="10">
        <v>7</v>
      </c>
      <c r="E21" s="10">
        <v>5</v>
      </c>
      <c r="F21" s="10">
        <v>2</v>
      </c>
      <c r="G21" s="10" cm="1">
        <f t="array" ref="G21">F21-(H21+I21+J21)</f>
        <v>2</v>
      </c>
      <c r="H21" s="10">
        <v>0</v>
      </c>
      <c r="I21" s="10">
        <v>0</v>
      </c>
      <c r="J21" s="10">
        <v>0</v>
      </c>
      <c r="K21" s="10">
        <v>2</v>
      </c>
      <c r="L21" s="10">
        <v>3</v>
      </c>
      <c r="M21" s="10">
        <v>3</v>
      </c>
      <c r="N21" s="10" cm="1">
        <f t="array" ref="N21">Y21+Z21</f>
        <v>2</v>
      </c>
      <c r="O21" s="10">
        <v>0</v>
      </c>
      <c r="P21" s="12" cm="1">
        <f t="array" ref="P21">O21/D21</f>
        <v>0</v>
      </c>
      <c r="Q21" s="13" cm="1">
        <f t="array" ref="Q21">(G21*1+H21*2+I21*3+J21*4)/E21</f>
        <v>0.4</v>
      </c>
      <c r="R21" s="13" cm="1">
        <f t="array" ref="R21">(F21+N21)/(D21-AA21)</f>
        <v>0.5714285714285714</v>
      </c>
      <c r="S21" s="15" cm="1">
        <f t="array" ref="S21">R21+Q21</f>
        <v>0.97142857142857142</v>
      </c>
      <c r="T21" s="128" cm="1">
        <f t="array" ref="T21">O21/(D21-(F21+N21))</f>
        <v>0</v>
      </c>
      <c r="U21" s="17" cm="1">
        <f t="array" ref="U21">RANK(R21,$R$4:$R$26)</f>
        <v>6</v>
      </c>
      <c r="V21" s="18" cm="1">
        <f t="array" ref="V21">RANK(S21,$S$4:$S$26)</f>
        <v>10</v>
      </c>
      <c r="W21" s="129" cm="1">
        <f t="array" ref="W21">RANK(C21,$C$4:$C$26)</f>
        <v>9</v>
      </c>
      <c r="X21" s="176"/>
      <c r="Y21" s="48">
        <v>1</v>
      </c>
      <c r="Z21" s="48">
        <v>1</v>
      </c>
      <c r="AA21" s="48">
        <v>0</v>
      </c>
      <c r="AB21" s="48">
        <v>0</v>
      </c>
      <c r="AC21" s="133"/>
    </row>
    <row r="22" spans="1:29" ht="17.25" customHeight="1">
      <c r="A22" s="8" t="s">
        <v>41</v>
      </c>
      <c r="B22" s="175"/>
      <c r="C22" s="174"/>
      <c r="D22" s="175"/>
      <c r="E22" s="175"/>
      <c r="F22" s="175"/>
      <c r="G22" s="10" cm="1">
        <f t="array" ref="G22">F22-(H22+I22+J22)</f>
        <v>0</v>
      </c>
      <c r="H22" s="175"/>
      <c r="I22" s="175"/>
      <c r="J22" s="175"/>
      <c r="K22" s="175"/>
      <c r="L22" s="175"/>
      <c r="M22" s="175"/>
      <c r="N22" s="10" cm="1">
        <f t="array" ref="N22">Y22+Z22</f>
        <v>0</v>
      </c>
      <c r="O22" s="175"/>
      <c r="P22" s="12"/>
      <c r="Q22" s="13"/>
      <c r="R22" s="13"/>
      <c r="S22" s="15"/>
      <c r="T22" s="128"/>
      <c r="U22" s="134"/>
      <c r="V22" s="135"/>
      <c r="W22" s="177"/>
      <c r="X22" s="176"/>
      <c r="Y22" s="133"/>
      <c r="Z22" s="133"/>
      <c r="AA22" s="133"/>
      <c r="AB22" s="133"/>
      <c r="AC22" s="133"/>
    </row>
    <row r="23" spans="1:29" ht="17.25" customHeight="1">
      <c r="A23" s="8" t="s">
        <v>42</v>
      </c>
      <c r="B23" s="175"/>
      <c r="C23" s="174"/>
      <c r="D23" s="175"/>
      <c r="E23" s="175"/>
      <c r="F23" s="175"/>
      <c r="G23" s="10" cm="1">
        <f t="array" ref="G23">F23-(H23+I23+J23)</f>
        <v>0</v>
      </c>
      <c r="H23" s="175"/>
      <c r="I23" s="175"/>
      <c r="J23" s="175"/>
      <c r="K23" s="175"/>
      <c r="L23" s="175"/>
      <c r="M23" s="175"/>
      <c r="N23" s="10" cm="1">
        <f t="array" ref="N23">Y23+Z23</f>
        <v>0</v>
      </c>
      <c r="O23" s="175"/>
      <c r="P23" s="12"/>
      <c r="Q23" s="13"/>
      <c r="R23" s="13"/>
      <c r="S23" s="15"/>
      <c r="T23" s="128"/>
      <c r="U23" s="134"/>
      <c r="V23" s="135"/>
      <c r="W23" s="177"/>
      <c r="X23" s="176"/>
      <c r="Y23" s="133"/>
      <c r="Z23" s="133"/>
      <c r="AA23" s="133"/>
      <c r="AB23" s="133"/>
      <c r="AC23" s="133"/>
    </row>
    <row r="24" spans="1:29" ht="17.25" customHeight="1">
      <c r="A24" s="8" t="s">
        <v>43</v>
      </c>
      <c r="B24" s="10">
        <v>7</v>
      </c>
      <c r="C24" s="174" cm="1">
        <f t="array" ref="C24">F24/E24</f>
        <v>0.52631578947368418</v>
      </c>
      <c r="D24" s="10">
        <v>23</v>
      </c>
      <c r="E24" s="10">
        <v>19</v>
      </c>
      <c r="F24" s="10">
        <v>10</v>
      </c>
      <c r="G24" s="10" cm="1">
        <f t="array" ref="G24">F24-(H24+I24+J24)</f>
        <v>9</v>
      </c>
      <c r="H24" s="10">
        <v>1</v>
      </c>
      <c r="I24" s="10">
        <v>0</v>
      </c>
      <c r="J24" s="10">
        <v>0</v>
      </c>
      <c r="K24" s="10">
        <v>3</v>
      </c>
      <c r="L24" s="10">
        <v>9</v>
      </c>
      <c r="M24" s="10">
        <v>5</v>
      </c>
      <c r="N24" s="10" cm="1">
        <f t="array" ref="N24">Y24+Z24</f>
        <v>4</v>
      </c>
      <c r="O24" s="10">
        <v>1</v>
      </c>
      <c r="P24" s="12" cm="1">
        <f t="array" ref="P24">O24/D24</f>
        <v>4.3478260869565216E-2</v>
      </c>
      <c r="Q24" s="13" cm="1">
        <f t="array" ref="Q24">(G24*1+H24*2+I24*3+J24*4)/E24</f>
        <v>0.57894736842105265</v>
      </c>
      <c r="R24" s="13" cm="1">
        <f t="array" ref="R24">(F24+N24)/(D24-AA24)</f>
        <v>0.60869565217391308</v>
      </c>
      <c r="S24" s="15" cm="1">
        <f t="array" ref="S24">R24+Q24</f>
        <v>1.1876430205949657</v>
      </c>
      <c r="T24" s="128" cm="1">
        <f t="array" ref="T24">O24/(D24-(F24+N24))</f>
        <v>0.1111111111111111</v>
      </c>
      <c r="U24" s="17" cm="1">
        <f t="array" ref="U24">RANK(R24,$R$4:$R$26)</f>
        <v>4</v>
      </c>
      <c r="V24" s="18" cm="1">
        <f t="array" ref="V24">RANK(S24,$S$4:$S$26)</f>
        <v>5</v>
      </c>
      <c r="W24" s="129" cm="1">
        <f t="array" ref="W24">RANK(C24,$C$4:$C$26)</f>
        <v>6</v>
      </c>
      <c r="X24" s="176"/>
      <c r="Y24" s="48">
        <v>3</v>
      </c>
      <c r="Z24" s="48">
        <v>1</v>
      </c>
      <c r="AA24" s="48">
        <v>0</v>
      </c>
      <c r="AB24" s="48">
        <v>0</v>
      </c>
      <c r="AC24" s="133"/>
    </row>
    <row r="25" spans="1:29" ht="17.25" customHeight="1">
      <c r="A25" s="8" t="s">
        <v>71</v>
      </c>
      <c r="B25" s="175"/>
      <c r="C25" s="174"/>
      <c r="D25" s="175"/>
      <c r="E25" s="175"/>
      <c r="F25" s="175"/>
      <c r="G25" s="175"/>
      <c r="H25" s="175"/>
      <c r="I25" s="175"/>
      <c r="J25" s="175"/>
      <c r="K25" s="175"/>
      <c r="L25" s="175"/>
      <c r="M25" s="175"/>
      <c r="N25" s="175"/>
      <c r="O25" s="175"/>
      <c r="P25" s="12"/>
      <c r="Q25" s="13"/>
      <c r="R25" s="13"/>
      <c r="S25" s="15"/>
      <c r="T25" s="128"/>
      <c r="U25" s="134"/>
      <c r="V25" s="135"/>
      <c r="W25" s="177"/>
      <c r="X25" s="176"/>
      <c r="Y25" s="133"/>
      <c r="Z25" s="133"/>
      <c r="AA25" s="133"/>
      <c r="AB25" s="133"/>
      <c r="AC25" s="178"/>
    </row>
    <row r="26" spans="1:29" ht="17.25" customHeight="1">
      <c r="A26" s="8" t="s">
        <v>44</v>
      </c>
      <c r="B26" s="10">
        <v>6</v>
      </c>
      <c r="C26" s="174" cm="1">
        <f t="array" ref="C26">F26/E26</f>
        <v>0.3125</v>
      </c>
      <c r="D26" s="10">
        <v>21</v>
      </c>
      <c r="E26" s="10">
        <v>16</v>
      </c>
      <c r="F26" s="10">
        <v>5</v>
      </c>
      <c r="G26" s="10" cm="1">
        <f t="array" ref="G26">F26-(H26+I26+J26)</f>
        <v>2</v>
      </c>
      <c r="H26" s="10">
        <v>2</v>
      </c>
      <c r="I26" s="10">
        <v>1</v>
      </c>
      <c r="J26" s="10">
        <v>0</v>
      </c>
      <c r="K26" s="10">
        <v>5</v>
      </c>
      <c r="L26" s="10">
        <v>6</v>
      </c>
      <c r="M26" s="10">
        <v>3</v>
      </c>
      <c r="N26" s="10" cm="1">
        <f t="array" ref="N26">Y26+Z26</f>
        <v>3</v>
      </c>
      <c r="O26" s="10">
        <v>0</v>
      </c>
      <c r="P26" s="12" cm="1">
        <f t="array" ref="P26">O26/D26</f>
        <v>0</v>
      </c>
      <c r="Q26" s="13" cm="1">
        <f t="array" ref="Q26">(G26*1+H26*2+I26*3+J26*4)/E26</f>
        <v>0.5625</v>
      </c>
      <c r="R26" s="13" cm="1">
        <f t="array" ref="R26">(F26+N26)/(D26-AA26)</f>
        <v>0.42105263157894735</v>
      </c>
      <c r="S26" s="15" cm="1">
        <f t="array" ref="S26">R26+Q26</f>
        <v>0.98355263157894735</v>
      </c>
      <c r="T26" s="128" cm="1">
        <f t="array" ref="T26">O26/(D26-(F26+N26))</f>
        <v>0</v>
      </c>
      <c r="U26" s="17" cm="1">
        <f t="array" ref="U26">RANK(R26,$R$4:$R$26)</f>
        <v>12</v>
      </c>
      <c r="V26" s="18" cm="1">
        <f t="array" ref="V26">RANK(S26,$S$4:$S$26)</f>
        <v>9</v>
      </c>
      <c r="W26" s="129" cm="1">
        <f t="array" ref="W26">RANK(C26,$C$4:$C$26)</f>
        <v>11</v>
      </c>
      <c r="X26" s="176"/>
      <c r="Y26" s="48">
        <v>3</v>
      </c>
      <c r="Z26" s="48">
        <v>0</v>
      </c>
      <c r="AA26" s="48">
        <v>2</v>
      </c>
      <c r="AB26" s="48">
        <v>0</v>
      </c>
      <c r="AC26" s="179"/>
    </row>
    <row r="27" spans="1:29" ht="17.25" customHeight="1">
      <c r="A27" s="29" t="s">
        <v>45</v>
      </c>
      <c r="B27" s="103"/>
      <c r="C27" s="105" cm="1">
        <f t="array" ref="C27">F27/E27</f>
        <v>0.46285714285714286</v>
      </c>
      <c r="D27" s="49" cm="1">
        <f t="array" ref="D27">SUM(D4:D26)</f>
        <v>211</v>
      </c>
      <c r="E27" s="49" cm="1">
        <f t="array" ref="E27">SUM(E4:E26)</f>
        <v>175</v>
      </c>
      <c r="F27" s="49" cm="1">
        <f t="array" ref="F27">SUM(F4:F26)</f>
        <v>81</v>
      </c>
      <c r="G27" s="49" cm="1">
        <f t="array" ref="G27">SUM(G4:G26)</f>
        <v>61</v>
      </c>
      <c r="H27" s="49" cm="1">
        <f t="array" ref="H27">SUM(H4:H26)</f>
        <v>17</v>
      </c>
      <c r="I27" s="49" cm="1">
        <f t="array" ref="I27">SUM(I4:I26)</f>
        <v>3</v>
      </c>
      <c r="J27" s="49" cm="1">
        <f t="array" ref="J27">SUM(J4:J26)</f>
        <v>0</v>
      </c>
      <c r="K27" s="49" cm="1">
        <f t="array" ref="K27">SUM(K4:K26)</f>
        <v>71</v>
      </c>
      <c r="L27" s="49" cm="1">
        <f t="array" ref="L27">SUM(L4:L26)</f>
        <v>60</v>
      </c>
      <c r="M27" s="49" cm="1">
        <f t="array" ref="M27">SUM(M4:M26)</f>
        <v>65</v>
      </c>
      <c r="N27" s="49" cm="1">
        <f t="array" ref="N27">SUM(N4:N26)</f>
        <v>29</v>
      </c>
      <c r="O27" s="49" cm="1">
        <f t="array" ref="O27">SUM(O4:O26)</f>
        <v>19</v>
      </c>
      <c r="P27" s="33" cm="1">
        <f t="array" ref="P27">O27/D27</f>
        <v>9.004739336492891E-2</v>
      </c>
      <c r="Q27" s="105"/>
      <c r="R27" s="105"/>
      <c r="S27" s="100"/>
      <c r="T27" s="31"/>
      <c r="U27" s="31"/>
      <c r="V27" s="31"/>
      <c r="W27" s="31"/>
      <c r="X27" s="58"/>
      <c r="Y27" s="136" cm="1">
        <f t="array" ref="Y27">SUM(Y4:Y26)</f>
        <v>20</v>
      </c>
      <c r="Z27" s="136" cm="1">
        <f t="array" ref="Z27">SUM(Z4:Z26)</f>
        <v>9</v>
      </c>
      <c r="AA27" s="136" cm="1">
        <f t="array" ref="AA27">SUM(AA4:AA26)</f>
        <v>2</v>
      </c>
      <c r="AB27" s="136" cm="1">
        <f t="array" ref="AB27">SUM(AB4:AB26)</f>
        <v>0</v>
      </c>
      <c r="AC27" s="136" cm="1">
        <f t="array" ref="AC27">SUM(AC4:AC26)</f>
        <v>0</v>
      </c>
    </row>
    <row r="28" spans="1:29" ht="17.25" customHeight="1">
      <c r="A28" s="111"/>
      <c r="B28" s="112"/>
      <c r="C28" s="113"/>
      <c r="D28" s="112"/>
      <c r="E28" s="112"/>
      <c r="F28" s="112"/>
      <c r="G28" s="112"/>
      <c r="H28" s="112"/>
      <c r="I28" s="112"/>
      <c r="J28" s="112"/>
      <c r="K28" s="112"/>
      <c r="L28" s="112"/>
      <c r="M28" s="112"/>
      <c r="N28" s="112"/>
      <c r="O28" s="112"/>
      <c r="P28" s="112"/>
      <c r="Q28" s="113"/>
      <c r="R28" s="113"/>
      <c r="S28" s="114"/>
      <c r="T28" s="34"/>
      <c r="U28" s="34"/>
      <c r="V28" s="34"/>
      <c r="W28" s="34"/>
      <c r="X28" s="3"/>
      <c r="Y28" s="34"/>
      <c r="Z28" s="34"/>
      <c r="AA28" s="34"/>
      <c r="AB28" s="34"/>
      <c r="AC28" s="34"/>
    </row>
    <row r="29" spans="1:29" ht="17.25" customHeight="1">
      <c r="A29" s="115" t="s">
        <v>46</v>
      </c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6"/>
      <c r="T29" s="6"/>
      <c r="U29" s="6"/>
      <c r="V29" s="6"/>
      <c r="W29" s="6"/>
      <c r="X29" s="3"/>
      <c r="Y29" s="6"/>
      <c r="Z29" s="6"/>
      <c r="AA29" s="3"/>
      <c r="AB29" s="3"/>
      <c r="AC29" s="3"/>
    </row>
    <row r="30" spans="1:29" ht="34.5" customHeight="1">
      <c r="A30" s="8" t="s">
        <v>2</v>
      </c>
      <c r="B30" s="8" t="s">
        <v>3</v>
      </c>
      <c r="C30" s="8" t="s">
        <v>47</v>
      </c>
      <c r="D30" s="8" t="s">
        <v>48</v>
      </c>
      <c r="E30" s="8" t="s">
        <v>49</v>
      </c>
      <c r="F30" s="8" t="s">
        <v>50</v>
      </c>
      <c r="G30" s="8" t="s">
        <v>6</v>
      </c>
      <c r="H30" s="8" t="s">
        <v>51</v>
      </c>
      <c r="I30" s="8" t="s">
        <v>52</v>
      </c>
      <c r="J30" s="8" t="s">
        <v>53</v>
      </c>
      <c r="K30" s="8" t="s">
        <v>54</v>
      </c>
      <c r="L30" s="8" t="s">
        <v>55</v>
      </c>
      <c r="M30" s="8" t="s">
        <v>56</v>
      </c>
      <c r="N30" s="8" t="s">
        <v>57</v>
      </c>
      <c r="O30" s="8" t="s">
        <v>58</v>
      </c>
      <c r="P30" s="8" t="s">
        <v>59</v>
      </c>
      <c r="Q30" s="8" t="s">
        <v>60</v>
      </c>
      <c r="R30" s="8" t="s">
        <v>61</v>
      </c>
      <c r="S30" s="8" t="s">
        <v>116</v>
      </c>
      <c r="T30" s="8" t="s">
        <v>63</v>
      </c>
      <c r="U30" s="8" t="s">
        <v>163</v>
      </c>
      <c r="V30" s="8" t="s">
        <v>65</v>
      </c>
      <c r="W30" s="8" t="s">
        <v>117</v>
      </c>
      <c r="X30" s="58"/>
      <c r="Y30" s="8" t="s">
        <v>118</v>
      </c>
      <c r="Z30" s="8" t="s">
        <v>119</v>
      </c>
      <c r="AA30" s="9"/>
      <c r="AB30" s="3"/>
      <c r="AC30" s="3"/>
    </row>
    <row r="31" spans="1:29" ht="17.25" customHeight="1">
      <c r="A31" s="8" t="s">
        <v>24</v>
      </c>
      <c r="B31" s="175"/>
      <c r="C31" s="175"/>
      <c r="D31" s="175"/>
      <c r="E31" s="175"/>
      <c r="F31" s="175"/>
      <c r="G31" s="175"/>
      <c r="H31" s="39"/>
      <c r="I31" s="175"/>
      <c r="J31" s="175"/>
      <c r="K31" s="175"/>
      <c r="L31" s="175"/>
      <c r="M31" s="175"/>
      <c r="N31" s="175"/>
      <c r="O31" s="175"/>
      <c r="P31" s="40" t="e" cm="1">
        <f t="array" ref="P31">O31*9/H31</f>
        <v>#DIV/0!</v>
      </c>
      <c r="Q31" s="41" t="e" cm="1">
        <f t="array" ref="Q31">(K31+L31)/H31</f>
        <v>#DIV/0!</v>
      </c>
      <c r="R31" s="42" t="e" cm="1">
        <f t="array" ref="R31">I31/H31</f>
        <v>#DIV/0!</v>
      </c>
      <c r="S31" s="42" t="e" cm="1">
        <f t="array" ref="S31">H31/B31</f>
        <v>#DIV/0!</v>
      </c>
      <c r="T31" s="41" t="e" cm="1">
        <f t="array" ref="T31">M31/H31</f>
        <v>#DIV/0!</v>
      </c>
      <c r="U31" s="44" t="e" cm="1">
        <f t="array" ref="U31">O31/N31</f>
        <v>#DIV/0!</v>
      </c>
      <c r="V31" s="41" t="e" cm="1">
        <f t="array" ref="V31">(I31+K31+L31)/H31</f>
        <v>#DIV/0!</v>
      </c>
      <c r="W31" s="145" t="e" cm="1">
        <f t="array" ref="W31">(L31+K31)/F31*100</f>
        <v>#DIV/0!</v>
      </c>
      <c r="X31" s="180"/>
      <c r="Y31" s="172"/>
      <c r="Z31" s="172"/>
      <c r="AA31" s="9"/>
      <c r="AB31" s="3"/>
      <c r="AC31" s="3"/>
    </row>
    <row r="32" spans="1:29" ht="17.25" customHeight="1">
      <c r="A32" s="8" t="s">
        <v>27</v>
      </c>
      <c r="B32" s="175"/>
      <c r="C32" s="175"/>
      <c r="D32" s="175"/>
      <c r="E32" s="175"/>
      <c r="F32" s="175"/>
      <c r="G32" s="175"/>
      <c r="H32" s="39"/>
      <c r="I32" s="175"/>
      <c r="J32" s="175"/>
      <c r="K32" s="175"/>
      <c r="L32" s="175"/>
      <c r="M32" s="175"/>
      <c r="N32" s="175"/>
      <c r="O32" s="175"/>
      <c r="P32" s="40" t="e" cm="1">
        <f t="array" ref="P32">O32*9/H32</f>
        <v>#DIV/0!</v>
      </c>
      <c r="Q32" s="41" t="e" cm="1">
        <f t="array" ref="Q32">(K32+L32)/H32</f>
        <v>#DIV/0!</v>
      </c>
      <c r="R32" s="42" t="e" cm="1">
        <f t="array" ref="R32">I32/H32</f>
        <v>#DIV/0!</v>
      </c>
      <c r="S32" s="42" t="e" cm="1">
        <f t="array" ref="S32">H32/B32</f>
        <v>#DIV/0!</v>
      </c>
      <c r="T32" s="41" t="e" cm="1">
        <f t="array" ref="T32">M32/H32</f>
        <v>#DIV/0!</v>
      </c>
      <c r="U32" s="44" t="e" cm="1">
        <f t="array" ref="U32">O32/N32</f>
        <v>#DIV/0!</v>
      </c>
      <c r="V32" s="41" t="e" cm="1">
        <f t="array" ref="V32">(I32+K32+L32)/H32</f>
        <v>#DIV/0!</v>
      </c>
      <c r="W32" s="145" t="e" cm="1">
        <f t="array" ref="W32">(L32+K32)/F32*100</f>
        <v>#DIV/0!</v>
      </c>
      <c r="X32" s="180"/>
      <c r="Y32" s="172"/>
      <c r="Z32" s="172"/>
      <c r="AA32" s="9"/>
      <c r="AB32" s="3"/>
      <c r="AC32" s="3"/>
    </row>
    <row r="33" spans="1:29" ht="17.25" customHeight="1">
      <c r="A33" s="8" t="s">
        <v>29</v>
      </c>
      <c r="B33" s="10">
        <v>5</v>
      </c>
      <c r="C33" s="10">
        <v>2</v>
      </c>
      <c r="D33" s="10">
        <v>0</v>
      </c>
      <c r="E33" s="10">
        <v>0</v>
      </c>
      <c r="F33" s="10">
        <v>92</v>
      </c>
      <c r="G33" s="10">
        <v>78</v>
      </c>
      <c r="H33" s="39">
        <v>18</v>
      </c>
      <c r="I33" s="10">
        <v>25</v>
      </c>
      <c r="J33" s="10">
        <v>0</v>
      </c>
      <c r="K33" s="10">
        <v>11</v>
      </c>
      <c r="L33" s="10">
        <v>2</v>
      </c>
      <c r="M33" s="10">
        <v>13</v>
      </c>
      <c r="N33" s="10">
        <v>14</v>
      </c>
      <c r="O33" s="10">
        <v>9</v>
      </c>
      <c r="P33" s="40" cm="1">
        <f t="array" ref="P33">O33*9/H33</f>
        <v>4.5</v>
      </c>
      <c r="Q33" s="41" cm="1">
        <f t="array" ref="Q33">(K33+L33)/H33</f>
        <v>0.72222222222222221</v>
      </c>
      <c r="R33" s="42" cm="1">
        <f t="array" ref="R33">I33/H33</f>
        <v>1.3888888888888888</v>
      </c>
      <c r="S33" s="42" cm="1">
        <f t="array" ref="S33">H33/B33</f>
        <v>3.6</v>
      </c>
      <c r="T33" s="41" cm="1">
        <f t="array" ref="T33">M33/H33</f>
        <v>0.72222222222222221</v>
      </c>
      <c r="U33" s="44" cm="1">
        <f t="array" ref="U33">O33/N33</f>
        <v>0.6428571428571429</v>
      </c>
      <c r="V33" s="41" cm="1">
        <f t="array" ref="V33">(I33+K33+L33)/H33</f>
        <v>2.1111111111111112</v>
      </c>
      <c r="W33" s="145" cm="1">
        <f t="array" ref="W33">(L33+K33)/F33*100</f>
        <v>14.130434782608695</v>
      </c>
      <c r="X33" s="180"/>
      <c r="Y33" s="172"/>
      <c r="Z33" s="172"/>
      <c r="AA33" s="9"/>
      <c r="AB33" s="3"/>
      <c r="AC33" s="3"/>
    </row>
    <row r="34" spans="1:29" ht="17.25" customHeight="1">
      <c r="A34" s="8" t="s">
        <v>33</v>
      </c>
      <c r="B34" s="10">
        <v>2</v>
      </c>
      <c r="C34" s="10">
        <v>0</v>
      </c>
      <c r="D34" s="10">
        <v>1</v>
      </c>
      <c r="E34" s="10">
        <v>0</v>
      </c>
      <c r="F34" s="10">
        <v>36</v>
      </c>
      <c r="G34" s="10">
        <v>29</v>
      </c>
      <c r="H34" s="39">
        <v>5</v>
      </c>
      <c r="I34" s="10">
        <v>11</v>
      </c>
      <c r="J34" s="10">
        <v>0</v>
      </c>
      <c r="K34" s="10">
        <v>5</v>
      </c>
      <c r="L34" s="10">
        <v>1</v>
      </c>
      <c r="M34" s="10">
        <v>3</v>
      </c>
      <c r="N34" s="10">
        <v>15</v>
      </c>
      <c r="O34" s="10">
        <v>10</v>
      </c>
      <c r="P34" s="40" cm="1">
        <f t="array" ref="P34">O34*9/H34</f>
        <v>18</v>
      </c>
      <c r="Q34" s="41" cm="1">
        <f t="array" ref="Q34">(K34+L34)/H34</f>
        <v>1.2</v>
      </c>
      <c r="R34" s="42" cm="1">
        <f t="array" ref="R34">I34/H34</f>
        <v>2.2000000000000002</v>
      </c>
      <c r="S34" s="42" cm="1">
        <f t="array" ref="S34">H34/B34</f>
        <v>2.5</v>
      </c>
      <c r="T34" s="41" cm="1">
        <f t="array" ref="T34">M34/H34</f>
        <v>0.6</v>
      </c>
      <c r="U34" s="44" cm="1">
        <f t="array" ref="U34">O34/N34</f>
        <v>0.66666666666666663</v>
      </c>
      <c r="V34" s="41" cm="1">
        <f t="array" ref="V34">(I34+K34+L34)/H34</f>
        <v>3.4</v>
      </c>
      <c r="W34" s="145" cm="1">
        <f t="array" ref="W34">(L34+K34)/F34*100</f>
        <v>16.666666666666664</v>
      </c>
      <c r="X34" s="180"/>
      <c r="Y34" s="172"/>
      <c r="Z34" s="172"/>
      <c r="AA34" s="9"/>
      <c r="AB34" s="3"/>
      <c r="AC34" s="3"/>
    </row>
    <row r="35" spans="1:29" ht="17.25" customHeight="1">
      <c r="A35" s="8" t="s">
        <v>35</v>
      </c>
      <c r="B35" s="175"/>
      <c r="C35" s="175"/>
      <c r="D35" s="175"/>
      <c r="E35" s="175"/>
      <c r="F35" s="175"/>
      <c r="G35" s="175"/>
      <c r="H35" s="39"/>
      <c r="I35" s="175"/>
      <c r="J35" s="175"/>
      <c r="K35" s="175"/>
      <c r="L35" s="175"/>
      <c r="M35" s="175"/>
      <c r="N35" s="175"/>
      <c r="O35" s="175"/>
      <c r="P35" s="40" t="e" cm="1">
        <f t="array" ref="P35">O35*9/H35</f>
        <v>#DIV/0!</v>
      </c>
      <c r="Q35" s="41" t="e" cm="1">
        <f t="array" ref="Q35">(K35+L35)/H35</f>
        <v>#DIV/0!</v>
      </c>
      <c r="R35" s="42" t="e" cm="1">
        <f t="array" ref="R35">I35/H35</f>
        <v>#DIV/0!</v>
      </c>
      <c r="S35" s="42" t="e" cm="1">
        <f t="array" ref="S35">H35/B35</f>
        <v>#DIV/0!</v>
      </c>
      <c r="T35" s="41" t="e" cm="1">
        <f t="array" ref="T35">M35/H35</f>
        <v>#DIV/0!</v>
      </c>
      <c r="U35" s="44" t="e" cm="1">
        <f t="array" ref="U35">O35/N35</f>
        <v>#DIV/0!</v>
      </c>
      <c r="V35" s="41" t="e" cm="1">
        <f t="array" ref="V35">(I35+K35+L35)/H35</f>
        <v>#DIV/0!</v>
      </c>
      <c r="W35" s="145" t="e" cm="1">
        <f t="array" ref="W35">(L35+K35)/F35*100</f>
        <v>#DIV/0!</v>
      </c>
      <c r="X35" s="180"/>
      <c r="Y35" s="172"/>
      <c r="Z35" s="172"/>
      <c r="AA35" s="9"/>
      <c r="AB35" s="3"/>
      <c r="AC35" s="3"/>
    </row>
    <row r="36" spans="1:29" ht="17.25" customHeight="1">
      <c r="A36" s="8" t="s">
        <v>36</v>
      </c>
      <c r="B36" s="10">
        <v>5</v>
      </c>
      <c r="C36" s="10">
        <v>2</v>
      </c>
      <c r="D36" s="10">
        <v>1</v>
      </c>
      <c r="E36" s="10">
        <v>0</v>
      </c>
      <c r="F36" s="10">
        <v>82</v>
      </c>
      <c r="G36" s="10">
        <v>59</v>
      </c>
      <c r="H36" s="39">
        <v>11</v>
      </c>
      <c r="I36" s="10">
        <v>28</v>
      </c>
      <c r="J36" s="10">
        <v>0</v>
      </c>
      <c r="K36" s="10">
        <v>19</v>
      </c>
      <c r="L36" s="10">
        <v>2</v>
      </c>
      <c r="M36" s="10">
        <v>10</v>
      </c>
      <c r="N36" s="10">
        <v>28</v>
      </c>
      <c r="O36" s="10">
        <v>21</v>
      </c>
      <c r="P36" s="40" cm="1">
        <f t="array" ref="P36">O36*9/H36</f>
        <v>17.181818181818183</v>
      </c>
      <c r="Q36" s="41" cm="1">
        <f t="array" ref="Q36">(K36+L36)/H36</f>
        <v>1.9090909090909092</v>
      </c>
      <c r="R36" s="42" cm="1">
        <f t="array" ref="R36">I36/H36</f>
        <v>2.5454545454545454</v>
      </c>
      <c r="S36" s="42" cm="1">
        <f t="array" ref="S36">H36/B36</f>
        <v>2.2000000000000002</v>
      </c>
      <c r="T36" s="41" cm="1">
        <f t="array" ref="T36">M36/H36</f>
        <v>0.90909090909090906</v>
      </c>
      <c r="U36" s="44" cm="1">
        <f t="array" ref="U36">O36/N36</f>
        <v>0.75</v>
      </c>
      <c r="V36" s="41" cm="1">
        <f t="array" ref="V36">(I36+K36+L36)/H36</f>
        <v>4.4545454545454541</v>
      </c>
      <c r="W36" s="145" cm="1">
        <f t="array" ref="W36">(L36+K36)/F36*100</f>
        <v>25.609756097560975</v>
      </c>
      <c r="X36" s="180"/>
      <c r="Y36" s="172"/>
      <c r="Z36" s="172"/>
      <c r="AA36" s="9"/>
      <c r="AB36" s="3"/>
      <c r="AC36" s="3"/>
    </row>
    <row r="37" spans="1:29" ht="17.25" customHeight="1">
      <c r="A37" s="8" t="s">
        <v>37</v>
      </c>
      <c r="B37" s="175"/>
      <c r="C37" s="175"/>
      <c r="D37" s="175"/>
      <c r="E37" s="175"/>
      <c r="F37" s="175"/>
      <c r="G37" s="175"/>
      <c r="H37" s="39"/>
      <c r="I37" s="175"/>
      <c r="J37" s="175"/>
      <c r="K37" s="175"/>
      <c r="L37" s="175"/>
      <c r="M37" s="175"/>
      <c r="N37" s="175"/>
      <c r="O37" s="175"/>
      <c r="P37" s="40" t="e" cm="1">
        <f t="array" ref="P37">O37*9/H37</f>
        <v>#DIV/0!</v>
      </c>
      <c r="Q37" s="41" t="e" cm="1">
        <f t="array" ref="Q37">(K37+L37)/H37</f>
        <v>#DIV/0!</v>
      </c>
      <c r="R37" s="42" t="e" cm="1">
        <f t="array" ref="R37">I37/H37</f>
        <v>#DIV/0!</v>
      </c>
      <c r="S37" s="42" t="e" cm="1">
        <f t="array" ref="S37">H37/B37</f>
        <v>#DIV/0!</v>
      </c>
      <c r="T37" s="41" t="e" cm="1">
        <f t="array" ref="T37">M37/H37</f>
        <v>#DIV/0!</v>
      </c>
      <c r="U37" s="44" t="e" cm="1">
        <f t="array" ref="U37">O37/N37</f>
        <v>#DIV/0!</v>
      </c>
      <c r="V37" s="41" t="e" cm="1">
        <f t="array" ref="V37">(I37+K37+L37)/H37</f>
        <v>#DIV/0!</v>
      </c>
      <c r="W37" s="145" t="e" cm="1">
        <f t="array" ref="W37">(L37+K37)/F37*100</f>
        <v>#DIV/0!</v>
      </c>
      <c r="X37" s="180"/>
      <c r="Y37" s="172"/>
      <c r="Z37" s="172"/>
      <c r="AA37" s="9"/>
      <c r="AB37" s="3"/>
      <c r="AC37" s="3"/>
    </row>
    <row r="38" spans="1:29" ht="17.25" customHeight="1">
      <c r="A38" s="8" t="s">
        <v>40</v>
      </c>
      <c r="B38" s="175"/>
      <c r="C38" s="175"/>
      <c r="D38" s="175"/>
      <c r="E38" s="175"/>
      <c r="F38" s="175"/>
      <c r="G38" s="175"/>
      <c r="H38" s="39"/>
      <c r="I38" s="175"/>
      <c r="J38" s="175"/>
      <c r="K38" s="175"/>
      <c r="L38" s="175"/>
      <c r="M38" s="175"/>
      <c r="N38" s="175"/>
      <c r="O38" s="175"/>
      <c r="P38" s="40" t="e" cm="1">
        <f t="array" ref="P38">O38*9/H38</f>
        <v>#DIV/0!</v>
      </c>
      <c r="Q38" s="41" t="e" cm="1">
        <f t="array" ref="Q38">(K38+L38)/H38</f>
        <v>#DIV/0!</v>
      </c>
      <c r="R38" s="42" t="e" cm="1">
        <f t="array" ref="R38">I38/H38</f>
        <v>#DIV/0!</v>
      </c>
      <c r="S38" s="42" t="e" cm="1">
        <f t="array" ref="S38">H38/B38</f>
        <v>#DIV/0!</v>
      </c>
      <c r="T38" s="41" t="e" cm="1">
        <f t="array" ref="T38">M38/H38</f>
        <v>#DIV/0!</v>
      </c>
      <c r="U38" s="44" t="e" cm="1">
        <f t="array" ref="U38">O38/N38</f>
        <v>#DIV/0!</v>
      </c>
      <c r="V38" s="41" t="e" cm="1">
        <f t="array" ref="V38">(I38+K38+L38)/H38</f>
        <v>#DIV/0!</v>
      </c>
      <c r="W38" s="145" t="e" cm="1">
        <f t="array" ref="W38">(L38+K38)/F38*100</f>
        <v>#DIV/0!</v>
      </c>
      <c r="X38" s="180"/>
      <c r="Y38" s="172"/>
      <c r="Z38" s="172"/>
      <c r="AA38" s="9"/>
      <c r="AB38" s="3"/>
      <c r="AC38" s="3"/>
    </row>
    <row r="39" spans="1:29" ht="17.25" customHeight="1">
      <c r="A39" s="8" t="s">
        <v>41</v>
      </c>
      <c r="B39" s="175"/>
      <c r="C39" s="175"/>
      <c r="D39" s="175"/>
      <c r="E39" s="175"/>
      <c r="F39" s="175"/>
      <c r="G39" s="175"/>
      <c r="H39" s="39"/>
      <c r="I39" s="175"/>
      <c r="J39" s="175"/>
      <c r="K39" s="175"/>
      <c r="L39" s="175"/>
      <c r="M39" s="175"/>
      <c r="N39" s="175"/>
      <c r="O39" s="175"/>
      <c r="P39" s="40" t="e" cm="1">
        <f t="array" ref="P39">O39*9/H39</f>
        <v>#DIV/0!</v>
      </c>
      <c r="Q39" s="41" t="e" cm="1">
        <f t="array" ref="Q39">(K39+L39)/H39</f>
        <v>#DIV/0!</v>
      </c>
      <c r="R39" s="42" t="e" cm="1">
        <f t="array" ref="R39">I39/H39</f>
        <v>#DIV/0!</v>
      </c>
      <c r="S39" s="42" t="e" cm="1">
        <f t="array" ref="S39">H39/B39</f>
        <v>#DIV/0!</v>
      </c>
      <c r="T39" s="41" t="e" cm="1">
        <f t="array" ref="T39">M39/H39</f>
        <v>#DIV/0!</v>
      </c>
      <c r="U39" s="44" t="e" cm="1">
        <f t="array" ref="U39">O39/N39</f>
        <v>#DIV/0!</v>
      </c>
      <c r="V39" s="41" t="e" cm="1">
        <f t="array" ref="V39">(I39+K39+L39)/H39</f>
        <v>#DIV/0!</v>
      </c>
      <c r="W39" s="145" t="e" cm="1">
        <f t="array" ref="W39">(L39+K39)/F39*100</f>
        <v>#DIV/0!</v>
      </c>
      <c r="X39" s="180"/>
      <c r="Y39" s="172"/>
      <c r="Z39" s="172"/>
      <c r="AA39" s="9"/>
      <c r="AB39" s="3"/>
      <c r="AC39" s="3"/>
    </row>
    <row r="40" spans="1:29" ht="17.25" customHeight="1">
      <c r="A40" s="8" t="s">
        <v>42</v>
      </c>
      <c r="B40" s="175"/>
      <c r="C40" s="175"/>
      <c r="D40" s="175"/>
      <c r="E40" s="175"/>
      <c r="F40" s="175"/>
      <c r="G40" s="175"/>
      <c r="H40" s="39"/>
      <c r="I40" s="175"/>
      <c r="J40" s="175"/>
      <c r="K40" s="175"/>
      <c r="L40" s="175"/>
      <c r="M40" s="175"/>
      <c r="N40" s="175"/>
      <c r="O40" s="175"/>
      <c r="P40" s="40" t="e" cm="1">
        <f t="array" ref="P40">O40*9/H40</f>
        <v>#DIV/0!</v>
      </c>
      <c r="Q40" s="41" t="e" cm="1">
        <f t="array" ref="Q40">(K40+L40)/H40</f>
        <v>#DIV/0!</v>
      </c>
      <c r="R40" s="42" t="e" cm="1">
        <f t="array" ref="R40">I40/H40</f>
        <v>#DIV/0!</v>
      </c>
      <c r="S40" s="42" t="e" cm="1">
        <f t="array" ref="S40">H40/B40</f>
        <v>#DIV/0!</v>
      </c>
      <c r="T40" s="41" t="e" cm="1">
        <f t="array" ref="T40">M40/H40</f>
        <v>#DIV/0!</v>
      </c>
      <c r="U40" s="44" t="e" cm="1">
        <f t="array" ref="U40">O40/N40</f>
        <v>#DIV/0!</v>
      </c>
      <c r="V40" s="41" t="e" cm="1">
        <f t="array" ref="V40">(I40+K40+L40)/H40</f>
        <v>#DIV/0!</v>
      </c>
      <c r="W40" s="145" t="e" cm="1">
        <f t="array" ref="W40">(L40+K40)/F40*100</f>
        <v>#DIV/0!</v>
      </c>
      <c r="X40" s="180"/>
      <c r="Y40" s="172"/>
      <c r="Z40" s="172"/>
      <c r="AA40" s="9"/>
      <c r="AB40" s="3"/>
      <c r="AC40" s="3"/>
    </row>
    <row r="41" spans="1:29" ht="17.25" customHeight="1">
      <c r="A41" s="8" t="s">
        <v>43</v>
      </c>
      <c r="B41" s="175"/>
      <c r="C41" s="175"/>
      <c r="D41" s="175"/>
      <c r="E41" s="175"/>
      <c r="F41" s="175"/>
      <c r="G41" s="175"/>
      <c r="H41" s="39"/>
      <c r="I41" s="175"/>
      <c r="J41" s="175"/>
      <c r="K41" s="175"/>
      <c r="L41" s="175"/>
      <c r="M41" s="175"/>
      <c r="N41" s="175"/>
      <c r="O41" s="175"/>
      <c r="P41" s="40" t="e" cm="1">
        <f t="array" ref="P41">O41*9/H41</f>
        <v>#DIV/0!</v>
      </c>
      <c r="Q41" s="41" t="e" cm="1">
        <f t="array" ref="Q41">(K41+L41)/H41</f>
        <v>#DIV/0!</v>
      </c>
      <c r="R41" s="42" t="e" cm="1">
        <f t="array" ref="R41">I41/H41</f>
        <v>#DIV/0!</v>
      </c>
      <c r="S41" s="42" t="e" cm="1">
        <f t="array" ref="S41">H41/B41</f>
        <v>#DIV/0!</v>
      </c>
      <c r="T41" s="41" t="e" cm="1">
        <f t="array" ref="T41">M41/H41</f>
        <v>#DIV/0!</v>
      </c>
      <c r="U41" s="44" t="e" cm="1">
        <f t="array" ref="U41">O41/N41</f>
        <v>#DIV/0!</v>
      </c>
      <c r="V41" s="41" t="e" cm="1">
        <f t="array" ref="V41">(I41+K41+L41)/H41</f>
        <v>#DIV/0!</v>
      </c>
      <c r="W41" s="145" t="e" cm="1">
        <f t="array" ref="W41">(L41+K41)/F41*100</f>
        <v>#DIV/0!</v>
      </c>
      <c r="X41" s="180"/>
      <c r="Y41" s="172"/>
      <c r="Z41" s="172"/>
      <c r="AA41" s="9"/>
      <c r="AB41" s="3"/>
      <c r="AC41" s="3"/>
    </row>
    <row r="42" spans="1:29" ht="17.25" customHeight="1">
      <c r="A42" s="29" t="s">
        <v>45</v>
      </c>
      <c r="B42" s="103"/>
      <c r="C42" s="49" cm="1">
        <f t="array" ref="C42">SUM(C31:C41)</f>
        <v>4</v>
      </c>
      <c r="D42" s="49" cm="1">
        <f t="array" ref="D42">SUM(D31:D41)</f>
        <v>2</v>
      </c>
      <c r="E42" s="49" cm="1">
        <f t="array" ref="E42">SUM(E31:E41)</f>
        <v>0</v>
      </c>
      <c r="F42" s="49" cm="1">
        <f t="array" ref="F42">SUM(F31:F41)</f>
        <v>210</v>
      </c>
      <c r="G42" s="49" cm="1">
        <f t="array" ref="G42">SUM(G31:G41)</f>
        <v>166</v>
      </c>
      <c r="H42" s="50" cm="1">
        <f t="array" ref="H42">SUM(H31:H41)</f>
        <v>34</v>
      </c>
      <c r="I42" s="49" cm="1">
        <f t="array" ref="I42">SUM(I31:I41)</f>
        <v>64</v>
      </c>
      <c r="J42" s="49" cm="1">
        <f t="array" ref="J42">SUM(J31:J41)</f>
        <v>0</v>
      </c>
      <c r="K42" s="49" cm="1">
        <f t="array" ref="K42">SUM(K31:K41)</f>
        <v>35</v>
      </c>
      <c r="L42" s="49" cm="1">
        <f t="array" ref="L42">SUM(L31:L41)</f>
        <v>5</v>
      </c>
      <c r="M42" s="49" cm="1">
        <f t="array" ref="M42">SUM(M31:M41)</f>
        <v>26</v>
      </c>
      <c r="N42" s="49" cm="1">
        <f t="array" ref="N42">SUM(N31:N41)</f>
        <v>57</v>
      </c>
      <c r="O42" s="49" cm="1">
        <f t="array" ref="O42">SUM(O31:O41)</f>
        <v>40</v>
      </c>
      <c r="P42" s="51" cm="1">
        <f t="array" ref="P42">O42*9/H42</f>
        <v>10.588235294117647</v>
      </c>
      <c r="Q42" s="52" cm="1">
        <f t="array" ref="Q42">(K42+L42)/H42</f>
        <v>1.1764705882352942</v>
      </c>
      <c r="R42" s="53" cm="1">
        <f t="array" ref="R42">I42/H42</f>
        <v>1.8823529411764706</v>
      </c>
      <c r="S42" s="53" t="e" cm="1">
        <f t="array" ref="S42">H42/B42</f>
        <v>#DIV/0!</v>
      </c>
      <c r="T42" s="52" cm="1">
        <f t="array" ref="T42">M42/H42</f>
        <v>0.76470588235294112</v>
      </c>
      <c r="U42" s="55" cm="1">
        <f t="array" ref="U42">O42/N42</f>
        <v>0.70175438596491224</v>
      </c>
      <c r="V42" s="52" cm="1">
        <f t="array" ref="V42">(I42+K42+L42)/H42</f>
        <v>3.0588235294117645</v>
      </c>
      <c r="W42" s="52"/>
      <c r="X42" s="180"/>
      <c r="Y42" s="49" cm="1">
        <f t="array" ref="Y42">SUM(Y31:Y41)</f>
        <v>0</v>
      </c>
      <c r="Z42" s="49" cm="1">
        <f t="array" ref="Z42">SUM(Z31:Z41)</f>
        <v>0</v>
      </c>
      <c r="AA42" s="9"/>
      <c r="AB42" s="3"/>
      <c r="AC42" s="3"/>
    </row>
  </sheetData>
  <phoneticPr fontId="21" type="noConversion"/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C42"/>
  <sheetViews>
    <sheetView showGridLines="0" workbookViewId="0"/>
  </sheetViews>
  <sheetFormatPr defaultColWidth="9" defaultRowHeight="16.5" customHeight="1"/>
  <cols>
    <col min="1" max="18" width="8.125" style="1" customWidth="1"/>
    <col min="19" max="19" width="10.875" style="1" customWidth="1"/>
    <col min="20" max="20" width="8.125" style="1" customWidth="1"/>
    <col min="21" max="22" width="9" style="1" customWidth="1"/>
    <col min="23" max="23" width="11.375" style="1" customWidth="1"/>
    <col min="24" max="24" width="2.625" style="1" customWidth="1"/>
    <col min="25" max="30" width="9" style="1" customWidth="1"/>
    <col min="31" max="16384" width="9" style="1"/>
  </cols>
  <sheetData>
    <row r="1" spans="1:29" ht="26.25" customHeight="1">
      <c r="A1" s="2" t="s">
        <v>164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29" ht="17.25" customHeight="1">
      <c r="A2" s="5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3"/>
      <c r="Y2" s="6"/>
      <c r="Z2" s="6"/>
      <c r="AA2" s="6"/>
      <c r="AB2" s="6"/>
      <c r="AC2" s="6"/>
    </row>
    <row r="3" spans="1:29" ht="34.5" customHeight="1">
      <c r="A3" s="8" t="s">
        <v>101</v>
      </c>
      <c r="B3" s="8" t="s">
        <v>102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10</v>
      </c>
      <c r="J3" s="8" t="s">
        <v>11</v>
      </c>
      <c r="K3" s="8" t="s">
        <v>12</v>
      </c>
      <c r="L3" s="8" t="s">
        <v>13</v>
      </c>
      <c r="M3" s="8" t="s">
        <v>14</v>
      </c>
      <c r="N3" s="8" t="s">
        <v>15</v>
      </c>
      <c r="O3" s="8" t="s">
        <v>16</v>
      </c>
      <c r="P3" s="8" t="s">
        <v>17</v>
      </c>
      <c r="Q3" s="8" t="s">
        <v>18</v>
      </c>
      <c r="R3" s="8" t="s">
        <v>19</v>
      </c>
      <c r="S3" s="8" t="s">
        <v>20</v>
      </c>
      <c r="T3" s="8" t="s">
        <v>21</v>
      </c>
      <c r="U3" s="8" t="s">
        <v>22</v>
      </c>
      <c r="V3" s="8" t="s">
        <v>23</v>
      </c>
      <c r="W3" s="8" t="s">
        <v>111</v>
      </c>
      <c r="X3" s="58"/>
      <c r="Y3" s="8" t="s">
        <v>112</v>
      </c>
      <c r="Z3" s="8" t="s">
        <v>55</v>
      </c>
      <c r="AA3" s="8" t="s">
        <v>113</v>
      </c>
      <c r="AB3" s="8" t="s">
        <v>114</v>
      </c>
      <c r="AC3" s="8" t="s">
        <v>115</v>
      </c>
    </row>
    <row r="4" spans="1:29" ht="17.25" customHeight="1">
      <c r="A4" s="8" t="s">
        <v>24</v>
      </c>
      <c r="B4" s="10">
        <v>5</v>
      </c>
      <c r="C4" s="174" cm="1">
        <f t="array" ref="C4">F4/E4</f>
        <v>0.6</v>
      </c>
      <c r="D4" s="10">
        <v>13</v>
      </c>
      <c r="E4" s="10">
        <v>10</v>
      </c>
      <c r="F4" s="10">
        <v>6</v>
      </c>
      <c r="G4" s="10" cm="1">
        <f t="array" ref="G4">F4-(H4+I4+J4)</f>
        <v>5</v>
      </c>
      <c r="H4" s="10">
        <v>0</v>
      </c>
      <c r="I4" s="10">
        <v>1</v>
      </c>
      <c r="J4" s="10">
        <v>0</v>
      </c>
      <c r="K4" s="10">
        <v>5</v>
      </c>
      <c r="L4" s="10">
        <v>4</v>
      </c>
      <c r="M4" s="10">
        <v>6</v>
      </c>
      <c r="N4" s="10" cm="1">
        <f t="array" ref="N4">Y4+Z4</f>
        <v>3</v>
      </c>
      <c r="O4" s="10">
        <v>4</v>
      </c>
      <c r="P4" s="12" cm="1">
        <f t="array" ref="P4">O4/D4</f>
        <v>0.30769230769230771</v>
      </c>
      <c r="Q4" s="13" cm="1">
        <f t="array" ref="Q4">(G4*1+H4*2+I4*3+J4*4)/E4</f>
        <v>0.8</v>
      </c>
      <c r="R4" s="13" cm="1">
        <f t="array" ref="R4">(F4+N4)/D4</f>
        <v>0.69230769230769229</v>
      </c>
      <c r="S4" s="15" cm="1">
        <f t="array" ref="S4">R4+Q4</f>
        <v>1.4923076923076923</v>
      </c>
      <c r="T4" s="128" cm="1">
        <f t="array" ref="T4">O4/(D4-(F4+N4))</f>
        <v>1</v>
      </c>
      <c r="U4" s="17" cm="1">
        <f t="array" ref="U4">RANK(R4,$R$4:$R$26)</f>
        <v>1</v>
      </c>
      <c r="V4" s="18" cm="1">
        <f t="array" ref="V4">RANK(S4,$S$4:$S$26)</f>
        <v>2</v>
      </c>
      <c r="W4" s="129" cm="1">
        <f t="array" ref="W4">RANK(C4,$C$4:$C$26)</f>
        <v>1</v>
      </c>
      <c r="X4" s="176"/>
      <c r="Y4" s="48">
        <v>2</v>
      </c>
      <c r="Z4" s="48">
        <v>1</v>
      </c>
      <c r="AA4" s="133"/>
      <c r="AB4" s="48">
        <v>0</v>
      </c>
      <c r="AC4" s="133"/>
    </row>
    <row r="5" spans="1:29" ht="17.25" customHeight="1">
      <c r="A5" s="8" t="s">
        <v>25</v>
      </c>
      <c r="B5" s="10">
        <v>6</v>
      </c>
      <c r="C5" s="174" cm="1">
        <f t="array" ref="C5">F5/E5</f>
        <v>0.1111111111111111</v>
      </c>
      <c r="D5" s="10">
        <v>16</v>
      </c>
      <c r="E5" s="10">
        <v>9</v>
      </c>
      <c r="F5" s="10">
        <v>1</v>
      </c>
      <c r="G5" s="10" cm="1">
        <f t="array" ref="G5">F5-(H5+I5+J5)</f>
        <v>1</v>
      </c>
      <c r="H5" s="10">
        <v>0</v>
      </c>
      <c r="I5" s="10">
        <v>0</v>
      </c>
      <c r="J5" s="10">
        <v>0</v>
      </c>
      <c r="K5" s="10">
        <v>3</v>
      </c>
      <c r="L5" s="10">
        <v>1</v>
      </c>
      <c r="M5" s="10">
        <v>1</v>
      </c>
      <c r="N5" s="10" cm="1">
        <f t="array" ref="N5">Y5+Z5</f>
        <v>7</v>
      </c>
      <c r="O5" s="10">
        <v>6</v>
      </c>
      <c r="P5" s="12" cm="1">
        <f t="array" ref="P5">O5/D5</f>
        <v>0.375</v>
      </c>
      <c r="Q5" s="13" cm="1">
        <f t="array" ref="Q5">(G5*1+H5*2+I5*3+J5*4)/E5</f>
        <v>0.1111111111111111</v>
      </c>
      <c r="R5" s="13" cm="1">
        <f t="array" ref="R5">(F5+N5)/D5</f>
        <v>0.5</v>
      </c>
      <c r="S5" s="15" cm="1">
        <f t="array" ref="S5">R5+Q5</f>
        <v>0.61111111111111116</v>
      </c>
      <c r="T5" s="128" cm="1">
        <f t="array" ref="T5">O5/(D5-(F5+N5))</f>
        <v>0.75</v>
      </c>
      <c r="U5" s="17" cm="1">
        <f t="array" ref="U5">RANK(R5,$R$4:$R$26)</f>
        <v>9</v>
      </c>
      <c r="V5" s="18" cm="1">
        <f t="array" ref="V5">RANK(S5,$S$4:$S$26)</f>
        <v>12</v>
      </c>
      <c r="W5" s="129" cm="1">
        <f t="array" ref="W5">RANK(C5,$C$4:$C$26)</f>
        <v>13</v>
      </c>
      <c r="X5" s="176"/>
      <c r="Y5" s="48">
        <v>4</v>
      </c>
      <c r="Z5" s="48">
        <v>3</v>
      </c>
      <c r="AA5" s="133"/>
      <c r="AB5" s="48">
        <v>0</v>
      </c>
      <c r="AC5" s="133"/>
    </row>
    <row r="6" spans="1:29" ht="17.25" customHeight="1">
      <c r="A6" s="8" t="s">
        <v>26</v>
      </c>
      <c r="B6" s="175"/>
      <c r="C6" s="174"/>
      <c r="D6" s="175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2"/>
      <c r="Q6" s="13"/>
      <c r="R6" s="13"/>
      <c r="S6" s="15"/>
      <c r="T6" s="128"/>
      <c r="U6" s="134"/>
      <c r="V6" s="135"/>
      <c r="W6" s="177"/>
      <c r="X6" s="176"/>
      <c r="Y6" s="133"/>
      <c r="Z6" s="133"/>
      <c r="AA6" s="133"/>
      <c r="AB6" s="133"/>
      <c r="AC6" s="133"/>
    </row>
    <row r="7" spans="1:29" ht="17.25" customHeight="1">
      <c r="A7" s="8" t="s">
        <v>27</v>
      </c>
      <c r="B7" s="10">
        <v>1</v>
      </c>
      <c r="C7" s="174" cm="1">
        <f t="array" ref="C7">F7/E7</f>
        <v>0</v>
      </c>
      <c r="D7" s="10">
        <v>2</v>
      </c>
      <c r="E7" s="10">
        <v>2</v>
      </c>
      <c r="F7" s="10">
        <v>0</v>
      </c>
      <c r="G7" s="10" cm="1">
        <f t="array" ref="G7">F7-(H7+I7+J7)</f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 cm="1">
        <f t="array" ref="N7">Y7+Z7</f>
        <v>0</v>
      </c>
      <c r="O7" s="10">
        <v>1</v>
      </c>
      <c r="P7" s="12" cm="1">
        <f t="array" ref="P7">O7/D7</f>
        <v>0.5</v>
      </c>
      <c r="Q7" s="13" cm="1">
        <f t="array" ref="Q7">(G7*1+H7*2+I7*3+J7*4)/E7</f>
        <v>0</v>
      </c>
      <c r="R7" s="13" cm="1">
        <f t="array" ref="R7">(F7+N7)/D7</f>
        <v>0</v>
      </c>
      <c r="S7" s="15" cm="1">
        <f t="array" ref="S7">R7+Q7</f>
        <v>0</v>
      </c>
      <c r="T7" s="128" cm="1">
        <f t="array" ref="T7">O7/(D7-(F7+N7))</f>
        <v>0.5</v>
      </c>
      <c r="U7" s="17" cm="1">
        <f t="array" ref="U7">RANK(R7,$R$4:$R$26)</f>
        <v>19</v>
      </c>
      <c r="V7" s="18" cm="1">
        <f t="array" ref="V7">RANK(S7,$S$4:$S$26)</f>
        <v>19</v>
      </c>
      <c r="W7" s="129" cm="1">
        <f t="array" ref="W7">RANK(C7,$C$4:$C$26)</f>
        <v>15</v>
      </c>
      <c r="X7" s="176"/>
      <c r="Y7" s="133"/>
      <c r="Z7" s="133"/>
      <c r="AA7" s="133"/>
      <c r="AB7" s="133"/>
      <c r="AC7" s="133"/>
    </row>
    <row r="8" spans="1:29" ht="17.25" customHeight="1">
      <c r="A8" s="8" t="s">
        <v>28</v>
      </c>
      <c r="B8" s="10">
        <v>6</v>
      </c>
      <c r="C8" s="174" cm="1">
        <f t="array" ref="C8">F8/E8</f>
        <v>0.14285714285714285</v>
      </c>
      <c r="D8" s="10">
        <v>13</v>
      </c>
      <c r="E8" s="10">
        <v>7</v>
      </c>
      <c r="F8" s="10">
        <v>1</v>
      </c>
      <c r="G8" s="10" cm="1">
        <f t="array" ref="G8">F8-(H8+I8+J8)</f>
        <v>1</v>
      </c>
      <c r="H8" s="10">
        <v>0</v>
      </c>
      <c r="I8" s="10">
        <v>0</v>
      </c>
      <c r="J8" s="10">
        <v>0</v>
      </c>
      <c r="K8" s="10">
        <v>3</v>
      </c>
      <c r="L8" s="10">
        <v>1</v>
      </c>
      <c r="M8" s="10">
        <v>5</v>
      </c>
      <c r="N8" s="10" cm="1">
        <f t="array" ref="N8">Y8+Z8</f>
        <v>6</v>
      </c>
      <c r="O8" s="10">
        <v>2</v>
      </c>
      <c r="P8" s="12" cm="1">
        <f t="array" ref="P8">O8/D8</f>
        <v>0.15384615384615385</v>
      </c>
      <c r="Q8" s="13" cm="1">
        <f t="array" ref="Q8">(G8*1+H8*2+I8*3+J8*4)/E8</f>
        <v>0.14285714285714285</v>
      </c>
      <c r="R8" s="13" cm="1">
        <f t="array" ref="R8">(F8+N8)/D8</f>
        <v>0.53846153846153844</v>
      </c>
      <c r="S8" s="15" cm="1">
        <f t="array" ref="S8">R8+Q8</f>
        <v>0.68131868131868134</v>
      </c>
      <c r="T8" s="128" cm="1">
        <f t="array" ref="T8">O8/(D8-(F8+N8))</f>
        <v>0.33333333333333331</v>
      </c>
      <c r="U8" s="17" cm="1">
        <f t="array" ref="U8">RANK(R8,$R$4:$R$26)</f>
        <v>8</v>
      </c>
      <c r="V8" s="18" cm="1">
        <f t="array" ref="V8">RANK(S8,$S$4:$S$26)</f>
        <v>11</v>
      </c>
      <c r="W8" s="129" cm="1">
        <f t="array" ref="W8">RANK(C8,$C$4:$C$26)</f>
        <v>12</v>
      </c>
      <c r="X8" s="176"/>
      <c r="Y8" s="48">
        <v>5</v>
      </c>
      <c r="Z8" s="48">
        <v>1</v>
      </c>
      <c r="AA8" s="133"/>
      <c r="AB8" s="48">
        <v>0</v>
      </c>
      <c r="AC8" s="133"/>
    </row>
    <row r="9" spans="1:29" ht="17.25" customHeight="1">
      <c r="A9" s="8" t="s">
        <v>29</v>
      </c>
      <c r="B9" s="10">
        <v>2</v>
      </c>
      <c r="C9" s="174" cm="1">
        <f t="array" ref="C9">F9/E9</f>
        <v>0</v>
      </c>
      <c r="D9" s="10">
        <v>4</v>
      </c>
      <c r="E9" s="10">
        <v>3</v>
      </c>
      <c r="F9" s="10">
        <v>0</v>
      </c>
      <c r="G9" s="10" cm="1">
        <f t="array" ref="G9">F9-(H9+I9+J9)</f>
        <v>0</v>
      </c>
      <c r="H9" s="10">
        <v>0</v>
      </c>
      <c r="I9" s="10">
        <v>0</v>
      </c>
      <c r="J9" s="10">
        <v>0</v>
      </c>
      <c r="K9" s="10">
        <v>1</v>
      </c>
      <c r="L9" s="10">
        <v>0</v>
      </c>
      <c r="M9" s="10">
        <v>0</v>
      </c>
      <c r="N9" s="10" cm="1">
        <f t="array" ref="N9">Y9+Z9</f>
        <v>1</v>
      </c>
      <c r="O9" s="10">
        <v>2</v>
      </c>
      <c r="P9" s="12" cm="1">
        <f t="array" ref="P9">O9/D9</f>
        <v>0.5</v>
      </c>
      <c r="Q9" s="13" cm="1">
        <f t="array" ref="Q9">(G9*1+H9*2+I9*3+J9*4)/E9</f>
        <v>0</v>
      </c>
      <c r="R9" s="13" cm="1">
        <f t="array" ref="R9">(F9+N9)/D9</f>
        <v>0.25</v>
      </c>
      <c r="S9" s="15" cm="1">
        <f t="array" ref="S9">R9+Q9</f>
        <v>0.25</v>
      </c>
      <c r="T9" s="128" cm="1">
        <f t="array" ref="T9">O9/(D9-(F9+N9))</f>
        <v>0.66666666666666663</v>
      </c>
      <c r="U9" s="17" cm="1">
        <f t="array" ref="U9">RANK(R9,$R$4:$R$26)</f>
        <v>17</v>
      </c>
      <c r="V9" s="18" cm="1">
        <f t="array" ref="V9">RANK(S9,$S$4:$S$26)</f>
        <v>17</v>
      </c>
      <c r="W9" s="129" cm="1">
        <f t="array" ref="W9">RANK(C9,$C$4:$C$26)</f>
        <v>15</v>
      </c>
      <c r="X9" s="176"/>
      <c r="Y9" s="48">
        <v>1</v>
      </c>
      <c r="Z9" s="48">
        <v>0</v>
      </c>
      <c r="AA9" s="133"/>
      <c r="AB9" s="133"/>
      <c r="AC9" s="133"/>
    </row>
    <row r="10" spans="1:29" ht="17.25" customHeight="1">
      <c r="A10" s="8" t="s">
        <v>69</v>
      </c>
      <c r="B10" s="10">
        <v>6</v>
      </c>
      <c r="C10" s="174" cm="1">
        <f t="array" ref="C10">F10/E10</f>
        <v>0.22222222222222221</v>
      </c>
      <c r="D10" s="10">
        <v>14</v>
      </c>
      <c r="E10" s="10">
        <v>9</v>
      </c>
      <c r="F10" s="10">
        <v>2</v>
      </c>
      <c r="G10" s="10" cm="1">
        <f t="array" ref="G10">F10-(H10+I10+J10)</f>
        <v>2</v>
      </c>
      <c r="H10" s="10">
        <v>0</v>
      </c>
      <c r="I10" s="10">
        <v>0</v>
      </c>
      <c r="J10" s="10">
        <v>0</v>
      </c>
      <c r="K10" s="10">
        <v>4</v>
      </c>
      <c r="L10" s="10">
        <v>3</v>
      </c>
      <c r="M10" s="10">
        <v>5</v>
      </c>
      <c r="N10" s="10" cm="1">
        <f t="array" ref="N10">Y10+Z10</f>
        <v>5</v>
      </c>
      <c r="O10" s="10">
        <v>5</v>
      </c>
      <c r="P10" s="12" cm="1">
        <f t="array" ref="P10">O10/D10</f>
        <v>0.35714285714285715</v>
      </c>
      <c r="Q10" s="13" cm="1">
        <f t="array" ref="Q10">(G10*1+H10*2+I10*3+J10*4)/E10</f>
        <v>0.22222222222222221</v>
      </c>
      <c r="R10" s="13" cm="1">
        <f t="array" ref="R10">(F10+N10)/D10</f>
        <v>0.5</v>
      </c>
      <c r="S10" s="15" cm="1">
        <f t="array" ref="S10">R10+Q10</f>
        <v>0.72222222222222221</v>
      </c>
      <c r="T10" s="128" cm="1">
        <f t="array" ref="T10">O10/(D10-(F10+N10))</f>
        <v>0.7142857142857143</v>
      </c>
      <c r="U10" s="17" cm="1">
        <f t="array" ref="U10">RANK(R10,$R$4:$R$26)</f>
        <v>9</v>
      </c>
      <c r="V10" s="18" cm="1">
        <f t="array" ref="V10">RANK(S10,$S$4:$S$26)</f>
        <v>10</v>
      </c>
      <c r="W10" s="129" cm="1">
        <f t="array" ref="W10">RANK(C10,$C$4:$C$26)</f>
        <v>10</v>
      </c>
      <c r="X10" s="176"/>
      <c r="Y10" s="48">
        <v>5</v>
      </c>
      <c r="Z10" s="48">
        <v>0</v>
      </c>
      <c r="AA10" s="133"/>
      <c r="AB10" s="48">
        <v>0</v>
      </c>
      <c r="AC10" s="133"/>
    </row>
    <row r="11" spans="1:29" ht="17.25" customHeight="1">
      <c r="A11" s="8" t="s">
        <v>30</v>
      </c>
      <c r="B11" s="175"/>
      <c r="C11" s="181" t="s">
        <v>165</v>
      </c>
      <c r="D11" s="175"/>
      <c r="E11" s="175"/>
      <c r="F11" s="175"/>
      <c r="G11" s="175"/>
      <c r="H11" s="175"/>
      <c r="I11" s="175"/>
      <c r="J11" s="175"/>
      <c r="K11" s="175"/>
      <c r="L11" s="175"/>
      <c r="M11" s="175"/>
      <c r="N11" s="175"/>
      <c r="O11" s="175"/>
      <c r="P11" s="12"/>
      <c r="Q11" s="13"/>
      <c r="R11" s="13"/>
      <c r="S11" s="15"/>
      <c r="T11" s="128"/>
      <c r="U11" s="134"/>
      <c r="V11" s="135"/>
      <c r="W11" s="177"/>
      <c r="X11" s="176"/>
      <c r="Y11" s="133"/>
      <c r="Z11" s="133"/>
      <c r="AA11" s="133"/>
      <c r="AB11" s="133"/>
      <c r="AC11" s="133"/>
    </row>
    <row r="12" spans="1:29" ht="17.25" customHeight="1">
      <c r="A12" s="8" t="s">
        <v>31</v>
      </c>
      <c r="B12" s="10">
        <v>4</v>
      </c>
      <c r="C12" s="174" cm="1">
        <f t="array" ref="C12">F12/E12</f>
        <v>0.5</v>
      </c>
      <c r="D12" s="10">
        <v>13</v>
      </c>
      <c r="E12" s="10">
        <v>10</v>
      </c>
      <c r="F12" s="10">
        <v>5</v>
      </c>
      <c r="G12" s="10" cm="1">
        <f t="array" ref="G12">F12-(H12+I12+J12)</f>
        <v>5</v>
      </c>
      <c r="H12" s="10">
        <v>0</v>
      </c>
      <c r="I12" s="10">
        <v>0</v>
      </c>
      <c r="J12" s="10">
        <v>0</v>
      </c>
      <c r="K12" s="10">
        <v>4</v>
      </c>
      <c r="L12" s="10">
        <v>4</v>
      </c>
      <c r="M12" s="10">
        <v>5</v>
      </c>
      <c r="N12" s="10" cm="1">
        <f t="array" ref="N12">Y12+Z12</f>
        <v>3</v>
      </c>
      <c r="O12" s="10">
        <v>1</v>
      </c>
      <c r="P12" s="12" cm="1">
        <f t="array" ref="P12">O12/D12</f>
        <v>7.6923076923076927E-2</v>
      </c>
      <c r="Q12" s="13" cm="1">
        <f t="array" ref="Q12">(G12*1+H12*2+I12*3+J12*4)/E12</f>
        <v>0.5</v>
      </c>
      <c r="R12" s="13" cm="1">
        <f t="array" ref="R12">(F12+N12)/D12</f>
        <v>0.61538461538461542</v>
      </c>
      <c r="S12" s="15" cm="1">
        <f t="array" ref="S12">R12+Q12</f>
        <v>1.1153846153846154</v>
      </c>
      <c r="T12" s="128" cm="1">
        <f t="array" ref="T12">O12/(D12-(F12+N12))</f>
        <v>0.2</v>
      </c>
      <c r="U12" s="17" cm="1">
        <f t="array" ref="U12">RANK(R12,$R$4:$R$26)</f>
        <v>3</v>
      </c>
      <c r="V12" s="18" cm="1">
        <f t="array" ref="V12">RANK(S12,$S$4:$S$26)</f>
        <v>4</v>
      </c>
      <c r="W12" s="129" cm="1">
        <f t="array" ref="W12">RANK(C12,$C$4:$C$26)</f>
        <v>3</v>
      </c>
      <c r="X12" s="176"/>
      <c r="Y12" s="48">
        <v>3</v>
      </c>
      <c r="Z12" s="48">
        <v>0</v>
      </c>
      <c r="AA12" s="133"/>
      <c r="AB12" s="48">
        <v>0</v>
      </c>
      <c r="AC12" s="133"/>
    </row>
    <row r="13" spans="1:29" ht="17.25" customHeight="1">
      <c r="A13" s="8" t="s">
        <v>32</v>
      </c>
      <c r="B13" s="10">
        <v>5</v>
      </c>
      <c r="C13" s="174" cm="1">
        <f t="array" ref="C13">F13/E13</f>
        <v>0.38461538461538464</v>
      </c>
      <c r="D13" s="10">
        <v>16</v>
      </c>
      <c r="E13" s="10">
        <v>13</v>
      </c>
      <c r="F13" s="10">
        <v>5</v>
      </c>
      <c r="G13" s="10" cm="1">
        <f t="array" ref="G13">F13-(H13+I13+J13)</f>
        <v>5</v>
      </c>
      <c r="H13" s="10">
        <v>0</v>
      </c>
      <c r="I13" s="10">
        <v>0</v>
      </c>
      <c r="J13" s="10">
        <v>0</v>
      </c>
      <c r="K13" s="10">
        <v>5</v>
      </c>
      <c r="L13" s="10">
        <v>3</v>
      </c>
      <c r="M13" s="10">
        <v>1</v>
      </c>
      <c r="N13" s="10" cm="1">
        <f t="array" ref="N13">Y13+Z13</f>
        <v>2</v>
      </c>
      <c r="O13" s="10">
        <v>0</v>
      </c>
      <c r="P13" s="12" cm="1">
        <f t="array" ref="P13">O13/D13</f>
        <v>0</v>
      </c>
      <c r="Q13" s="13" cm="1">
        <f t="array" ref="Q13">(G13*1+H13*2+I13*3+J13*4)/E13</f>
        <v>0.38461538461538464</v>
      </c>
      <c r="R13" s="13" cm="1">
        <f t="array" ref="R13">(F13+N13)/D13</f>
        <v>0.4375</v>
      </c>
      <c r="S13" s="15" cm="1">
        <f t="array" ref="S13">R13+Q13</f>
        <v>0.82211538461538458</v>
      </c>
      <c r="T13" s="128" cm="1">
        <f t="array" ref="T13">O13/(D13-(F13+N13))</f>
        <v>0</v>
      </c>
      <c r="U13" s="17" cm="1">
        <f t="array" ref="U13">RANK(R13,$R$4:$R$26)</f>
        <v>12</v>
      </c>
      <c r="V13" s="18" cm="1">
        <f t="array" ref="V13">RANK(S13,$S$4:$S$26)</f>
        <v>9</v>
      </c>
      <c r="W13" s="129" cm="1">
        <f t="array" ref="W13">RANK(C13,$C$4:$C$26)</f>
        <v>7</v>
      </c>
      <c r="X13" s="176"/>
      <c r="Y13" s="48">
        <v>2</v>
      </c>
      <c r="Z13" s="48">
        <v>0</v>
      </c>
      <c r="AA13" s="133"/>
      <c r="AB13" s="48">
        <v>0</v>
      </c>
      <c r="AC13" s="133"/>
    </row>
    <row r="14" spans="1:29" ht="17.25" customHeight="1">
      <c r="A14" s="8" t="s">
        <v>33</v>
      </c>
      <c r="B14" s="175"/>
      <c r="C14" s="174"/>
      <c r="D14" s="175"/>
      <c r="E14" s="175"/>
      <c r="F14" s="175"/>
      <c r="G14" s="175"/>
      <c r="H14" s="175"/>
      <c r="I14" s="175"/>
      <c r="J14" s="175"/>
      <c r="K14" s="175"/>
      <c r="L14" s="175"/>
      <c r="M14" s="175"/>
      <c r="N14" s="175"/>
      <c r="O14" s="175"/>
      <c r="P14" s="12"/>
      <c r="Q14" s="13"/>
      <c r="R14" s="13"/>
      <c r="S14" s="15"/>
      <c r="T14" s="128"/>
      <c r="U14" s="134"/>
      <c r="V14" s="135"/>
      <c r="W14" s="177"/>
      <c r="X14" s="176"/>
      <c r="Y14" s="133"/>
      <c r="Z14" s="133"/>
      <c r="AA14" s="133"/>
      <c r="AB14" s="133"/>
      <c r="AC14" s="133"/>
    </row>
    <row r="15" spans="1:29" ht="17.25" customHeight="1">
      <c r="A15" s="8" t="s">
        <v>35</v>
      </c>
      <c r="B15" s="10">
        <v>4</v>
      </c>
      <c r="C15" s="174" cm="1">
        <f t="array" ref="C15">F15/E15</f>
        <v>0</v>
      </c>
      <c r="D15" s="10">
        <v>9</v>
      </c>
      <c r="E15" s="10">
        <v>3</v>
      </c>
      <c r="F15" s="10">
        <v>0</v>
      </c>
      <c r="G15" s="10" cm="1">
        <f t="array" ref="G15">F15-(H15+I15+J15)</f>
        <v>0</v>
      </c>
      <c r="H15" s="10">
        <v>0</v>
      </c>
      <c r="I15" s="10">
        <v>0</v>
      </c>
      <c r="J15" s="10">
        <v>0</v>
      </c>
      <c r="K15" s="10">
        <v>4</v>
      </c>
      <c r="L15" s="10">
        <v>1</v>
      </c>
      <c r="M15" s="10">
        <v>2</v>
      </c>
      <c r="N15" s="10" cm="1">
        <f t="array" ref="N15">Y15+Z15</f>
        <v>5</v>
      </c>
      <c r="O15" s="10">
        <v>3</v>
      </c>
      <c r="P15" s="12" cm="1">
        <f t="array" ref="P15">O15/D15</f>
        <v>0.33333333333333331</v>
      </c>
      <c r="Q15" s="13" cm="1">
        <f t="array" ref="Q15">(G15*1+H15*2+I15*3+J15*4)/E15</f>
        <v>0</v>
      </c>
      <c r="R15" s="13" cm="1">
        <f t="array" ref="R15">(F15+N15)/D15</f>
        <v>0.55555555555555558</v>
      </c>
      <c r="S15" s="15" cm="1">
        <f t="array" ref="S15">R15+Q15</f>
        <v>0.55555555555555558</v>
      </c>
      <c r="T15" s="128" cm="1">
        <f t="array" ref="T15">O15/(D15-(F15+N15))</f>
        <v>0.75</v>
      </c>
      <c r="U15" s="17" cm="1">
        <f t="array" ref="U15">RANK(R15,$R$4:$R$26)</f>
        <v>7</v>
      </c>
      <c r="V15" s="18" cm="1">
        <f t="array" ref="V15">RANK(S15,$S$4:$S$26)</f>
        <v>14</v>
      </c>
      <c r="W15" s="129" cm="1">
        <f t="array" ref="W15">RANK(C15,$C$4:$C$26)</f>
        <v>15</v>
      </c>
      <c r="X15" s="176"/>
      <c r="Y15" s="48">
        <v>4</v>
      </c>
      <c r="Z15" s="48">
        <v>1</v>
      </c>
      <c r="AA15" s="133"/>
      <c r="AB15" s="48">
        <v>0</v>
      </c>
      <c r="AC15" s="133"/>
    </row>
    <row r="16" spans="1:29" ht="17.25" customHeight="1">
      <c r="A16" s="8" t="s">
        <v>36</v>
      </c>
      <c r="B16" s="10">
        <v>3</v>
      </c>
      <c r="C16" s="174" cm="1">
        <f t="array" ref="C16">F16/E16</f>
        <v>0.5</v>
      </c>
      <c r="D16" s="10">
        <v>7</v>
      </c>
      <c r="E16" s="10">
        <v>6</v>
      </c>
      <c r="F16" s="10">
        <v>3</v>
      </c>
      <c r="G16" s="10" cm="1">
        <f t="array" ref="G16">F16-(H16+I16+J16)</f>
        <v>3</v>
      </c>
      <c r="H16" s="10">
        <v>0</v>
      </c>
      <c r="I16" s="10">
        <v>0</v>
      </c>
      <c r="J16" s="10">
        <v>0</v>
      </c>
      <c r="K16" s="10">
        <v>3</v>
      </c>
      <c r="L16" s="10">
        <v>0</v>
      </c>
      <c r="M16" s="10">
        <v>2</v>
      </c>
      <c r="N16" s="10" cm="1">
        <f t="array" ref="N16">Y16+Z16</f>
        <v>1</v>
      </c>
      <c r="O16" s="10">
        <v>1</v>
      </c>
      <c r="P16" s="12" cm="1">
        <f t="array" ref="P16">O16/D16</f>
        <v>0.14285714285714285</v>
      </c>
      <c r="Q16" s="13" cm="1">
        <f t="array" ref="Q16">(G16*1+H16*2+I16*3+J16*4)/E16</f>
        <v>0.5</v>
      </c>
      <c r="R16" s="13" cm="1">
        <f t="array" ref="R16">(F16+N16)/D16</f>
        <v>0.5714285714285714</v>
      </c>
      <c r="S16" s="15" cm="1">
        <f t="array" ref="S16">R16+Q16</f>
        <v>1.0714285714285714</v>
      </c>
      <c r="T16" s="128" cm="1">
        <f t="array" ref="T16">O16/(D16-(F16+N16))</f>
        <v>0.33333333333333331</v>
      </c>
      <c r="U16" s="17" cm="1">
        <f t="array" ref="U16">RANK(R16,$R$4:$R$26)</f>
        <v>6</v>
      </c>
      <c r="V16" s="18" cm="1">
        <f t="array" ref="V16">RANK(S16,$S$4:$S$26)</f>
        <v>5</v>
      </c>
      <c r="W16" s="129" cm="1">
        <f t="array" ref="W16">RANK(C16,$C$4:$C$26)</f>
        <v>3</v>
      </c>
      <c r="X16" s="176"/>
      <c r="Y16" s="48">
        <v>1</v>
      </c>
      <c r="Z16" s="48">
        <v>0</v>
      </c>
      <c r="AA16" s="133"/>
      <c r="AB16" s="133"/>
      <c r="AC16" s="133"/>
    </row>
    <row r="17" spans="1:29" ht="17.25" customHeight="1">
      <c r="A17" s="8" t="s">
        <v>37</v>
      </c>
      <c r="B17" s="10">
        <v>4</v>
      </c>
      <c r="C17" s="174" cm="1">
        <f t="array" ref="C17">F17/E17</f>
        <v>0.2</v>
      </c>
      <c r="D17" s="10">
        <v>8</v>
      </c>
      <c r="E17" s="10">
        <v>5</v>
      </c>
      <c r="F17" s="10">
        <v>1</v>
      </c>
      <c r="G17" s="10" cm="1">
        <f t="array" ref="G17">F17-(H17+I17+J17)</f>
        <v>1</v>
      </c>
      <c r="H17" s="10">
        <v>0</v>
      </c>
      <c r="I17" s="10">
        <v>0</v>
      </c>
      <c r="J17" s="10">
        <v>0</v>
      </c>
      <c r="K17" s="10">
        <v>3</v>
      </c>
      <c r="L17" s="10">
        <v>2</v>
      </c>
      <c r="M17" s="10">
        <v>5</v>
      </c>
      <c r="N17" s="10" cm="1">
        <f t="array" ref="N17">Y17+Z17</f>
        <v>2</v>
      </c>
      <c r="O17" s="10">
        <v>3</v>
      </c>
      <c r="P17" s="12" cm="1">
        <f t="array" ref="P17">O17/D17</f>
        <v>0.375</v>
      </c>
      <c r="Q17" s="13" cm="1">
        <f t="array" ref="Q17">(G17*1+H17*2+I17*3+J17*4)/E17</f>
        <v>0.2</v>
      </c>
      <c r="R17" s="13" cm="1">
        <f t="array" ref="R17">(F17+N17)/D17</f>
        <v>0.375</v>
      </c>
      <c r="S17" s="15" cm="1">
        <f t="array" ref="S17">R17+Q17</f>
        <v>0.57499999999999996</v>
      </c>
      <c r="T17" s="128" cm="1">
        <f t="array" ref="T17">O17/(D17-(F17+N17))</f>
        <v>0.6</v>
      </c>
      <c r="U17" s="17" cm="1">
        <f t="array" ref="U17">RANK(R17,$R$4:$R$26)</f>
        <v>15</v>
      </c>
      <c r="V17" s="18" cm="1">
        <f t="array" ref="V17">RANK(S17,$S$4:$S$26)</f>
        <v>13</v>
      </c>
      <c r="W17" s="129" cm="1">
        <f t="array" ref="W17">RANK(C17,$C$4:$C$26)</f>
        <v>11</v>
      </c>
      <c r="X17" s="176"/>
      <c r="Y17" s="48">
        <v>0</v>
      </c>
      <c r="Z17" s="48">
        <v>2</v>
      </c>
      <c r="AA17" s="133"/>
      <c r="AB17" s="133"/>
      <c r="AC17" s="133"/>
    </row>
    <row r="18" spans="1:29" ht="17.25" customHeight="1">
      <c r="A18" s="8" t="s">
        <v>38</v>
      </c>
      <c r="B18" s="10">
        <v>2</v>
      </c>
      <c r="C18" s="174" cm="1">
        <f t="array" ref="C18">F18/E18</f>
        <v>0.25</v>
      </c>
      <c r="D18" s="10">
        <v>5</v>
      </c>
      <c r="E18" s="10">
        <v>4</v>
      </c>
      <c r="F18" s="10">
        <v>1</v>
      </c>
      <c r="G18" s="10" cm="1">
        <f t="array" ref="G18">F18-(H18+I18+J18)</f>
        <v>0</v>
      </c>
      <c r="H18" s="10">
        <v>1</v>
      </c>
      <c r="I18" s="10">
        <v>0</v>
      </c>
      <c r="J18" s="10">
        <v>0</v>
      </c>
      <c r="K18" s="10">
        <v>3</v>
      </c>
      <c r="L18" s="10">
        <v>1</v>
      </c>
      <c r="M18" s="10">
        <v>2</v>
      </c>
      <c r="N18" s="10" cm="1">
        <f t="array" ref="N18">Y18+Z18</f>
        <v>1</v>
      </c>
      <c r="O18" s="10">
        <v>0</v>
      </c>
      <c r="P18" s="12" cm="1">
        <f t="array" ref="P18">O18/D18</f>
        <v>0</v>
      </c>
      <c r="Q18" s="13" cm="1">
        <f t="array" ref="Q18">(G18*1+H18*2+I18*3+J18*4)/E18</f>
        <v>0.5</v>
      </c>
      <c r="R18" s="13" cm="1">
        <f t="array" ref="R18">(F18+N18)/D18</f>
        <v>0.4</v>
      </c>
      <c r="S18" s="15" cm="1">
        <f t="array" ref="S18">R18+Q18</f>
        <v>0.9</v>
      </c>
      <c r="T18" s="128" cm="1">
        <f t="array" ref="T18">O18/(D18-(F18+N18))</f>
        <v>0</v>
      </c>
      <c r="U18" s="17" cm="1">
        <f t="array" ref="U18">RANK(R18,$R$4:$R$26)</f>
        <v>14</v>
      </c>
      <c r="V18" s="18" cm="1">
        <f t="array" ref="V18">RANK(S18,$S$4:$S$26)</f>
        <v>8</v>
      </c>
      <c r="W18" s="129" cm="1">
        <f t="array" ref="W18">RANK(C18,$C$4:$C$26)</f>
        <v>9</v>
      </c>
      <c r="X18" s="176"/>
      <c r="Y18" s="48">
        <v>1</v>
      </c>
      <c r="Z18" s="48">
        <v>0</v>
      </c>
      <c r="AA18" s="133"/>
      <c r="AB18" s="48">
        <v>0</v>
      </c>
      <c r="AC18" s="133"/>
    </row>
    <row r="19" spans="1:29" ht="17.25" customHeight="1">
      <c r="A19" s="8" t="s">
        <v>39</v>
      </c>
      <c r="B19" s="10">
        <v>4</v>
      </c>
      <c r="C19" s="174" cm="1">
        <f t="array" ref="C19">F19/E19</f>
        <v>0</v>
      </c>
      <c r="D19" s="10">
        <v>6</v>
      </c>
      <c r="E19" s="10">
        <v>5</v>
      </c>
      <c r="F19" s="10">
        <v>0</v>
      </c>
      <c r="G19" s="10" cm="1">
        <f t="array" ref="G19">F19-(H19+I19+J19)</f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1</v>
      </c>
      <c r="N19" s="10" cm="1">
        <f t="array" ref="N19">Y19+Z19</f>
        <v>1</v>
      </c>
      <c r="O19" s="10">
        <v>2</v>
      </c>
      <c r="P19" s="12" cm="1">
        <f t="array" ref="P19">O19/D19</f>
        <v>0.33333333333333331</v>
      </c>
      <c r="Q19" s="13" cm="1">
        <f t="array" ref="Q19">(G19*1+H19*2+I19*3+J19*4)/E19</f>
        <v>0</v>
      </c>
      <c r="R19" s="13" cm="1">
        <f t="array" ref="R19">(F19+N19)/D19</f>
        <v>0.16666666666666666</v>
      </c>
      <c r="S19" s="15" cm="1">
        <f t="array" ref="S19">R19+Q19</f>
        <v>0.16666666666666666</v>
      </c>
      <c r="T19" s="128" cm="1">
        <f t="array" ref="T19">O19/(D19-(F19+N19))</f>
        <v>0.4</v>
      </c>
      <c r="U19" s="17" cm="1">
        <f t="array" ref="U19">RANK(R19,$R$4:$R$26)</f>
        <v>18</v>
      </c>
      <c r="V19" s="18" cm="1">
        <f t="array" ref="V19">RANK(S19,$S$4:$S$26)</f>
        <v>18</v>
      </c>
      <c r="W19" s="129" cm="1">
        <f t="array" ref="W19">RANK(C19,$C$4:$C$26)</f>
        <v>15</v>
      </c>
      <c r="X19" s="176"/>
      <c r="Y19" s="48">
        <v>1</v>
      </c>
      <c r="Z19" s="48">
        <v>0</v>
      </c>
      <c r="AA19" s="133"/>
      <c r="AB19" s="48">
        <v>0</v>
      </c>
      <c r="AC19" s="133"/>
    </row>
    <row r="20" spans="1:29" ht="17.25" customHeight="1">
      <c r="A20" s="8" t="s">
        <v>70</v>
      </c>
      <c r="B20" s="10">
        <v>3</v>
      </c>
      <c r="C20" s="174" cm="1">
        <f t="array" ref="C20">F20/E20</f>
        <v>0.42857142857142855</v>
      </c>
      <c r="D20" s="10">
        <v>7</v>
      </c>
      <c r="E20" s="10">
        <v>7</v>
      </c>
      <c r="F20" s="10">
        <v>3</v>
      </c>
      <c r="G20" s="10" cm="1">
        <f t="array" ref="G20">F20-(H20+I20+J20)</f>
        <v>2</v>
      </c>
      <c r="H20" s="10">
        <v>1</v>
      </c>
      <c r="I20" s="10">
        <v>0</v>
      </c>
      <c r="J20" s="10">
        <v>0</v>
      </c>
      <c r="K20" s="10">
        <v>1</v>
      </c>
      <c r="L20" s="10">
        <v>5</v>
      </c>
      <c r="M20" s="10">
        <v>1</v>
      </c>
      <c r="N20" s="10" cm="1">
        <f t="array" ref="N20">Y20+Z20</f>
        <v>0</v>
      </c>
      <c r="O20" s="10">
        <v>1</v>
      </c>
      <c r="P20" s="12" cm="1">
        <f t="array" ref="P20">O20/D20</f>
        <v>0.14285714285714285</v>
      </c>
      <c r="Q20" s="13" cm="1">
        <f t="array" ref="Q20">(G20*1+H20*2+I20*3+J20*4)/E20</f>
        <v>0.5714285714285714</v>
      </c>
      <c r="R20" s="13" cm="1">
        <f t="array" ref="R20">(F20+N20)/D20</f>
        <v>0.42857142857142855</v>
      </c>
      <c r="S20" s="15" cm="1">
        <f t="array" ref="S20">R20+Q20</f>
        <v>1</v>
      </c>
      <c r="T20" s="128" cm="1">
        <f t="array" ref="T20">O20/(D20-(F20+N20))</f>
        <v>0.25</v>
      </c>
      <c r="U20" s="17" cm="1">
        <f t="array" ref="U20">RANK(R20,$R$4:$R$26)</f>
        <v>13</v>
      </c>
      <c r="V20" s="18" cm="1">
        <f t="array" ref="V20">RANK(S20,$S$4:$S$26)</f>
        <v>7</v>
      </c>
      <c r="W20" s="129" cm="1">
        <f t="array" ref="W20">RANK(C20,$C$4:$C$26)</f>
        <v>6</v>
      </c>
      <c r="X20" s="176"/>
      <c r="Y20" s="48">
        <v>0</v>
      </c>
      <c r="Z20" s="48">
        <v>0</v>
      </c>
      <c r="AA20" s="133"/>
      <c r="AB20" s="133"/>
      <c r="AC20" s="133"/>
    </row>
    <row r="21" spans="1:29" ht="17.25" customHeight="1">
      <c r="A21" s="8" t="s">
        <v>40</v>
      </c>
      <c r="B21" s="10">
        <v>3</v>
      </c>
      <c r="C21" s="174" cm="1">
        <f t="array" ref="C21">F21/E21</f>
        <v>0.6</v>
      </c>
      <c r="D21" s="10">
        <v>5</v>
      </c>
      <c r="E21" s="10">
        <v>5</v>
      </c>
      <c r="F21" s="10">
        <v>3</v>
      </c>
      <c r="G21" s="10" cm="1">
        <f t="array" ref="G21">F21-(H21+I21+J21)</f>
        <v>1</v>
      </c>
      <c r="H21" s="10">
        <v>1</v>
      </c>
      <c r="I21" s="10">
        <v>1</v>
      </c>
      <c r="J21" s="10">
        <v>0</v>
      </c>
      <c r="K21" s="10">
        <v>3</v>
      </c>
      <c r="L21" s="10">
        <v>3</v>
      </c>
      <c r="M21" s="10">
        <v>1</v>
      </c>
      <c r="N21" s="10" cm="1">
        <f t="array" ref="N21">Y21+Z21</f>
        <v>0</v>
      </c>
      <c r="O21" s="10">
        <v>1</v>
      </c>
      <c r="P21" s="12" cm="1">
        <f t="array" ref="P21">O21/D21</f>
        <v>0.2</v>
      </c>
      <c r="Q21" s="13" cm="1">
        <f t="array" ref="Q21">(G21*1+H21*2+I21*3+J21*4)/E21</f>
        <v>1.2</v>
      </c>
      <c r="R21" s="13" cm="1">
        <f t="array" ref="R21">(F21+N21)/D21</f>
        <v>0.6</v>
      </c>
      <c r="S21" s="15" cm="1">
        <f t="array" ref="S21">R21+Q21</f>
        <v>1.7999999999999998</v>
      </c>
      <c r="T21" s="128" cm="1">
        <f t="array" ref="T21">O21/(D21-(F21+N21))</f>
        <v>0.5</v>
      </c>
      <c r="U21" s="17" cm="1">
        <f t="array" ref="U21">RANK(R21,$R$4:$R$26)</f>
        <v>4</v>
      </c>
      <c r="V21" s="18" cm="1">
        <f t="array" ref="V21">RANK(S21,$S$4:$S$26)</f>
        <v>1</v>
      </c>
      <c r="W21" s="129" cm="1">
        <f t="array" ref="W21">RANK(C21,$C$4:$C$26)</f>
        <v>1</v>
      </c>
      <c r="X21" s="176"/>
      <c r="Y21" s="48">
        <v>0</v>
      </c>
      <c r="Z21" s="48">
        <v>0</v>
      </c>
      <c r="AA21" s="133"/>
      <c r="AB21" s="48">
        <v>0</v>
      </c>
      <c r="AC21" s="133"/>
    </row>
    <row r="22" spans="1:29" ht="17.25" customHeight="1">
      <c r="A22" s="8" t="s">
        <v>41</v>
      </c>
      <c r="B22" s="10">
        <v>1</v>
      </c>
      <c r="C22" s="174" cm="1">
        <f t="array" ref="C22">F22/E22</f>
        <v>0</v>
      </c>
      <c r="D22" s="10">
        <v>2</v>
      </c>
      <c r="E22" s="10">
        <v>1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>
        <v>1</v>
      </c>
      <c r="N22" s="10" cm="1">
        <f t="array" ref="N22">Y22+Z22</f>
        <v>1</v>
      </c>
      <c r="O22" s="10">
        <v>0</v>
      </c>
      <c r="P22" s="12" cm="1">
        <f t="array" ref="P22">O22/D22</f>
        <v>0</v>
      </c>
      <c r="Q22" s="13" cm="1">
        <f t="array" ref="Q22">(G22*1+H22*2+I22*3+J22*4)/E22</f>
        <v>0</v>
      </c>
      <c r="R22" s="13" cm="1">
        <f t="array" ref="R22">(F22+N22)/D22</f>
        <v>0.5</v>
      </c>
      <c r="S22" s="15" cm="1">
        <f t="array" ref="S22">R22+Q22</f>
        <v>0.5</v>
      </c>
      <c r="T22" s="128" cm="1">
        <f t="array" ref="T22">O22/(D22-(F22+N22))</f>
        <v>0</v>
      </c>
      <c r="U22" s="17" cm="1">
        <f t="array" ref="U22">RANK(R22,$R$4:$R$26)</f>
        <v>9</v>
      </c>
      <c r="V22" s="18" cm="1">
        <f t="array" ref="V22">RANK(S22,$S$4:$S$26)</f>
        <v>15</v>
      </c>
      <c r="W22" s="129" cm="1">
        <f t="array" ref="W22">RANK(C22,$C$4:$C$26)</f>
        <v>15</v>
      </c>
      <c r="X22" s="176"/>
      <c r="Y22" s="48">
        <v>1</v>
      </c>
      <c r="Z22" s="48">
        <v>0</v>
      </c>
      <c r="AA22" s="133"/>
      <c r="AB22" s="133"/>
      <c r="AC22" s="133"/>
    </row>
    <row r="23" spans="1:29" ht="17.25" customHeight="1">
      <c r="A23" s="8" t="s">
        <v>42</v>
      </c>
      <c r="B23" s="10">
        <v>4</v>
      </c>
      <c r="C23" s="174" cm="1">
        <f t="array" ref="C23">F23/E23</f>
        <v>0.2857142857142857</v>
      </c>
      <c r="D23" s="10">
        <v>12</v>
      </c>
      <c r="E23" s="10">
        <v>7</v>
      </c>
      <c r="F23" s="10">
        <v>2</v>
      </c>
      <c r="G23" s="10" cm="1">
        <f t="array" ref="G23">F23-(H23+I23+J23)</f>
        <v>1</v>
      </c>
      <c r="H23" s="10">
        <v>1</v>
      </c>
      <c r="I23" s="10">
        <v>0</v>
      </c>
      <c r="J23" s="10">
        <v>0</v>
      </c>
      <c r="K23" s="10">
        <v>2</v>
      </c>
      <c r="L23" s="10">
        <v>0</v>
      </c>
      <c r="M23" s="10">
        <v>1</v>
      </c>
      <c r="N23" s="10" cm="1">
        <f t="array" ref="N23">Y23+Z23</f>
        <v>5</v>
      </c>
      <c r="O23" s="10">
        <v>3</v>
      </c>
      <c r="P23" s="12" cm="1">
        <f t="array" ref="P23">O23/D23</f>
        <v>0.25</v>
      </c>
      <c r="Q23" s="13" cm="1">
        <f t="array" ref="Q23">(G23*1+H23*2+I23*3+J23*4)/E23</f>
        <v>0.42857142857142855</v>
      </c>
      <c r="R23" s="13" cm="1">
        <f t="array" ref="R23">(F23+N23)/D23</f>
        <v>0.58333333333333337</v>
      </c>
      <c r="S23" s="15" cm="1">
        <f t="array" ref="S23">R23+Q23</f>
        <v>1.0119047619047619</v>
      </c>
      <c r="T23" s="128" cm="1">
        <f t="array" ref="T23">O23/(D23-(F23+N23))</f>
        <v>0.6</v>
      </c>
      <c r="U23" s="17" cm="1">
        <f t="array" ref="U23">RANK(R23,$R$4:$R$26)</f>
        <v>5</v>
      </c>
      <c r="V23" s="18" cm="1">
        <f t="array" ref="V23">RANK(S23,$S$4:$S$26)</f>
        <v>6</v>
      </c>
      <c r="W23" s="129" cm="1">
        <f t="array" ref="W23">RANK(C23,$C$4:$C$26)</f>
        <v>8</v>
      </c>
      <c r="X23" s="176"/>
      <c r="Y23" s="48">
        <v>5</v>
      </c>
      <c r="Z23" s="48">
        <v>0</v>
      </c>
      <c r="AA23" s="133"/>
      <c r="AB23" s="133"/>
      <c r="AC23" s="133"/>
    </row>
    <row r="24" spans="1:29" ht="17.25" customHeight="1">
      <c r="A24" s="8" t="s">
        <v>43</v>
      </c>
      <c r="B24" s="10">
        <v>7</v>
      </c>
      <c r="C24" s="174" cm="1">
        <f t="array" ref="C24">F24/E24</f>
        <v>0.5</v>
      </c>
      <c r="D24" s="10">
        <v>16</v>
      </c>
      <c r="E24" s="10">
        <v>12</v>
      </c>
      <c r="F24" s="10">
        <v>6</v>
      </c>
      <c r="G24" s="10" cm="1">
        <f t="array" ref="G24">F24-(H24+I24+J24)</f>
        <v>5</v>
      </c>
      <c r="H24" s="10">
        <v>1</v>
      </c>
      <c r="I24" s="10">
        <v>0</v>
      </c>
      <c r="J24" s="10">
        <v>0</v>
      </c>
      <c r="K24" s="10">
        <v>6</v>
      </c>
      <c r="L24" s="10">
        <v>2</v>
      </c>
      <c r="M24" s="10">
        <v>9</v>
      </c>
      <c r="N24" s="10" cm="1">
        <f t="array" ref="N24">Y24+Z24</f>
        <v>4</v>
      </c>
      <c r="O24" s="10">
        <v>0</v>
      </c>
      <c r="P24" s="12" cm="1">
        <f t="array" ref="P24">O24/D24</f>
        <v>0</v>
      </c>
      <c r="Q24" s="13" cm="1">
        <f t="array" ref="Q24">(G24*1+H24*2+I24*3+J24*4)/E24</f>
        <v>0.58333333333333337</v>
      </c>
      <c r="R24" s="13" cm="1">
        <f t="array" ref="R24">(F24+N24)/D24</f>
        <v>0.625</v>
      </c>
      <c r="S24" s="15" cm="1">
        <f t="array" ref="S24">R24+Q24</f>
        <v>1.2083333333333335</v>
      </c>
      <c r="T24" s="128" cm="1">
        <f t="array" ref="T24">O24/(D24-(F24+N24))</f>
        <v>0</v>
      </c>
      <c r="U24" s="17" cm="1">
        <f t="array" ref="U24">RANK(R24,$R$4:$R$26)</f>
        <v>2</v>
      </c>
      <c r="V24" s="18" cm="1">
        <f t="array" ref="V24">RANK(S24,$S$4:$S$26)</f>
        <v>3</v>
      </c>
      <c r="W24" s="129" cm="1">
        <f t="array" ref="W24">RANK(C24,$C$4:$C$26)</f>
        <v>3</v>
      </c>
      <c r="X24" s="176"/>
      <c r="Y24" s="48">
        <v>3</v>
      </c>
      <c r="Z24" s="48">
        <v>1</v>
      </c>
      <c r="AA24" s="133"/>
      <c r="AB24" s="48">
        <v>0</v>
      </c>
      <c r="AC24" s="133"/>
    </row>
    <row r="25" spans="1:29" ht="17.25" customHeight="1">
      <c r="A25" s="8" t="s">
        <v>71</v>
      </c>
      <c r="B25" s="175"/>
      <c r="C25" s="174"/>
      <c r="D25" s="175"/>
      <c r="E25" s="175"/>
      <c r="F25" s="175"/>
      <c r="G25" s="175"/>
      <c r="H25" s="175"/>
      <c r="I25" s="175"/>
      <c r="J25" s="175"/>
      <c r="K25" s="175"/>
      <c r="L25" s="175"/>
      <c r="M25" s="175"/>
      <c r="N25" s="175"/>
      <c r="O25" s="175"/>
      <c r="P25" s="12"/>
      <c r="Q25" s="13"/>
      <c r="R25" s="13"/>
      <c r="S25" s="15"/>
      <c r="T25" s="128"/>
      <c r="U25" s="134"/>
      <c r="V25" s="135"/>
      <c r="W25" s="177"/>
      <c r="X25" s="176"/>
      <c r="Y25" s="133"/>
      <c r="Z25" s="133"/>
      <c r="AA25" s="133"/>
      <c r="AB25" s="133"/>
      <c r="AC25" s="133"/>
    </row>
    <row r="26" spans="1:29" ht="17.25" customHeight="1">
      <c r="A26" s="8" t="s">
        <v>44</v>
      </c>
      <c r="B26" s="10">
        <v>5</v>
      </c>
      <c r="C26" s="174" cm="1">
        <f t="array" ref="C26">F26/E26</f>
        <v>0.1111111111111111</v>
      </c>
      <c r="D26" s="10">
        <v>13</v>
      </c>
      <c r="E26" s="10">
        <v>9</v>
      </c>
      <c r="F26" s="10">
        <v>1</v>
      </c>
      <c r="G26" s="10" cm="1">
        <f t="array" ref="G26">F26-(H26+I26+J26)</f>
        <v>1</v>
      </c>
      <c r="H26" s="10">
        <v>0</v>
      </c>
      <c r="I26" s="10">
        <v>0</v>
      </c>
      <c r="J26" s="10">
        <v>0</v>
      </c>
      <c r="K26" s="10">
        <v>3</v>
      </c>
      <c r="L26" s="10">
        <v>2</v>
      </c>
      <c r="M26" s="10">
        <v>5</v>
      </c>
      <c r="N26" s="10" cm="1">
        <f t="array" ref="N26">Y26+Z26</f>
        <v>3</v>
      </c>
      <c r="O26" s="10">
        <v>2</v>
      </c>
      <c r="P26" s="12" cm="1">
        <f t="array" ref="P26">O26/D26</f>
        <v>0.15384615384615385</v>
      </c>
      <c r="Q26" s="13" cm="1">
        <f t="array" ref="Q26">(G26*1+H26*2+I26*3+J26*4)/E26</f>
        <v>0.1111111111111111</v>
      </c>
      <c r="R26" s="13" cm="1">
        <f t="array" ref="R26">(F26+N26)/D26</f>
        <v>0.30769230769230771</v>
      </c>
      <c r="S26" s="15" cm="1">
        <f t="array" ref="S26">R26+Q26</f>
        <v>0.41880341880341881</v>
      </c>
      <c r="T26" s="128" cm="1">
        <f t="array" ref="T26">O26/(D26-(F26+N26))</f>
        <v>0.22222222222222221</v>
      </c>
      <c r="U26" s="17" cm="1">
        <f t="array" ref="U26">RANK(R26,$R$4:$R$26)</f>
        <v>16</v>
      </c>
      <c r="V26" s="18" cm="1">
        <f t="array" ref="V26">RANK(S26,$S$4:$S$26)</f>
        <v>16</v>
      </c>
      <c r="W26" s="129" cm="1">
        <f t="array" ref="W26">RANK(C26,$C$4:$C$26)</f>
        <v>13</v>
      </c>
      <c r="X26" s="176"/>
      <c r="Y26" s="48">
        <v>3</v>
      </c>
      <c r="Z26" s="48">
        <v>0</v>
      </c>
      <c r="AA26" s="133"/>
      <c r="AB26" s="48">
        <v>0</v>
      </c>
      <c r="AC26" s="133"/>
    </row>
    <row r="27" spans="1:29" ht="17.25" customHeight="1">
      <c r="A27" s="29" t="s">
        <v>45</v>
      </c>
      <c r="B27" s="103"/>
      <c r="C27" s="105" cm="1">
        <f t="array" ref="C27">F27/E27</f>
        <v>0.31496062992125984</v>
      </c>
      <c r="D27" s="49" cm="1">
        <f t="array" ref="D27">SUM(D4:D26)</f>
        <v>181</v>
      </c>
      <c r="E27" s="49" cm="1">
        <f t="array" ref="E27">SUM(E4:E26)</f>
        <v>127</v>
      </c>
      <c r="F27" s="49" cm="1">
        <f t="array" ref="F27">SUM(F4:F26)</f>
        <v>40</v>
      </c>
      <c r="G27" s="49" cm="1">
        <f t="array" ref="G27">SUM(G4:G26)</f>
        <v>33</v>
      </c>
      <c r="H27" s="49" cm="1">
        <f t="array" ref="H27">SUM(H4:H26)</f>
        <v>5</v>
      </c>
      <c r="I27" s="49" cm="1">
        <f t="array" ref="I27">SUM(I4:I26)</f>
        <v>2</v>
      </c>
      <c r="J27" s="49" cm="1">
        <f t="array" ref="J27">SUM(J4:J26)</f>
        <v>0</v>
      </c>
      <c r="K27" s="49" cm="1">
        <f t="array" ref="K27">SUM(K4:K26)</f>
        <v>53</v>
      </c>
      <c r="L27" s="49" cm="1">
        <f t="array" ref="L27">SUM(L4:L26)</f>
        <v>32</v>
      </c>
      <c r="M27" s="49" cm="1">
        <f t="array" ref="M27">SUM(M4:M26)</f>
        <v>53</v>
      </c>
      <c r="N27" s="49" cm="1">
        <f t="array" ref="N27">SUM(N4:N26)</f>
        <v>50</v>
      </c>
      <c r="O27" s="49" cm="1">
        <f t="array" ref="O27">SUM(O4:O26)</f>
        <v>37</v>
      </c>
      <c r="P27" s="33" cm="1">
        <f t="array" ref="P27">O27/D27</f>
        <v>0.20441988950276244</v>
      </c>
      <c r="Q27" s="105"/>
      <c r="R27" s="105"/>
      <c r="S27" s="100"/>
      <c r="T27" s="31"/>
      <c r="U27" s="31"/>
      <c r="V27" s="31"/>
      <c r="W27" s="31"/>
      <c r="X27" s="58"/>
      <c r="Y27" s="136" cm="1">
        <f t="array" ref="Y27">SUM(Y4:Y26)</f>
        <v>41</v>
      </c>
      <c r="Z27" s="136" cm="1">
        <f t="array" ref="Z27">SUM(Z4:Z26)</f>
        <v>9</v>
      </c>
      <c r="AA27" s="136" cm="1">
        <f t="array" ref="AA27">SUM(AA4:AA26)</f>
        <v>0</v>
      </c>
      <c r="AB27" s="136" cm="1">
        <f t="array" ref="AB27">SUM(AB4:AB26)</f>
        <v>0</v>
      </c>
      <c r="AC27" s="136" cm="1">
        <f t="array" ref="AC27">SUM(AC4:AC26)</f>
        <v>0</v>
      </c>
    </row>
    <row r="28" spans="1:29" ht="17.25" customHeight="1">
      <c r="A28" s="111"/>
      <c r="B28" s="112"/>
      <c r="C28" s="113"/>
      <c r="D28" s="112"/>
      <c r="E28" s="112"/>
      <c r="F28" s="112"/>
      <c r="G28" s="112"/>
      <c r="H28" s="112"/>
      <c r="I28" s="112"/>
      <c r="J28" s="112"/>
      <c r="K28" s="112"/>
      <c r="L28" s="112"/>
      <c r="M28" s="112"/>
      <c r="N28" s="112"/>
      <c r="O28" s="112"/>
      <c r="P28" s="112"/>
      <c r="Q28" s="113"/>
      <c r="R28" s="113"/>
      <c r="S28" s="114"/>
      <c r="T28" s="34"/>
      <c r="U28" s="34"/>
      <c r="V28" s="34"/>
      <c r="W28" s="34"/>
      <c r="X28" s="3"/>
      <c r="Y28" s="34"/>
      <c r="Z28" s="34"/>
      <c r="AA28" s="34"/>
      <c r="AB28" s="34"/>
      <c r="AC28" s="34"/>
    </row>
    <row r="29" spans="1:29" ht="17.25" customHeight="1">
      <c r="A29" s="115" t="s">
        <v>46</v>
      </c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6"/>
      <c r="T29" s="6"/>
      <c r="U29" s="6"/>
      <c r="V29" s="6"/>
      <c r="W29" s="6"/>
      <c r="X29" s="3"/>
      <c r="Y29" s="6"/>
      <c r="Z29" s="6"/>
      <c r="AA29" s="3"/>
      <c r="AB29" s="3"/>
      <c r="AC29" s="3"/>
    </row>
    <row r="30" spans="1:29" ht="34.5" customHeight="1">
      <c r="A30" s="8" t="s">
        <v>2</v>
      </c>
      <c r="B30" s="8" t="s">
        <v>3</v>
      </c>
      <c r="C30" s="8" t="s">
        <v>47</v>
      </c>
      <c r="D30" s="8" t="s">
        <v>48</v>
      </c>
      <c r="E30" s="8" t="s">
        <v>49</v>
      </c>
      <c r="F30" s="8" t="s">
        <v>50</v>
      </c>
      <c r="G30" s="8" t="s">
        <v>6</v>
      </c>
      <c r="H30" s="8" t="s">
        <v>51</v>
      </c>
      <c r="I30" s="8" t="s">
        <v>52</v>
      </c>
      <c r="J30" s="8" t="s">
        <v>53</v>
      </c>
      <c r="K30" s="8" t="s">
        <v>54</v>
      </c>
      <c r="L30" s="8" t="s">
        <v>55</v>
      </c>
      <c r="M30" s="8" t="s">
        <v>56</v>
      </c>
      <c r="N30" s="8" t="s">
        <v>57</v>
      </c>
      <c r="O30" s="8" t="s">
        <v>58</v>
      </c>
      <c r="P30" s="8" t="s">
        <v>59</v>
      </c>
      <c r="Q30" s="8" t="s">
        <v>60</v>
      </c>
      <c r="R30" s="8" t="s">
        <v>61</v>
      </c>
      <c r="S30" s="8" t="s">
        <v>116</v>
      </c>
      <c r="T30" s="8" t="s">
        <v>63</v>
      </c>
      <c r="U30" s="8" t="s">
        <v>163</v>
      </c>
      <c r="V30" s="8" t="s">
        <v>65</v>
      </c>
      <c r="W30" s="8" t="s">
        <v>117</v>
      </c>
      <c r="X30" s="58"/>
      <c r="Y30" s="8" t="s">
        <v>118</v>
      </c>
      <c r="Z30" s="8" t="s">
        <v>119</v>
      </c>
      <c r="AA30" s="9"/>
      <c r="AB30" s="3"/>
      <c r="AC30" s="3"/>
    </row>
    <row r="31" spans="1:29" ht="17.25" customHeight="1">
      <c r="A31" s="8" t="s">
        <v>24</v>
      </c>
      <c r="B31" s="10">
        <v>1</v>
      </c>
      <c r="C31" s="10">
        <v>0</v>
      </c>
      <c r="D31" s="10">
        <v>0</v>
      </c>
      <c r="E31" s="10">
        <v>0</v>
      </c>
      <c r="F31" s="10">
        <v>4</v>
      </c>
      <c r="G31" s="10">
        <v>2</v>
      </c>
      <c r="H31" s="39">
        <v>0.3333333</v>
      </c>
      <c r="I31" s="10">
        <v>1</v>
      </c>
      <c r="J31" s="10">
        <v>0</v>
      </c>
      <c r="K31" s="10">
        <v>1</v>
      </c>
      <c r="L31" s="10">
        <v>1</v>
      </c>
      <c r="M31" s="10">
        <v>1</v>
      </c>
      <c r="N31" s="10">
        <v>0</v>
      </c>
      <c r="O31" s="10">
        <v>0</v>
      </c>
      <c r="P31" s="40" cm="1">
        <f t="array" ref="P31">O31*9/H31</f>
        <v>0</v>
      </c>
      <c r="Q31" s="41" cm="1">
        <f t="array" ref="Q31">(K31+L31)/H31</f>
        <v>6.0000006000000603</v>
      </c>
      <c r="R31" s="42" cm="1">
        <f t="array" ref="R31">I31/H31</f>
        <v>3.0000003000000302</v>
      </c>
      <c r="S31" s="42" cm="1">
        <f t="array" ref="S31">H31/B31</f>
        <v>0.3333333</v>
      </c>
      <c r="T31" s="41" cm="1">
        <f t="array" ref="T31">M31/H31</f>
        <v>3.0000003000000302</v>
      </c>
      <c r="U31" s="44" t="e" cm="1">
        <f t="array" ref="U31">O31/N31</f>
        <v>#DIV/0!</v>
      </c>
      <c r="V31" s="41" cm="1">
        <f t="array" ref="V31">(I31+K31+L31)/H31</f>
        <v>9.0000009000000905</v>
      </c>
      <c r="W31" s="145" cm="1">
        <f t="array" ref="W31">(L31+K31)/F31*100</f>
        <v>50</v>
      </c>
      <c r="X31" s="180"/>
      <c r="Y31" s="182">
        <v>0</v>
      </c>
      <c r="Z31" s="182">
        <v>0</v>
      </c>
      <c r="AA31" s="9"/>
      <c r="AB31" s="3"/>
      <c r="AC31" s="3"/>
    </row>
    <row r="32" spans="1:29" ht="17.25" customHeight="1">
      <c r="A32" s="8" t="s">
        <v>27</v>
      </c>
      <c r="B32" s="175"/>
      <c r="C32" s="175"/>
      <c r="D32" s="175"/>
      <c r="E32" s="175"/>
      <c r="F32" s="175"/>
      <c r="G32" s="175"/>
      <c r="H32" s="39"/>
      <c r="I32" s="175"/>
      <c r="J32" s="175"/>
      <c r="K32" s="175"/>
      <c r="L32" s="175"/>
      <c r="M32" s="175"/>
      <c r="N32" s="175"/>
      <c r="O32" s="175"/>
      <c r="P32" s="40" t="e" cm="1">
        <f t="array" ref="P32">O32*9/H32</f>
        <v>#DIV/0!</v>
      </c>
      <c r="Q32" s="41" t="e" cm="1">
        <f t="array" ref="Q32">(K32+L32)/H32</f>
        <v>#DIV/0!</v>
      </c>
      <c r="R32" s="42" t="e" cm="1">
        <f t="array" ref="R32">I32/H32</f>
        <v>#DIV/0!</v>
      </c>
      <c r="S32" s="42" t="e" cm="1">
        <f t="array" ref="S32">H32/B32</f>
        <v>#DIV/0!</v>
      </c>
      <c r="T32" s="41" t="e" cm="1">
        <f t="array" ref="T32">M32/H32</f>
        <v>#DIV/0!</v>
      </c>
      <c r="U32" s="44" t="e" cm="1">
        <f t="array" ref="U32">O32/N32</f>
        <v>#DIV/0!</v>
      </c>
      <c r="V32" s="41" t="e" cm="1">
        <f t="array" ref="V32">(I32+K32+L32)/H32</f>
        <v>#DIV/0!</v>
      </c>
      <c r="W32" s="145" t="e" cm="1">
        <f t="array" ref="W32">(L32+K32)/F32*100</f>
        <v>#DIV/0!</v>
      </c>
      <c r="X32" s="180"/>
      <c r="Y32" s="172"/>
      <c r="Z32" s="172"/>
      <c r="AA32" s="9"/>
      <c r="AB32" s="3"/>
      <c r="AC32" s="3"/>
    </row>
    <row r="33" spans="1:29" ht="17.25" customHeight="1">
      <c r="A33" s="8" t="s">
        <v>29</v>
      </c>
      <c r="B33" s="175"/>
      <c r="C33" s="175"/>
      <c r="D33" s="175"/>
      <c r="E33" s="175"/>
      <c r="F33" s="175"/>
      <c r="G33" s="175"/>
      <c r="H33" s="39"/>
      <c r="I33" s="175"/>
      <c r="J33" s="175"/>
      <c r="K33" s="175"/>
      <c r="L33" s="175"/>
      <c r="M33" s="175"/>
      <c r="N33" s="175"/>
      <c r="O33" s="175"/>
      <c r="P33" s="40" t="e" cm="1">
        <f t="array" ref="P33">O33*9/H33</f>
        <v>#DIV/0!</v>
      </c>
      <c r="Q33" s="41" t="e" cm="1">
        <f t="array" ref="Q33">(K33+L33)/H33</f>
        <v>#DIV/0!</v>
      </c>
      <c r="R33" s="42" t="e" cm="1">
        <f t="array" ref="R33">I33/H33</f>
        <v>#DIV/0!</v>
      </c>
      <c r="S33" s="42" t="e" cm="1">
        <f t="array" ref="S33">H33/B33</f>
        <v>#DIV/0!</v>
      </c>
      <c r="T33" s="41" t="e" cm="1">
        <f t="array" ref="T33">M33/H33</f>
        <v>#DIV/0!</v>
      </c>
      <c r="U33" s="44" t="e" cm="1">
        <f t="array" ref="U33">O33/N33</f>
        <v>#DIV/0!</v>
      </c>
      <c r="V33" s="41" t="e" cm="1">
        <f t="array" ref="V33">(I33+K33+L33)/H33</f>
        <v>#DIV/0!</v>
      </c>
      <c r="W33" s="145" t="e" cm="1">
        <f t="array" ref="W33">(L33+K33)/F33*100</f>
        <v>#DIV/0!</v>
      </c>
      <c r="X33" s="180"/>
      <c r="Y33" s="172"/>
      <c r="Z33" s="172"/>
      <c r="AA33" s="9"/>
      <c r="AB33" s="3"/>
      <c r="AC33" s="3"/>
    </row>
    <row r="34" spans="1:29" ht="17.25" customHeight="1">
      <c r="A34" s="8" t="s">
        <v>33</v>
      </c>
      <c r="B34" s="175"/>
      <c r="C34" s="175"/>
      <c r="D34" s="175"/>
      <c r="E34" s="175"/>
      <c r="F34" s="175"/>
      <c r="G34" s="175"/>
      <c r="H34" s="39"/>
      <c r="I34" s="175"/>
      <c r="J34" s="175"/>
      <c r="K34" s="175"/>
      <c r="L34" s="175"/>
      <c r="M34" s="175"/>
      <c r="N34" s="175"/>
      <c r="O34" s="175"/>
      <c r="P34" s="40" t="e" cm="1">
        <f t="array" ref="P34">O34*9/H34</f>
        <v>#DIV/0!</v>
      </c>
      <c r="Q34" s="41" t="e" cm="1">
        <f t="array" ref="Q34">(K34+L34)/H34</f>
        <v>#DIV/0!</v>
      </c>
      <c r="R34" s="42" t="e" cm="1">
        <f t="array" ref="R34">I34/H34</f>
        <v>#DIV/0!</v>
      </c>
      <c r="S34" s="42" t="e" cm="1">
        <f t="array" ref="S34">H34/B34</f>
        <v>#DIV/0!</v>
      </c>
      <c r="T34" s="41" t="e" cm="1">
        <f t="array" ref="T34">M34/H34</f>
        <v>#DIV/0!</v>
      </c>
      <c r="U34" s="44" t="e" cm="1">
        <f t="array" ref="U34">O34/N34</f>
        <v>#DIV/0!</v>
      </c>
      <c r="V34" s="41" t="e" cm="1">
        <f t="array" ref="V34">(I34+K34+L34)/H34</f>
        <v>#DIV/0!</v>
      </c>
      <c r="W34" s="145" t="e" cm="1">
        <f t="array" ref="W34">(L34+K34)/F34*100</f>
        <v>#DIV/0!</v>
      </c>
      <c r="X34" s="180"/>
      <c r="Y34" s="172"/>
      <c r="Z34" s="172"/>
      <c r="AA34" s="9"/>
      <c r="AB34" s="3"/>
      <c r="AC34" s="3"/>
    </row>
    <row r="35" spans="1:29" ht="17.25" customHeight="1">
      <c r="A35" s="8" t="s">
        <v>35</v>
      </c>
      <c r="B35" s="175"/>
      <c r="C35" s="175"/>
      <c r="D35" s="175"/>
      <c r="E35" s="175"/>
      <c r="F35" s="175"/>
      <c r="G35" s="175"/>
      <c r="H35" s="39"/>
      <c r="I35" s="175"/>
      <c r="J35" s="175"/>
      <c r="K35" s="175"/>
      <c r="L35" s="175"/>
      <c r="M35" s="175"/>
      <c r="N35" s="175"/>
      <c r="O35" s="175"/>
      <c r="P35" s="40" t="e" cm="1">
        <f t="array" ref="P35">O35*9/H35</f>
        <v>#DIV/0!</v>
      </c>
      <c r="Q35" s="41" t="e" cm="1">
        <f t="array" ref="Q35">(K35+L35)/H35</f>
        <v>#DIV/0!</v>
      </c>
      <c r="R35" s="42" t="e" cm="1">
        <f t="array" ref="R35">I35/H35</f>
        <v>#DIV/0!</v>
      </c>
      <c r="S35" s="42" t="e" cm="1">
        <f t="array" ref="S35">H35/B35</f>
        <v>#DIV/0!</v>
      </c>
      <c r="T35" s="41" t="e" cm="1">
        <f t="array" ref="T35">M35/H35</f>
        <v>#DIV/0!</v>
      </c>
      <c r="U35" s="44" t="e" cm="1">
        <f t="array" ref="U35">O35/N35</f>
        <v>#DIV/0!</v>
      </c>
      <c r="V35" s="41" t="e" cm="1">
        <f t="array" ref="V35">(I35+K35+L35)/H35</f>
        <v>#DIV/0!</v>
      </c>
      <c r="W35" s="145" t="e" cm="1">
        <f t="array" ref="W35">(L35+K35)/F35*100</f>
        <v>#DIV/0!</v>
      </c>
      <c r="X35" s="180"/>
      <c r="Y35" s="172"/>
      <c r="Z35" s="172"/>
      <c r="AA35" s="9"/>
      <c r="AB35" s="3"/>
      <c r="AC35" s="3"/>
    </row>
    <row r="36" spans="1:29" ht="17.25" customHeight="1">
      <c r="A36" s="8" t="s">
        <v>36</v>
      </c>
      <c r="B36" s="175"/>
      <c r="C36" s="175"/>
      <c r="D36" s="175"/>
      <c r="E36" s="175"/>
      <c r="F36" s="175"/>
      <c r="G36" s="175"/>
      <c r="H36" s="39"/>
      <c r="I36" s="175"/>
      <c r="J36" s="175"/>
      <c r="K36" s="175"/>
      <c r="L36" s="175"/>
      <c r="M36" s="175"/>
      <c r="N36" s="175"/>
      <c r="O36" s="175"/>
      <c r="P36" s="40" t="e" cm="1">
        <f t="array" ref="P36">O36*9/H36</f>
        <v>#DIV/0!</v>
      </c>
      <c r="Q36" s="41" t="e" cm="1">
        <f t="array" ref="Q36">(K36+L36)/H36</f>
        <v>#DIV/0!</v>
      </c>
      <c r="R36" s="42" t="e" cm="1">
        <f t="array" ref="R36">I36/H36</f>
        <v>#DIV/0!</v>
      </c>
      <c r="S36" s="42" t="e" cm="1">
        <f t="array" ref="S36">H36/B36</f>
        <v>#DIV/0!</v>
      </c>
      <c r="T36" s="41" t="e" cm="1">
        <f t="array" ref="T36">M36/H36</f>
        <v>#DIV/0!</v>
      </c>
      <c r="U36" s="44" t="e" cm="1">
        <f t="array" ref="U36">O36/N36</f>
        <v>#DIV/0!</v>
      </c>
      <c r="V36" s="41" t="e" cm="1">
        <f t="array" ref="V36">(I36+K36+L36)/H36</f>
        <v>#DIV/0!</v>
      </c>
      <c r="W36" s="145" t="e" cm="1">
        <f t="array" ref="W36">(L36+K36)/F36*100</f>
        <v>#DIV/0!</v>
      </c>
      <c r="X36" s="180"/>
      <c r="Y36" s="172"/>
      <c r="Z36" s="172"/>
      <c r="AA36" s="9"/>
      <c r="AB36" s="3"/>
      <c r="AC36" s="3"/>
    </row>
    <row r="37" spans="1:29" ht="17.25" customHeight="1">
      <c r="A37" s="8" t="s">
        <v>37</v>
      </c>
      <c r="B37" s="10">
        <v>5</v>
      </c>
      <c r="C37" s="10">
        <v>0</v>
      </c>
      <c r="D37" s="10">
        <v>0</v>
      </c>
      <c r="E37" s="10">
        <v>0</v>
      </c>
      <c r="F37" s="10">
        <v>46</v>
      </c>
      <c r="G37" s="10">
        <v>40</v>
      </c>
      <c r="H37" s="39">
        <v>7.3333333329999997</v>
      </c>
      <c r="I37" s="10">
        <v>17</v>
      </c>
      <c r="J37" s="10">
        <v>0</v>
      </c>
      <c r="K37" s="10">
        <v>5</v>
      </c>
      <c r="L37" s="10">
        <v>1</v>
      </c>
      <c r="M37" s="10">
        <v>10</v>
      </c>
      <c r="N37" s="10">
        <v>18</v>
      </c>
      <c r="O37" s="10">
        <v>15</v>
      </c>
      <c r="P37" s="40" cm="1">
        <f t="array" ref="P37">O37*9/H37</f>
        <v>18.409090909927688</v>
      </c>
      <c r="Q37" s="41" cm="1">
        <f t="array" ref="Q37">(K37+L37)/H37</f>
        <v>0.81818181821900826</v>
      </c>
      <c r="R37" s="42" cm="1">
        <f t="array" ref="R37">I37/H37</f>
        <v>2.3181818182871901</v>
      </c>
      <c r="S37" s="42" cm="1">
        <f t="array" ref="S37">H37/B37</f>
        <v>1.4666666665999999</v>
      </c>
      <c r="T37" s="41" cm="1">
        <f t="array" ref="T37">M37/H37</f>
        <v>1.3636363636983471</v>
      </c>
      <c r="U37" s="44" cm="1">
        <f t="array" ref="U37">O37/N37</f>
        <v>0.83333333333333337</v>
      </c>
      <c r="V37" s="41" cm="1">
        <f t="array" ref="V37">(I37+K37+L37)/H37</f>
        <v>3.1363636365061986</v>
      </c>
      <c r="W37" s="145" cm="1">
        <f t="array" ref="W37">(L37+K37)/F37*100</f>
        <v>13.043478260869565</v>
      </c>
      <c r="X37" s="180"/>
      <c r="Y37" s="182">
        <v>0</v>
      </c>
      <c r="Z37" s="182">
        <v>0</v>
      </c>
      <c r="AA37" s="9"/>
      <c r="AB37" s="3"/>
      <c r="AC37" s="3"/>
    </row>
    <row r="38" spans="1:29" ht="17.25" customHeight="1">
      <c r="A38" s="8" t="s">
        <v>40</v>
      </c>
      <c r="B38" s="10">
        <v>5</v>
      </c>
      <c r="C38" s="10">
        <v>0</v>
      </c>
      <c r="D38" s="10">
        <v>2</v>
      </c>
      <c r="E38" s="10">
        <v>0</v>
      </c>
      <c r="F38" s="10">
        <v>58</v>
      </c>
      <c r="G38" s="10">
        <v>47</v>
      </c>
      <c r="H38" s="39">
        <v>5.6666666660000002</v>
      </c>
      <c r="I38" s="10">
        <v>21</v>
      </c>
      <c r="J38" s="10">
        <v>0</v>
      </c>
      <c r="K38" s="10">
        <v>2</v>
      </c>
      <c r="L38" s="10">
        <v>8</v>
      </c>
      <c r="M38" s="10">
        <v>12</v>
      </c>
      <c r="N38" s="10">
        <v>31</v>
      </c>
      <c r="O38" s="10">
        <v>21</v>
      </c>
      <c r="P38" s="40" cm="1">
        <f t="array" ref="P38">O38*9/H38</f>
        <v>33.35294118039446</v>
      </c>
      <c r="Q38" s="41" cm="1">
        <f t="array" ref="Q38">(K38+L38)/H38</f>
        <v>1.7647058825605535</v>
      </c>
      <c r="R38" s="42" cm="1">
        <f t="array" ref="R38">I38/H38</f>
        <v>3.7058823533771625</v>
      </c>
      <c r="S38" s="42" cm="1">
        <f t="array" ref="S38">H38/B38</f>
        <v>1.1333333332</v>
      </c>
      <c r="T38" s="41" cm="1">
        <f t="array" ref="T38">M38/H38</f>
        <v>2.1176470590726644</v>
      </c>
      <c r="U38" s="44" cm="1">
        <f t="array" ref="U38">O38/N38</f>
        <v>0.67741935483870963</v>
      </c>
      <c r="V38" s="41" cm="1">
        <f t="array" ref="V38">(I38+K38+L38)/H38</f>
        <v>5.4705882359377158</v>
      </c>
      <c r="W38" s="145" cm="1">
        <f t="array" ref="W38">(L38+K38)/F38*100</f>
        <v>17.241379310344829</v>
      </c>
      <c r="X38" s="180"/>
      <c r="Y38" s="182">
        <v>2</v>
      </c>
      <c r="Z38" s="182">
        <v>0</v>
      </c>
      <c r="AA38" s="9"/>
      <c r="AB38" s="3"/>
      <c r="AC38" s="3"/>
    </row>
    <row r="39" spans="1:29" ht="17.25" customHeight="1">
      <c r="A39" s="8" t="s">
        <v>41</v>
      </c>
      <c r="B39" s="10">
        <v>1</v>
      </c>
      <c r="C39" s="10">
        <v>0</v>
      </c>
      <c r="D39" s="10">
        <v>0</v>
      </c>
      <c r="E39" s="10">
        <v>0</v>
      </c>
      <c r="F39" s="10">
        <v>5</v>
      </c>
      <c r="G39" s="10">
        <v>1</v>
      </c>
      <c r="H39" s="39">
        <v>0.33333333333332998</v>
      </c>
      <c r="I39" s="10">
        <v>0</v>
      </c>
      <c r="J39" s="10">
        <v>0</v>
      </c>
      <c r="K39" s="10">
        <v>3</v>
      </c>
      <c r="L39" s="10">
        <v>1</v>
      </c>
      <c r="M39" s="10">
        <v>0</v>
      </c>
      <c r="N39" s="10">
        <v>4</v>
      </c>
      <c r="O39" s="10">
        <v>1</v>
      </c>
      <c r="P39" s="40" cm="1">
        <f t="array" ref="P39">O39*9/H39</f>
        <v>27.00000000000027</v>
      </c>
      <c r="Q39" s="41" cm="1">
        <f t="array" ref="Q39">(K39+L39)/H39</f>
        <v>12.000000000000121</v>
      </c>
      <c r="R39" s="42" cm="1">
        <f t="array" ref="R39">I39/H39</f>
        <v>0</v>
      </c>
      <c r="S39" s="42" cm="1">
        <f t="array" ref="S39">H39/B39</f>
        <v>0.33333333333332998</v>
      </c>
      <c r="T39" s="41" cm="1">
        <f t="array" ref="T39">M39/H39</f>
        <v>0</v>
      </c>
      <c r="U39" s="44" cm="1">
        <f t="array" ref="U39">O39/N39</f>
        <v>0.25</v>
      </c>
      <c r="V39" s="41" cm="1">
        <f t="array" ref="V39">(I39+K39+L39)/H39</f>
        <v>12.000000000000121</v>
      </c>
      <c r="W39" s="145" cm="1">
        <f t="array" ref="W39">(L39+K39)/F39*100</f>
        <v>80</v>
      </c>
      <c r="X39" s="180"/>
      <c r="Y39" s="172"/>
      <c r="Z39" s="172"/>
      <c r="AA39" s="9"/>
      <c r="AB39" s="3"/>
      <c r="AC39" s="3"/>
    </row>
    <row r="40" spans="1:29" ht="17.25" customHeight="1">
      <c r="A40" s="8" t="s">
        <v>42</v>
      </c>
      <c r="B40" s="175"/>
      <c r="C40" s="175"/>
      <c r="D40" s="175"/>
      <c r="E40" s="175"/>
      <c r="F40" s="175"/>
      <c r="G40" s="175"/>
      <c r="H40" s="39"/>
      <c r="I40" s="175"/>
      <c r="J40" s="175"/>
      <c r="K40" s="175"/>
      <c r="L40" s="175"/>
      <c r="M40" s="175"/>
      <c r="N40" s="175"/>
      <c r="O40" s="175"/>
      <c r="P40" s="40" t="e" cm="1">
        <f t="array" ref="P40">O40*9/H40</f>
        <v>#DIV/0!</v>
      </c>
      <c r="Q40" s="41" t="e" cm="1">
        <f t="array" ref="Q40">(K40+L40)/H40</f>
        <v>#DIV/0!</v>
      </c>
      <c r="R40" s="42" t="e" cm="1">
        <f t="array" ref="R40">I40/H40</f>
        <v>#DIV/0!</v>
      </c>
      <c r="S40" s="42" t="e" cm="1">
        <f t="array" ref="S40">H40/B40</f>
        <v>#DIV/0!</v>
      </c>
      <c r="T40" s="41" t="e" cm="1">
        <f t="array" ref="T40">M40/H40</f>
        <v>#DIV/0!</v>
      </c>
      <c r="U40" s="44" t="e" cm="1">
        <f t="array" ref="U40">O40/N40</f>
        <v>#DIV/0!</v>
      </c>
      <c r="V40" s="41" t="e" cm="1">
        <f t="array" ref="V40">(I40+K40+L40)/H40</f>
        <v>#DIV/0!</v>
      </c>
      <c r="W40" s="145" t="e" cm="1">
        <f t="array" ref="W40">(L40+K40)/F40*100</f>
        <v>#DIV/0!</v>
      </c>
      <c r="X40" s="180"/>
      <c r="Y40" s="172"/>
      <c r="Z40" s="172"/>
      <c r="AA40" s="9"/>
      <c r="AB40" s="3"/>
      <c r="AC40" s="3"/>
    </row>
    <row r="41" spans="1:29" ht="17.25" customHeight="1">
      <c r="A41" s="8" t="s">
        <v>43</v>
      </c>
      <c r="B41" s="10">
        <v>6</v>
      </c>
      <c r="C41" s="10">
        <v>1</v>
      </c>
      <c r="D41" s="10">
        <v>4</v>
      </c>
      <c r="E41" s="10">
        <v>0</v>
      </c>
      <c r="F41" s="10">
        <v>106</v>
      </c>
      <c r="G41" s="10">
        <v>71</v>
      </c>
      <c r="H41" s="39">
        <v>12</v>
      </c>
      <c r="I41" s="10">
        <v>24</v>
      </c>
      <c r="J41" s="10">
        <v>0</v>
      </c>
      <c r="K41" s="10">
        <v>31</v>
      </c>
      <c r="L41" s="10">
        <v>3</v>
      </c>
      <c r="M41" s="10">
        <v>18</v>
      </c>
      <c r="N41" s="10">
        <v>53</v>
      </c>
      <c r="O41" s="10">
        <v>30</v>
      </c>
      <c r="P41" s="40" cm="1">
        <f t="array" ref="P41">O41*9/H41</f>
        <v>22.5</v>
      </c>
      <c r="Q41" s="41" cm="1">
        <f t="array" ref="Q41">(K41+L41)/H41</f>
        <v>2.8333333333333335</v>
      </c>
      <c r="R41" s="42" cm="1">
        <f t="array" ref="R41">I41/H41</f>
        <v>2</v>
      </c>
      <c r="S41" s="42" cm="1">
        <f t="array" ref="S41">H41/B41</f>
        <v>2</v>
      </c>
      <c r="T41" s="41" cm="1">
        <f t="array" ref="T41">M41/H41</f>
        <v>1.5</v>
      </c>
      <c r="U41" s="44" cm="1">
        <f t="array" ref="U41">O41/N41</f>
        <v>0.56603773584905659</v>
      </c>
      <c r="V41" s="41" cm="1">
        <f t="array" ref="V41">(I41+K41+L41)/H41</f>
        <v>4.833333333333333</v>
      </c>
      <c r="W41" s="145" cm="1">
        <f t="array" ref="W41">(L41+K41)/F41*100</f>
        <v>32.075471698113205</v>
      </c>
      <c r="X41" s="180"/>
      <c r="Y41" s="182">
        <v>3</v>
      </c>
      <c r="Z41" s="182">
        <v>0</v>
      </c>
      <c r="AA41" s="9"/>
      <c r="AB41" s="3"/>
      <c r="AC41" s="3"/>
    </row>
    <row r="42" spans="1:29" ht="17.25" customHeight="1">
      <c r="A42" s="29" t="s">
        <v>45</v>
      </c>
      <c r="B42" s="103"/>
      <c r="C42" s="49" cm="1">
        <f t="array" ref="C42">SUM(C31:C41)</f>
        <v>1</v>
      </c>
      <c r="D42" s="49" cm="1">
        <f t="array" ref="D42">SUM(D31:D41)</f>
        <v>6</v>
      </c>
      <c r="E42" s="49" cm="1">
        <f t="array" ref="E42">SUM(E31:E41)</f>
        <v>0</v>
      </c>
      <c r="F42" s="49" cm="1">
        <f t="array" ref="F42">SUM(F31:F41)</f>
        <v>219</v>
      </c>
      <c r="G42" s="49" cm="1">
        <f t="array" ref="G42">SUM(G31:G41)</f>
        <v>161</v>
      </c>
      <c r="H42" s="50" cm="1">
        <f t="array" ref="H42">SUM(H31:H41)</f>
        <v>25.666666632333332</v>
      </c>
      <c r="I42" s="49" cm="1">
        <f t="array" ref="I42">SUM(I31:I41)</f>
        <v>63</v>
      </c>
      <c r="J42" s="49" cm="1">
        <f t="array" ref="J42">SUM(J31:J41)</f>
        <v>0</v>
      </c>
      <c r="K42" s="49" cm="1">
        <f t="array" ref="K42">SUM(K31:K41)</f>
        <v>42</v>
      </c>
      <c r="L42" s="49" cm="1">
        <f t="array" ref="L42">SUM(L31:L41)</f>
        <v>14</v>
      </c>
      <c r="M42" s="49" cm="1">
        <f t="array" ref="M42">SUM(M31:M41)</f>
        <v>41</v>
      </c>
      <c r="N42" s="49" cm="1">
        <f t="array" ref="N42">SUM(N31:N41)</f>
        <v>106</v>
      </c>
      <c r="O42" s="49" cm="1">
        <f t="array" ref="O42">SUM(O31:O41)</f>
        <v>67</v>
      </c>
      <c r="P42" s="51" cm="1">
        <f t="array" ref="P42">O42*9/H42</f>
        <v>23.493506524932872</v>
      </c>
      <c r="Q42" s="52" cm="1">
        <f t="array" ref="Q42">(K42+L42)/H42</f>
        <v>2.1818181847367182</v>
      </c>
      <c r="R42" s="53" cm="1">
        <f t="array" ref="R42">I42/H42</f>
        <v>2.4545454578288077</v>
      </c>
      <c r="S42" s="53" t="e" cm="1">
        <f t="array" ref="S42">H42/B42</f>
        <v>#DIV/0!</v>
      </c>
      <c r="T42" s="52" cm="1">
        <f t="array" ref="T42">M42/H42</f>
        <v>1.5974025995393828</v>
      </c>
      <c r="U42" s="55" cm="1">
        <f t="array" ref="U42">O42/N42</f>
        <v>0.63207547169811318</v>
      </c>
      <c r="V42" s="52" cm="1">
        <f t="array" ref="V42">(I42+K42+L42)/H42</f>
        <v>4.6363636425655255</v>
      </c>
      <c r="W42" s="52"/>
      <c r="X42" s="180"/>
      <c r="Y42" s="49" cm="1">
        <f t="array" ref="Y42">SUM(Y31:Y41)</f>
        <v>5</v>
      </c>
      <c r="Z42" s="49" cm="1">
        <f t="array" ref="Z42">SUM(Z31:Z41)</f>
        <v>0</v>
      </c>
      <c r="AA42" s="9"/>
      <c r="AB42" s="3"/>
      <c r="AC42" s="3"/>
    </row>
  </sheetData>
  <phoneticPr fontId="21" type="noConversion"/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C42"/>
  <sheetViews>
    <sheetView showGridLines="0" zoomScale="85" zoomScaleNormal="85" workbookViewId="0">
      <selection activeCell="G9" sqref="G9:H9"/>
    </sheetView>
  </sheetViews>
  <sheetFormatPr defaultColWidth="9" defaultRowHeight="16.5" customHeight="1"/>
  <cols>
    <col min="1" max="2" width="8.125" style="1" customWidth="1"/>
    <col min="3" max="3" width="9.625" style="1" customWidth="1"/>
    <col min="4" max="15" width="8.125" style="1" customWidth="1"/>
    <col min="16" max="16" width="10.125" style="1" customWidth="1"/>
    <col min="17" max="18" width="8.125" style="1" customWidth="1"/>
    <col min="19" max="19" width="10.875" style="1" customWidth="1"/>
    <col min="20" max="20" width="10.125" style="1" customWidth="1"/>
    <col min="21" max="22" width="9" style="1" customWidth="1"/>
    <col min="23" max="23" width="11.375" style="1" customWidth="1"/>
    <col min="24" max="24" width="2.625" style="1" customWidth="1"/>
    <col min="25" max="26" width="9" style="1" customWidth="1"/>
    <col min="27" max="27" width="10.125" style="1" customWidth="1"/>
    <col min="28" max="30" width="9" style="1" customWidth="1"/>
    <col min="31" max="16384" width="9" style="1"/>
  </cols>
  <sheetData>
    <row r="1" spans="1:29" ht="26.25" customHeight="1">
      <c r="A1" s="2" t="s">
        <v>166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29" ht="17.25" customHeight="1">
      <c r="A2" s="5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3"/>
      <c r="Y2" s="6"/>
      <c r="Z2" s="6"/>
      <c r="AA2" s="6"/>
      <c r="AB2" s="6"/>
      <c r="AC2" s="6"/>
    </row>
    <row r="3" spans="1:29" ht="34.5" customHeight="1">
      <c r="A3" s="8" t="s">
        <v>101</v>
      </c>
      <c r="B3" s="8" t="s">
        <v>102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10</v>
      </c>
      <c r="J3" s="8" t="s">
        <v>11</v>
      </c>
      <c r="K3" s="8" t="s">
        <v>12</v>
      </c>
      <c r="L3" s="8" t="s">
        <v>13</v>
      </c>
      <c r="M3" s="8" t="s">
        <v>14</v>
      </c>
      <c r="N3" s="8" t="s">
        <v>15</v>
      </c>
      <c r="O3" s="8" t="s">
        <v>16</v>
      </c>
      <c r="P3" s="8" t="s">
        <v>17</v>
      </c>
      <c r="Q3" s="8" t="s">
        <v>18</v>
      </c>
      <c r="R3" s="8" t="s">
        <v>19</v>
      </c>
      <c r="S3" s="8" t="s">
        <v>20</v>
      </c>
      <c r="T3" s="8" t="s">
        <v>21</v>
      </c>
      <c r="U3" s="8" t="s">
        <v>22</v>
      </c>
      <c r="V3" s="8" t="s">
        <v>23</v>
      </c>
      <c r="W3" s="8" t="s">
        <v>111</v>
      </c>
      <c r="X3" s="58"/>
      <c r="Y3" s="8" t="s">
        <v>112</v>
      </c>
      <c r="Z3" s="8" t="s">
        <v>55</v>
      </c>
      <c r="AA3" s="8" t="s">
        <v>113</v>
      </c>
      <c r="AB3" s="8" t="s">
        <v>167</v>
      </c>
      <c r="AC3" s="8" t="s">
        <v>115</v>
      </c>
    </row>
    <row r="4" spans="1:29" ht="17.25" customHeight="1">
      <c r="A4" s="8" t="s">
        <v>24</v>
      </c>
      <c r="B4" s="10">
        <v>4</v>
      </c>
      <c r="C4" s="174" cm="1">
        <f t="array" ref="C4">F4/E4</f>
        <v>0.33333333333333331</v>
      </c>
      <c r="D4" s="10">
        <v>6</v>
      </c>
      <c r="E4" s="10">
        <v>6</v>
      </c>
      <c r="F4" s="10">
        <v>2</v>
      </c>
      <c r="G4" s="10" cm="1">
        <f t="array" ref="G4">F4-(H4+I4+J4)</f>
        <v>1</v>
      </c>
      <c r="H4" s="10">
        <v>1</v>
      </c>
      <c r="I4" s="10">
        <v>0</v>
      </c>
      <c r="J4" s="10">
        <v>0</v>
      </c>
      <c r="K4" s="10">
        <v>1</v>
      </c>
      <c r="L4" s="10">
        <v>1</v>
      </c>
      <c r="M4" s="10">
        <v>1</v>
      </c>
      <c r="N4" s="10" cm="1">
        <f t="array" ref="N4">Y4+Z4</f>
        <v>0</v>
      </c>
      <c r="O4" s="10">
        <v>1</v>
      </c>
      <c r="P4" s="12" cm="1">
        <f t="array" ref="P4">O4/D4</f>
        <v>0.16666666666666666</v>
      </c>
      <c r="Q4" s="13" cm="1">
        <f t="array" ref="Q4">(G4*1+H4*2+I4*3+J4*4)/E4</f>
        <v>0.5</v>
      </c>
      <c r="R4" s="13" cm="1">
        <f t="array" ref="R4">(F4+N4)/(D4-AA4)</f>
        <v>0.33333333333333331</v>
      </c>
      <c r="S4" s="15" cm="1">
        <f t="array" ref="S4">R4+Q4</f>
        <v>0.83333333333333326</v>
      </c>
      <c r="T4" s="128" cm="1">
        <f t="array" ref="T4">O4/(D4-(F4+N4))</f>
        <v>0.25</v>
      </c>
      <c r="U4" s="17" cm="1">
        <f t="array" ref="U4">RANK(R4,$R$4:$R$26)</f>
        <v>15</v>
      </c>
      <c r="V4" s="18" cm="1">
        <f t="array" ref="V4">RANK(S4,$S$4:$S$26)</f>
        <v>15</v>
      </c>
      <c r="W4" s="129" cm="1">
        <f t="array" ref="W4">RANK(C4,$C$4:$C$26)</f>
        <v>13</v>
      </c>
      <c r="X4" s="176"/>
      <c r="Y4" s="48">
        <v>0</v>
      </c>
      <c r="Z4" s="48">
        <v>0</v>
      </c>
      <c r="AA4" s="133"/>
      <c r="AB4" s="133"/>
      <c r="AC4" s="133"/>
    </row>
    <row r="5" spans="1:29" ht="17.25" customHeight="1">
      <c r="A5" s="8" t="s">
        <v>25</v>
      </c>
      <c r="B5" s="10">
        <v>2</v>
      </c>
      <c r="C5" s="174"/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0</v>
      </c>
      <c r="P5" s="12"/>
      <c r="Q5" s="13"/>
      <c r="R5" s="13"/>
      <c r="S5" s="15"/>
      <c r="T5" s="128"/>
      <c r="U5" s="134"/>
      <c r="V5" s="135"/>
      <c r="W5" s="177"/>
      <c r="X5" s="176"/>
      <c r="Y5" s="133"/>
      <c r="Z5" s="133"/>
      <c r="AA5" s="133"/>
      <c r="AB5" s="133"/>
      <c r="AC5" s="133"/>
    </row>
    <row r="6" spans="1:29" ht="17.25" customHeight="1">
      <c r="A6" s="8" t="s">
        <v>26</v>
      </c>
      <c r="B6" s="10">
        <v>10</v>
      </c>
      <c r="C6" s="174" cm="1">
        <f t="array" ref="C6">F6/E6</f>
        <v>0.44444444444444442</v>
      </c>
      <c r="D6" s="10">
        <v>34</v>
      </c>
      <c r="E6" s="10">
        <v>27</v>
      </c>
      <c r="F6" s="10">
        <v>12</v>
      </c>
      <c r="G6" s="10" cm="1">
        <f t="array" ref="G6">F6-(H6+I6+J6)</f>
        <v>4</v>
      </c>
      <c r="H6" s="10">
        <v>5</v>
      </c>
      <c r="I6" s="10">
        <v>2</v>
      </c>
      <c r="J6" s="10">
        <v>1</v>
      </c>
      <c r="K6" s="10">
        <v>15</v>
      </c>
      <c r="L6" s="10">
        <v>14</v>
      </c>
      <c r="M6" s="10">
        <v>8</v>
      </c>
      <c r="N6" s="10" cm="1">
        <f t="array" ref="N6">Y6+Z6</f>
        <v>5</v>
      </c>
      <c r="O6" s="10">
        <v>3</v>
      </c>
      <c r="P6" s="12" cm="1">
        <f t="array" ref="P6">O6/D6</f>
        <v>8.8235294117647065E-2</v>
      </c>
      <c r="Q6" s="13" cm="1">
        <f t="array" ref="Q6">(G6*1+H6*2+I6*3+J6*4)/E6</f>
        <v>0.88888888888888884</v>
      </c>
      <c r="R6" s="13" cm="1">
        <f t="array" ref="R6">(F6+N6)/(D6-AA6)</f>
        <v>0.5</v>
      </c>
      <c r="S6" s="15" cm="1">
        <f t="array" ref="S6">R6+Q6</f>
        <v>1.3888888888888888</v>
      </c>
      <c r="T6" s="128" cm="1">
        <f t="array" ref="T6">O6/(D6-(F6+N6))</f>
        <v>0.17647058823529413</v>
      </c>
      <c r="U6" s="17" cm="1">
        <f t="array" ref="U6">RANK(R6,$R$4:$R$26)</f>
        <v>9</v>
      </c>
      <c r="V6" s="18" cm="1">
        <f t="array" ref="V6">RANK(S6,$S$4:$S$26)</f>
        <v>5</v>
      </c>
      <c r="W6" s="129" cm="1">
        <f t="array" ref="W6">RANK(C6,$C$4:$C$26)</f>
        <v>7</v>
      </c>
      <c r="X6" s="176"/>
      <c r="Y6" s="48">
        <v>2</v>
      </c>
      <c r="Z6" s="48">
        <v>3</v>
      </c>
      <c r="AA6" s="133"/>
      <c r="AB6" s="133"/>
      <c r="AC6" s="133"/>
    </row>
    <row r="7" spans="1:29" ht="17.25" customHeight="1">
      <c r="A7" s="8" t="s">
        <v>27</v>
      </c>
      <c r="B7" s="175"/>
      <c r="C7" s="174"/>
      <c r="D7" s="175"/>
      <c r="E7" s="175"/>
      <c r="F7" s="175"/>
      <c r="G7" s="10" cm="1">
        <f t="array" ref="G7">F7-(H7+I7+J7)</f>
        <v>0</v>
      </c>
      <c r="H7" s="175"/>
      <c r="I7" s="175"/>
      <c r="J7" s="175"/>
      <c r="K7" s="175"/>
      <c r="L7" s="175"/>
      <c r="M7" s="175"/>
      <c r="N7" s="10" cm="1">
        <f t="array" ref="N7">Y7+Z7</f>
        <v>0</v>
      </c>
      <c r="O7" s="175"/>
      <c r="P7" s="12"/>
      <c r="Q7" s="13"/>
      <c r="R7" s="13"/>
      <c r="S7" s="15"/>
      <c r="T7" s="128"/>
      <c r="U7" s="134"/>
      <c r="V7" s="135"/>
      <c r="W7" s="177"/>
      <c r="X7" s="176"/>
      <c r="Y7" s="133"/>
      <c r="Z7" s="133"/>
      <c r="AA7" s="133"/>
      <c r="AB7" s="133"/>
      <c r="AC7" s="133"/>
    </row>
    <row r="8" spans="1:29" ht="17.25" customHeight="1">
      <c r="A8" s="8" t="s">
        <v>28</v>
      </c>
      <c r="B8" s="10">
        <v>9</v>
      </c>
      <c r="C8" s="174" cm="1">
        <f t="array" ref="C8">F8/E8</f>
        <v>0.61538461538461542</v>
      </c>
      <c r="D8" s="10">
        <v>21</v>
      </c>
      <c r="E8" s="10">
        <v>13</v>
      </c>
      <c r="F8" s="10">
        <v>8</v>
      </c>
      <c r="G8" s="10">
        <v>8</v>
      </c>
      <c r="H8" s="10">
        <v>1</v>
      </c>
      <c r="I8" s="10">
        <v>1</v>
      </c>
      <c r="J8" s="10">
        <v>0</v>
      </c>
      <c r="K8" s="10">
        <v>11</v>
      </c>
      <c r="L8" s="10">
        <v>7</v>
      </c>
      <c r="M8" s="10">
        <v>10</v>
      </c>
      <c r="N8" s="10" cm="1">
        <f t="array" ref="N8">Y8+Z8</f>
        <v>7</v>
      </c>
      <c r="O8" s="10">
        <v>2</v>
      </c>
      <c r="P8" s="12" cm="1">
        <f t="array" ref="P8">O8/D8</f>
        <v>9.5238095238095233E-2</v>
      </c>
      <c r="Q8" s="13" cm="1">
        <f t="array" ref="Q8">(G8*1+H8*2+I8*3+J8*4)/E8</f>
        <v>1</v>
      </c>
      <c r="R8" s="13" cm="1">
        <f t="array" ref="R8">(F8+N8)/(D8-AA8)</f>
        <v>0.75</v>
      </c>
      <c r="S8" s="15" cm="1">
        <f t="array" ref="S8">R8+Q8</f>
        <v>1.75</v>
      </c>
      <c r="T8" s="128" cm="1">
        <f t="array" ref="T8">O8/(D8-(F8+N8))</f>
        <v>0.33333333333333331</v>
      </c>
      <c r="U8" s="17" cm="1">
        <f t="array" ref="U8">RANK(R8,$R$4:$R$26)</f>
        <v>2</v>
      </c>
      <c r="V8" s="18" cm="1">
        <f t="array" ref="V8">RANK(S8,$S$4:$S$26)</f>
        <v>3</v>
      </c>
      <c r="W8" s="129" cm="1">
        <f t="array" ref="W8">RANK(C8,$C$4:$C$26)</f>
        <v>3</v>
      </c>
      <c r="X8" s="176"/>
      <c r="Y8" s="48">
        <v>4</v>
      </c>
      <c r="Z8" s="48">
        <v>3</v>
      </c>
      <c r="AA8" s="48">
        <v>1</v>
      </c>
      <c r="AB8" s="133"/>
      <c r="AC8" s="133"/>
    </row>
    <row r="9" spans="1:29" ht="17.25" customHeight="1">
      <c r="A9" s="8" t="s">
        <v>29</v>
      </c>
      <c r="B9" s="10">
        <v>2</v>
      </c>
      <c r="C9" s="174" cm="1">
        <f t="array" ref="C9">F9/E9</f>
        <v>1</v>
      </c>
      <c r="D9" s="10">
        <v>1</v>
      </c>
      <c r="E9" s="10">
        <v>1</v>
      </c>
      <c r="F9" s="10">
        <v>1</v>
      </c>
      <c r="G9" s="10" cm="1">
        <f t="array" ref="G9">F9-(H9+I9+J9)</f>
        <v>1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2" cm="1">
        <f t="array" ref="P9">O9/D9</f>
        <v>0</v>
      </c>
      <c r="Q9" s="13" cm="1">
        <f t="array" ref="Q9">(G9*1+H9*2+I9*3+J9*4)/E9</f>
        <v>1</v>
      </c>
      <c r="R9" s="13" cm="1">
        <f t="array" ref="R9">(F9+N9)/(D9-AA9)</f>
        <v>1</v>
      </c>
      <c r="S9" s="15" cm="1">
        <f t="array" ref="S9">R9+Q9</f>
        <v>2</v>
      </c>
      <c r="T9" s="128" t="e" cm="1">
        <f t="array" ref="T9">O9/(D9-(F9+N9))</f>
        <v>#DIV/0!</v>
      </c>
      <c r="U9" s="17" cm="1">
        <f t="array" ref="U9">RANK(R9,$R$4:$R$26)</f>
        <v>1</v>
      </c>
      <c r="V9" s="18" cm="1">
        <f t="array" ref="V9">RANK(S9,$S$4:$S$26)</f>
        <v>1</v>
      </c>
      <c r="W9" s="129" cm="1">
        <f t="array" ref="W9">RANK(C9,$C$4:$C$26)</f>
        <v>1</v>
      </c>
      <c r="X9" s="176"/>
      <c r="Y9" s="133"/>
      <c r="Z9" s="133"/>
      <c r="AA9" s="133"/>
      <c r="AB9" s="133"/>
      <c r="AC9" s="133"/>
    </row>
    <row r="10" spans="1:29" ht="17.25" customHeight="1">
      <c r="A10" s="8" t="s">
        <v>69</v>
      </c>
      <c r="B10" s="10">
        <v>2</v>
      </c>
      <c r="C10" s="174" cm="1">
        <f t="array" ref="C10">F10/E10</f>
        <v>0.5</v>
      </c>
      <c r="D10" s="10">
        <v>2</v>
      </c>
      <c r="E10" s="10">
        <v>2</v>
      </c>
      <c r="F10" s="10">
        <v>1</v>
      </c>
      <c r="G10" s="10" cm="1">
        <f t="array" ref="G10">F10-(H10+I10+J10)</f>
        <v>1</v>
      </c>
      <c r="H10" s="10">
        <v>0</v>
      </c>
      <c r="I10" s="10">
        <v>0</v>
      </c>
      <c r="J10" s="10">
        <v>0</v>
      </c>
      <c r="K10" s="10">
        <v>0</v>
      </c>
      <c r="L10" s="10">
        <v>1</v>
      </c>
      <c r="M10" s="10">
        <v>1</v>
      </c>
      <c r="N10" s="10" cm="1">
        <f t="array" ref="N10">Y10+Z10</f>
        <v>0</v>
      </c>
      <c r="O10" s="10">
        <v>0</v>
      </c>
      <c r="P10" s="12" cm="1">
        <f t="array" ref="P10">O10/D10</f>
        <v>0</v>
      </c>
      <c r="Q10" s="13" cm="1">
        <f t="array" ref="Q10">(G10*1+H10*2+I10*3+J10*4)/E10</f>
        <v>0.5</v>
      </c>
      <c r="R10" s="13" cm="1">
        <f t="array" ref="R10">(F10+N10)/(D10-AA10)</f>
        <v>0.5</v>
      </c>
      <c r="S10" s="15" cm="1">
        <f t="array" ref="S10">R10+Q10</f>
        <v>1</v>
      </c>
      <c r="T10" s="128" cm="1">
        <f t="array" ref="T10">O10/(D10-(F10+N10))</f>
        <v>0</v>
      </c>
      <c r="U10" s="17" cm="1">
        <f t="array" ref="U10">RANK(R10,$R$4:$R$26)</f>
        <v>9</v>
      </c>
      <c r="V10" s="18" cm="1">
        <f t="array" ref="V10">RANK(S10,$S$4:$S$26)</f>
        <v>9</v>
      </c>
      <c r="W10" s="129" cm="1">
        <f t="array" ref="W10">RANK(C10,$C$4:$C$26)</f>
        <v>6</v>
      </c>
      <c r="X10" s="176"/>
      <c r="Y10" s="133"/>
      <c r="Z10" s="133"/>
      <c r="AA10" s="133"/>
      <c r="AB10" s="133"/>
      <c r="AC10" s="133"/>
    </row>
    <row r="11" spans="1:29" ht="17.25" customHeight="1">
      <c r="A11" s="8" t="s">
        <v>30</v>
      </c>
      <c r="B11" s="10">
        <v>9</v>
      </c>
      <c r="C11" s="174" cm="1">
        <f t="array" ref="C11">F11/E11</f>
        <v>0.66666666666666663</v>
      </c>
      <c r="D11" s="10">
        <v>31</v>
      </c>
      <c r="E11" s="10">
        <v>24</v>
      </c>
      <c r="F11" s="10">
        <v>16</v>
      </c>
      <c r="G11" s="10" cm="1">
        <f t="array" ref="G11">F11-(H11+I11+J11)</f>
        <v>10</v>
      </c>
      <c r="H11" s="10">
        <v>3</v>
      </c>
      <c r="I11" s="10">
        <v>1</v>
      </c>
      <c r="J11" s="10">
        <v>2</v>
      </c>
      <c r="K11" s="10">
        <v>20</v>
      </c>
      <c r="L11" s="10">
        <v>15</v>
      </c>
      <c r="M11" s="10">
        <v>15</v>
      </c>
      <c r="N11" s="10" cm="1">
        <f t="array" ref="N11">Y11+Z11</f>
        <v>5</v>
      </c>
      <c r="O11" s="10">
        <v>2</v>
      </c>
      <c r="P11" s="12" cm="1">
        <f t="array" ref="P11">O11/D11</f>
        <v>6.4516129032258063E-2</v>
      </c>
      <c r="Q11" s="13" cm="1">
        <f t="array" ref="Q11">(G11*1+H11*2+I11*3+J11*4)/E11</f>
        <v>1.125</v>
      </c>
      <c r="R11" s="13" cm="1">
        <f t="array" ref="R11">(F11+N11)/(D11-AA11)</f>
        <v>0.67741935483870963</v>
      </c>
      <c r="S11" s="15" cm="1">
        <f t="array" ref="S11">R11+Q11</f>
        <v>1.8024193548387095</v>
      </c>
      <c r="T11" s="128" cm="1">
        <f t="array" ref="T11">O11/(D11-(F11+N11))</f>
        <v>0.2</v>
      </c>
      <c r="U11" s="17" cm="1">
        <f t="array" ref="U11">RANK(R11,$R$4:$R$26)</f>
        <v>4</v>
      </c>
      <c r="V11" s="18" cm="1">
        <f t="array" ref="V11">RANK(S11,$S$4:$S$26)</f>
        <v>2</v>
      </c>
      <c r="W11" s="129" cm="1">
        <f t="array" ref="W11">RANK(C11,$C$4:$C$26)</f>
        <v>2</v>
      </c>
      <c r="X11" s="176"/>
      <c r="Y11" s="48">
        <v>4</v>
      </c>
      <c r="Z11" s="48">
        <v>1</v>
      </c>
      <c r="AA11" s="133"/>
      <c r="AB11" s="133"/>
      <c r="AC11" s="133"/>
    </row>
    <row r="12" spans="1:29" ht="17.25" customHeight="1">
      <c r="A12" s="8" t="s">
        <v>31</v>
      </c>
      <c r="B12" s="10">
        <v>7</v>
      </c>
      <c r="C12" s="174" cm="1">
        <f t="array" ref="C12">F12/E12</f>
        <v>0.375</v>
      </c>
      <c r="D12" s="10">
        <v>21</v>
      </c>
      <c r="E12" s="10">
        <v>16</v>
      </c>
      <c r="F12" s="10">
        <v>6</v>
      </c>
      <c r="G12" s="10" cm="1">
        <f t="array" ref="G12">F12-(H12+I12+J12)</f>
        <v>6</v>
      </c>
      <c r="H12" s="10">
        <v>0</v>
      </c>
      <c r="I12" s="10">
        <v>0</v>
      </c>
      <c r="J12" s="10">
        <v>0</v>
      </c>
      <c r="K12" s="10">
        <v>10</v>
      </c>
      <c r="L12" s="10">
        <v>3</v>
      </c>
      <c r="M12" s="10">
        <v>1</v>
      </c>
      <c r="N12" s="10" cm="1">
        <f t="array" ref="N12">Y12+Z12</f>
        <v>5</v>
      </c>
      <c r="O12" s="10">
        <v>3</v>
      </c>
      <c r="P12" s="12" cm="1">
        <f t="array" ref="P12">O12/D12</f>
        <v>0.14285714285714285</v>
      </c>
      <c r="Q12" s="13" cm="1">
        <f t="array" ref="Q12">(G12*1+H12*2+I12*3+J12*4)/E12</f>
        <v>0.375</v>
      </c>
      <c r="R12" s="13" cm="1">
        <f t="array" ref="R12">(F12+N12)/(D12-AA12)</f>
        <v>0.52380952380952384</v>
      </c>
      <c r="S12" s="15" cm="1">
        <f t="array" ref="S12">R12+Q12</f>
        <v>0.89880952380952384</v>
      </c>
      <c r="T12" s="128" cm="1">
        <f t="array" ref="T12">O12/(D12-(F12+N12))</f>
        <v>0.3</v>
      </c>
      <c r="U12" s="17" cm="1">
        <f t="array" ref="U12">RANK(R12,$R$4:$R$26)</f>
        <v>8</v>
      </c>
      <c r="V12" s="18" cm="1">
        <f t="array" ref="V12">RANK(S12,$S$4:$S$26)</f>
        <v>13</v>
      </c>
      <c r="W12" s="129" cm="1">
        <f t="array" ref="W12">RANK(C12,$C$4:$C$26)</f>
        <v>11</v>
      </c>
      <c r="X12" s="176"/>
      <c r="Y12" s="48">
        <v>5</v>
      </c>
      <c r="Z12" s="48">
        <v>0</v>
      </c>
      <c r="AA12" s="133"/>
      <c r="AB12" s="133"/>
      <c r="AC12" s="133"/>
    </row>
    <row r="13" spans="1:29" ht="17.25" customHeight="1">
      <c r="A13" s="8" t="s">
        <v>32</v>
      </c>
      <c r="B13" s="10">
        <v>4</v>
      </c>
      <c r="C13" s="174" cm="1">
        <f t="array" ref="C13">F13/E13</f>
        <v>0.2857142857142857</v>
      </c>
      <c r="D13" s="10">
        <v>7</v>
      </c>
      <c r="E13" s="10">
        <v>7</v>
      </c>
      <c r="F13" s="10">
        <v>2</v>
      </c>
      <c r="G13" s="10" cm="1">
        <f t="array" ref="G13">F13-(H13+I13+J13)</f>
        <v>2</v>
      </c>
      <c r="H13" s="10">
        <v>0</v>
      </c>
      <c r="I13" s="10">
        <v>0</v>
      </c>
      <c r="J13" s="10">
        <v>0</v>
      </c>
      <c r="K13" s="10">
        <v>3</v>
      </c>
      <c r="L13" s="10">
        <v>2</v>
      </c>
      <c r="M13" s="10">
        <v>1</v>
      </c>
      <c r="N13" s="10" cm="1">
        <f t="array" ref="N13">Y13+Z13</f>
        <v>0</v>
      </c>
      <c r="O13" s="10">
        <v>0</v>
      </c>
      <c r="P13" s="12" cm="1">
        <f t="array" ref="P13">O13/D13</f>
        <v>0</v>
      </c>
      <c r="Q13" s="13" cm="1">
        <f t="array" ref="Q13">(G13*1+H13*2+I13*3+J13*4)/E13</f>
        <v>0.2857142857142857</v>
      </c>
      <c r="R13" s="13" cm="1">
        <f t="array" ref="R13">(F13+N13)/(D13-AA13)</f>
        <v>0.2857142857142857</v>
      </c>
      <c r="S13" s="15" cm="1">
        <f t="array" ref="S13">R13+Q13</f>
        <v>0.5714285714285714</v>
      </c>
      <c r="T13" s="128" cm="1">
        <f t="array" ref="T13">O13/(D13-(F13+N13))</f>
        <v>0</v>
      </c>
      <c r="U13" s="17" cm="1">
        <f t="array" ref="U13">RANK(R13,$R$4:$R$26)</f>
        <v>18</v>
      </c>
      <c r="V13" s="18" cm="1">
        <f t="array" ref="V13">RANK(S13,$S$4:$S$26)</f>
        <v>17</v>
      </c>
      <c r="W13" s="129" cm="1">
        <f t="array" ref="W13">RANK(C13,$C$4:$C$26)</f>
        <v>17</v>
      </c>
      <c r="X13" s="176"/>
      <c r="Y13" s="48">
        <v>0</v>
      </c>
      <c r="Z13" s="48">
        <v>0</v>
      </c>
      <c r="AA13" s="133"/>
      <c r="AB13" s="133"/>
      <c r="AC13" s="133"/>
    </row>
    <row r="14" spans="1:29" ht="17.25" customHeight="1">
      <c r="A14" s="8" t="s">
        <v>33</v>
      </c>
      <c r="B14" s="10">
        <v>7</v>
      </c>
      <c r="C14" s="174" cm="1">
        <f t="array" ref="C14">F14/E14</f>
        <v>0.3888888888888889</v>
      </c>
      <c r="D14" s="10">
        <v>19</v>
      </c>
      <c r="E14" s="10">
        <v>18</v>
      </c>
      <c r="F14" s="10">
        <v>7</v>
      </c>
      <c r="G14" s="10" cm="1">
        <f t="array" ref="G14">F14-(H14+I14+J14)</f>
        <v>3</v>
      </c>
      <c r="H14" s="10">
        <v>4</v>
      </c>
      <c r="I14" s="10">
        <v>0</v>
      </c>
      <c r="J14" s="10">
        <v>0</v>
      </c>
      <c r="K14" s="10">
        <v>7</v>
      </c>
      <c r="L14" s="10">
        <v>7</v>
      </c>
      <c r="M14" s="10">
        <v>3</v>
      </c>
      <c r="N14" s="10" cm="1">
        <f t="array" ref="N14">Y14+Z14</f>
        <v>1</v>
      </c>
      <c r="O14" s="10">
        <v>2</v>
      </c>
      <c r="P14" s="12" cm="1">
        <f t="array" ref="P14">O14/D14</f>
        <v>0.10526315789473684</v>
      </c>
      <c r="Q14" s="13" cm="1">
        <f t="array" ref="Q14">(G14*1+H14*2+I14*3+J14*4)/E14</f>
        <v>0.61111111111111116</v>
      </c>
      <c r="R14" s="13" cm="1">
        <f t="array" ref="R14">(F14+N14)/(D14-AA14)</f>
        <v>0.42105263157894735</v>
      </c>
      <c r="S14" s="15" cm="1">
        <f t="array" ref="S14">R14+Q14</f>
        <v>1.0321637426900585</v>
      </c>
      <c r="T14" s="128" cm="1">
        <f t="array" ref="T14">O14/(D14-(F14+N14))</f>
        <v>0.18181818181818182</v>
      </c>
      <c r="U14" s="17" cm="1">
        <f t="array" ref="U14">RANK(R14,$R$4:$R$26)</f>
        <v>12</v>
      </c>
      <c r="V14" s="18" cm="1">
        <f t="array" ref="V14">RANK(S14,$S$4:$S$26)</f>
        <v>8</v>
      </c>
      <c r="W14" s="129" cm="1">
        <f t="array" ref="W14">RANK(C14,$C$4:$C$26)</f>
        <v>10</v>
      </c>
      <c r="X14" s="176"/>
      <c r="Y14" s="48">
        <v>1</v>
      </c>
      <c r="Z14" s="48">
        <v>0</v>
      </c>
      <c r="AA14" s="133"/>
      <c r="AB14" s="48">
        <v>1</v>
      </c>
      <c r="AC14" s="133"/>
    </row>
    <row r="15" spans="1:29" ht="17.25" customHeight="1">
      <c r="A15" s="8" t="s">
        <v>35</v>
      </c>
      <c r="B15" s="10">
        <v>7</v>
      </c>
      <c r="C15" s="174" cm="1">
        <f t="array" ref="C15">F15/E15</f>
        <v>0.5714285714285714</v>
      </c>
      <c r="D15" s="10">
        <v>8</v>
      </c>
      <c r="E15" s="10">
        <v>7</v>
      </c>
      <c r="F15" s="10">
        <v>4</v>
      </c>
      <c r="G15" s="10" cm="1">
        <f t="array" ref="G15">F15-(H15+I15+J15)</f>
        <v>4</v>
      </c>
      <c r="H15" s="10">
        <v>0</v>
      </c>
      <c r="I15" s="10">
        <v>0</v>
      </c>
      <c r="J15" s="10">
        <v>0</v>
      </c>
      <c r="K15" s="10">
        <v>4</v>
      </c>
      <c r="L15" s="10">
        <v>3</v>
      </c>
      <c r="M15" s="10">
        <v>5</v>
      </c>
      <c r="N15" s="10" cm="1">
        <f t="array" ref="N15">Y15+Z15</f>
        <v>1</v>
      </c>
      <c r="O15" s="10">
        <v>0</v>
      </c>
      <c r="P15" s="12" cm="1">
        <f t="array" ref="P15">O15/D15</f>
        <v>0</v>
      </c>
      <c r="Q15" s="13" cm="1">
        <f t="array" ref="Q15">(G15*1+H15*2+I15*3+J15*4)/E15</f>
        <v>0.5714285714285714</v>
      </c>
      <c r="R15" s="13" cm="1">
        <f t="array" ref="R15">(F15+N15)/(D15-AA15)</f>
        <v>0.625</v>
      </c>
      <c r="S15" s="15" cm="1">
        <f t="array" ref="S15">R15+Q15</f>
        <v>1.1964285714285714</v>
      </c>
      <c r="T15" s="128" cm="1">
        <f t="array" ref="T15">O15/(D15-(F15+N15))</f>
        <v>0</v>
      </c>
      <c r="U15" s="17" cm="1">
        <f t="array" ref="U15">RANK(R15,$R$4:$R$26)</f>
        <v>6</v>
      </c>
      <c r="V15" s="18" cm="1">
        <f t="array" ref="V15">RANK(S15,$S$4:$S$26)</f>
        <v>7</v>
      </c>
      <c r="W15" s="129" cm="1">
        <f t="array" ref="W15">RANK(C15,$C$4:$C$26)</f>
        <v>5</v>
      </c>
      <c r="X15" s="176"/>
      <c r="Y15" s="48">
        <v>1</v>
      </c>
      <c r="Z15" s="48">
        <v>0</v>
      </c>
      <c r="AA15" s="133"/>
      <c r="AB15" s="133"/>
      <c r="AC15" s="133"/>
    </row>
    <row r="16" spans="1:29" ht="17.25" customHeight="1">
      <c r="A16" s="8" t="s">
        <v>36</v>
      </c>
      <c r="B16" s="175"/>
      <c r="C16" s="174"/>
      <c r="D16" s="175"/>
      <c r="E16" s="175"/>
      <c r="F16" s="175"/>
      <c r="G16" s="10" cm="1">
        <f t="array" ref="G16">F16-(H16+I16+J16)</f>
        <v>0</v>
      </c>
      <c r="H16" s="175"/>
      <c r="I16" s="175"/>
      <c r="J16" s="175"/>
      <c r="K16" s="175"/>
      <c r="L16" s="175"/>
      <c r="M16" s="175"/>
      <c r="N16" s="10" cm="1">
        <f t="array" ref="N16">Y16+Z16</f>
        <v>0</v>
      </c>
      <c r="O16" s="175"/>
      <c r="P16" s="12"/>
      <c r="Q16" s="13"/>
      <c r="R16" s="13"/>
      <c r="S16" s="15"/>
      <c r="T16" s="128"/>
      <c r="U16" s="134"/>
      <c r="V16" s="135"/>
      <c r="W16" s="177"/>
      <c r="X16" s="176"/>
      <c r="Y16" s="133"/>
      <c r="Z16" s="133"/>
      <c r="AA16" s="133"/>
      <c r="AB16" s="133"/>
      <c r="AC16" s="133"/>
    </row>
    <row r="17" spans="1:29" ht="17.25" customHeight="1">
      <c r="A17" s="8" t="s">
        <v>37</v>
      </c>
      <c r="B17" s="10">
        <v>6</v>
      </c>
      <c r="C17" s="174" cm="1">
        <f t="array" ref="C17">F17/E17</f>
        <v>0.6</v>
      </c>
      <c r="D17" s="10">
        <v>13</v>
      </c>
      <c r="E17" s="10">
        <v>10</v>
      </c>
      <c r="F17" s="10">
        <v>6</v>
      </c>
      <c r="G17" s="10" cm="1">
        <f t="array" ref="G17">F17-(H17+I17+J17)</f>
        <v>4</v>
      </c>
      <c r="H17" s="10">
        <v>2</v>
      </c>
      <c r="I17" s="10">
        <v>0</v>
      </c>
      <c r="J17" s="10">
        <v>0</v>
      </c>
      <c r="K17" s="10">
        <v>6</v>
      </c>
      <c r="L17" s="10">
        <v>3</v>
      </c>
      <c r="M17" s="10">
        <v>7</v>
      </c>
      <c r="N17" s="10" cm="1">
        <f t="array" ref="N17">Y17+Z17</f>
        <v>3</v>
      </c>
      <c r="O17" s="10">
        <v>3</v>
      </c>
      <c r="P17" s="12" cm="1">
        <f t="array" ref="P17">O17/D17</f>
        <v>0.23076923076923078</v>
      </c>
      <c r="Q17" s="13" cm="1">
        <f t="array" ref="Q17">(G17*1+H17*2+I17*3+J17*4)/E17</f>
        <v>0.8</v>
      </c>
      <c r="R17" s="13" cm="1">
        <f t="array" ref="R17">(F17+N17)/(D17-AA17)</f>
        <v>0.69230769230769229</v>
      </c>
      <c r="S17" s="15" cm="1">
        <f t="array" ref="S17">R17+Q17</f>
        <v>1.4923076923076923</v>
      </c>
      <c r="T17" s="128" cm="1">
        <f t="array" ref="T17">O17/(D17-(F17+N17))</f>
        <v>0.75</v>
      </c>
      <c r="U17" s="17" cm="1">
        <f t="array" ref="U17">RANK(R17,$R$4:$R$26)</f>
        <v>3</v>
      </c>
      <c r="V17" s="18" cm="1">
        <f t="array" ref="V17">RANK(S17,$S$4:$S$26)</f>
        <v>4</v>
      </c>
      <c r="W17" s="129" cm="1">
        <f t="array" ref="W17">RANK(C17,$C$4:$C$26)</f>
        <v>4</v>
      </c>
      <c r="X17" s="176"/>
      <c r="Y17" s="48">
        <v>2</v>
      </c>
      <c r="Z17" s="48">
        <v>1</v>
      </c>
      <c r="AA17" s="133"/>
      <c r="AB17" s="48">
        <v>2</v>
      </c>
      <c r="AC17" s="133"/>
    </row>
    <row r="18" spans="1:29" ht="17.25" customHeight="1">
      <c r="A18" s="8" t="s">
        <v>38</v>
      </c>
      <c r="B18" s="10">
        <v>6</v>
      </c>
      <c r="C18" s="174" cm="1">
        <f t="array" ref="C18">F18/E18</f>
        <v>0.42857142857142855</v>
      </c>
      <c r="D18" s="10">
        <v>11</v>
      </c>
      <c r="E18" s="10">
        <v>7</v>
      </c>
      <c r="F18" s="10">
        <v>3</v>
      </c>
      <c r="G18" s="10" cm="1">
        <f t="array" ref="G18">F18-(H18+I18+J18)</f>
        <v>2</v>
      </c>
      <c r="H18" s="10">
        <v>1</v>
      </c>
      <c r="I18" s="10">
        <v>0</v>
      </c>
      <c r="J18" s="10">
        <v>0</v>
      </c>
      <c r="K18" s="10">
        <v>4</v>
      </c>
      <c r="L18" s="10">
        <v>2</v>
      </c>
      <c r="M18" s="10">
        <v>1</v>
      </c>
      <c r="N18" s="10" cm="1">
        <f t="array" ref="N18">Y18+Z18</f>
        <v>4</v>
      </c>
      <c r="O18" s="10">
        <v>0</v>
      </c>
      <c r="P18" s="12" cm="1">
        <f t="array" ref="P18">O18/D18</f>
        <v>0</v>
      </c>
      <c r="Q18" s="13" cm="1">
        <f t="array" ref="Q18">(G18*1+H18*2+I18*3+J18*4)/E18</f>
        <v>0.5714285714285714</v>
      </c>
      <c r="R18" s="13" cm="1">
        <f t="array" ref="R18">(F18+N18)/(D18-AA18)</f>
        <v>0.63636363636363635</v>
      </c>
      <c r="S18" s="15" cm="1">
        <f t="array" ref="S18">R18+Q18</f>
        <v>1.2077922077922079</v>
      </c>
      <c r="T18" s="128"/>
      <c r="U18" s="17" cm="1">
        <f t="array" ref="U18">RANK(R18,$R$4:$R$26)</f>
        <v>5</v>
      </c>
      <c r="V18" s="18" cm="1">
        <f t="array" ref="V18">RANK(S18,$S$4:$S$26)</f>
        <v>6</v>
      </c>
      <c r="W18" s="129" cm="1">
        <f t="array" ref="W18">RANK(C18,$C$4:$C$26)</f>
        <v>8</v>
      </c>
      <c r="X18" s="176"/>
      <c r="Y18" s="48">
        <v>3</v>
      </c>
      <c r="Z18" s="48">
        <v>1</v>
      </c>
      <c r="AA18" s="133"/>
      <c r="AB18" s="133"/>
      <c r="AC18" s="133"/>
    </row>
    <row r="19" spans="1:29" ht="17.25" customHeight="1">
      <c r="A19" s="8" t="s">
        <v>39</v>
      </c>
      <c r="B19" s="10">
        <v>6</v>
      </c>
      <c r="C19" s="174" cm="1">
        <f t="array" ref="C19">F19/E19</f>
        <v>0.30769230769230771</v>
      </c>
      <c r="D19" s="10">
        <v>15</v>
      </c>
      <c r="E19" s="10">
        <v>13</v>
      </c>
      <c r="F19" s="10">
        <v>4</v>
      </c>
      <c r="G19" s="10" cm="1">
        <f t="array" ref="G19">F19-(H19+I19+J19)</f>
        <v>4</v>
      </c>
      <c r="H19" s="10">
        <v>0</v>
      </c>
      <c r="I19" s="10">
        <v>0</v>
      </c>
      <c r="J19" s="10">
        <v>0</v>
      </c>
      <c r="K19" s="10">
        <v>2</v>
      </c>
      <c r="L19" s="10">
        <v>4</v>
      </c>
      <c r="M19" s="10">
        <v>0</v>
      </c>
      <c r="N19" s="10" cm="1">
        <f t="array" ref="N19">Y19+Z19</f>
        <v>1</v>
      </c>
      <c r="O19" s="10">
        <v>1</v>
      </c>
      <c r="P19" s="12" cm="1">
        <f t="array" ref="P19">O19/D19</f>
        <v>6.6666666666666666E-2</v>
      </c>
      <c r="Q19" s="13" cm="1">
        <f t="array" ref="Q19">(G19*1+H19*2+I19*3+J19*4)/E19</f>
        <v>0.30769230769230771</v>
      </c>
      <c r="R19" s="13" cm="1">
        <f t="array" ref="R19">(F19+N19)/(D19-AA19)</f>
        <v>0.33333333333333331</v>
      </c>
      <c r="S19" s="15" cm="1">
        <f t="array" ref="S19">R19+Q19</f>
        <v>0.64102564102564097</v>
      </c>
      <c r="T19" s="128" cm="1">
        <f t="array" ref="T19">O19/(D19-(F19+N19))</f>
        <v>0.1</v>
      </c>
      <c r="U19" s="17" cm="1">
        <f t="array" ref="U19">RANK(R19,$R$4:$R$26)</f>
        <v>15</v>
      </c>
      <c r="V19" s="18" cm="1">
        <f t="array" ref="V19">RANK(S19,$S$4:$S$26)</f>
        <v>16</v>
      </c>
      <c r="W19" s="177"/>
      <c r="X19" s="176"/>
      <c r="Y19" s="48">
        <v>0</v>
      </c>
      <c r="Z19" s="48">
        <v>1</v>
      </c>
      <c r="AA19" s="133"/>
      <c r="AB19" s="133"/>
      <c r="AC19" s="133"/>
    </row>
    <row r="20" spans="1:29" ht="17.25" customHeight="1">
      <c r="A20" s="8" t="s">
        <v>70</v>
      </c>
      <c r="B20" s="10">
        <v>4</v>
      </c>
      <c r="C20" s="174" cm="1">
        <f t="array" ref="C20">F20/E20</f>
        <v>0.4</v>
      </c>
      <c r="D20" s="10">
        <v>13</v>
      </c>
      <c r="E20" s="10">
        <v>10</v>
      </c>
      <c r="F20" s="10">
        <v>4</v>
      </c>
      <c r="G20" s="10" cm="1">
        <f t="array" ref="G20">F20-(H20+I20+J20)</f>
        <v>4</v>
      </c>
      <c r="H20" s="10">
        <v>0</v>
      </c>
      <c r="I20" s="10">
        <v>0</v>
      </c>
      <c r="J20" s="10">
        <v>0</v>
      </c>
      <c r="K20" s="10">
        <v>4</v>
      </c>
      <c r="L20" s="10">
        <v>4</v>
      </c>
      <c r="M20" s="10">
        <v>2</v>
      </c>
      <c r="N20" s="10" cm="1">
        <f t="array" ref="N20">Y20+Z20</f>
        <v>3</v>
      </c>
      <c r="O20" s="10">
        <v>0</v>
      </c>
      <c r="P20" s="12" cm="1">
        <f t="array" ref="P20">O20/D20</f>
        <v>0</v>
      </c>
      <c r="Q20" s="13" cm="1">
        <f t="array" ref="Q20">(G20*1+H20*2+I20*3+J20*4)/E20</f>
        <v>0.4</v>
      </c>
      <c r="R20" s="13" cm="1">
        <f t="array" ref="R20">(F20+N20)/(D20-AA20)</f>
        <v>0.53846153846153844</v>
      </c>
      <c r="S20" s="15" cm="1">
        <f t="array" ref="S20">R20+Q20</f>
        <v>0.93846153846153846</v>
      </c>
      <c r="T20" s="128" cm="1">
        <f t="array" ref="T20">O20/(D20-(F20+N20))</f>
        <v>0</v>
      </c>
      <c r="U20" s="17" cm="1">
        <f t="array" ref="U20">RANK(R20,$R$4:$R$26)</f>
        <v>7</v>
      </c>
      <c r="V20" s="18" cm="1">
        <f t="array" ref="V20">RANK(S20,$S$4:$S$26)</f>
        <v>11</v>
      </c>
      <c r="W20" s="129" cm="1">
        <f t="array" ref="W20">RANK(C20,$C$4:$C$26)</f>
        <v>9</v>
      </c>
      <c r="X20" s="176"/>
      <c r="Y20" s="48">
        <v>1</v>
      </c>
      <c r="Z20" s="48">
        <v>2</v>
      </c>
      <c r="AA20" s="133"/>
      <c r="AB20" s="133"/>
      <c r="AC20" s="133"/>
    </row>
    <row r="21" spans="1:29" ht="17.25" customHeight="1">
      <c r="A21" s="8" t="s">
        <v>40</v>
      </c>
      <c r="B21" s="10">
        <v>2</v>
      </c>
      <c r="C21" s="174" cm="1">
        <f t="array" ref="C21">F21/E21</f>
        <v>0</v>
      </c>
      <c r="D21" s="10">
        <v>3</v>
      </c>
      <c r="E21" s="10">
        <v>2</v>
      </c>
      <c r="F21" s="10">
        <v>0</v>
      </c>
      <c r="G21" s="10" cm="1">
        <f t="array" ref="G21">F21-(H21+I21+J21)</f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 cm="1">
        <f t="array" ref="N21">Y21+Z21</f>
        <v>1</v>
      </c>
      <c r="O21" s="10">
        <v>1</v>
      </c>
      <c r="P21" s="12" cm="1">
        <f t="array" ref="P21">O21/D21</f>
        <v>0.33333333333333331</v>
      </c>
      <c r="Q21" s="13" cm="1">
        <f t="array" ref="Q21">(G21*1+H21*2+I21*3+J21*4)/E21</f>
        <v>0</v>
      </c>
      <c r="R21" s="13" cm="1">
        <f t="array" ref="R21">(F21+N21)/(D21-AA21)</f>
        <v>0.33333333333333331</v>
      </c>
      <c r="S21" s="15" cm="1">
        <f t="array" ref="S21">R21+Q21</f>
        <v>0.33333333333333331</v>
      </c>
      <c r="T21" s="128" cm="1">
        <f t="array" ref="T21">O21/(D21-(F21+N21))</f>
        <v>0.5</v>
      </c>
      <c r="U21" s="17" cm="1">
        <f t="array" ref="U21">RANK(R21,$R$4:$R$26)</f>
        <v>15</v>
      </c>
      <c r="V21" s="18" cm="1">
        <f t="array" ref="V21">RANK(S21,$S$4:$S$26)</f>
        <v>18</v>
      </c>
      <c r="W21" s="129" cm="1">
        <f t="array" ref="W21">RANK(C21,$C$4:$C$26)</f>
        <v>18</v>
      </c>
      <c r="X21" s="176"/>
      <c r="Y21" s="48">
        <v>1</v>
      </c>
      <c r="Z21" s="48">
        <v>0</v>
      </c>
      <c r="AA21" s="133"/>
      <c r="AB21" s="133"/>
      <c r="AC21" s="133"/>
    </row>
    <row r="22" spans="1:29" ht="17.25" customHeight="1">
      <c r="A22" s="8" t="s">
        <v>41</v>
      </c>
      <c r="B22" s="10">
        <v>1</v>
      </c>
      <c r="C22" s="174" cm="1">
        <f t="array" ref="C22">F22/E22</f>
        <v>0</v>
      </c>
      <c r="D22" s="10">
        <v>2</v>
      </c>
      <c r="E22" s="10">
        <v>2</v>
      </c>
      <c r="F22" s="10">
        <v>0</v>
      </c>
      <c r="G22" s="10" cm="1">
        <f t="array" ref="G22">F22-(H22+I22+J22)</f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>
        <v>1</v>
      </c>
      <c r="N22" s="10" cm="1">
        <f t="array" ref="N22">Y22+Z22</f>
        <v>0</v>
      </c>
      <c r="O22" s="10">
        <v>0</v>
      </c>
      <c r="P22" s="12" cm="1">
        <f t="array" ref="P22">O22/D22</f>
        <v>0</v>
      </c>
      <c r="Q22" s="13" cm="1">
        <f t="array" ref="Q22">(G22*1+H22*2+I22*3+J22*4)/E22</f>
        <v>0</v>
      </c>
      <c r="R22" s="13" cm="1">
        <f t="array" ref="R22">(F22+N22)/(D22-AA22)</f>
        <v>0</v>
      </c>
      <c r="S22" s="15" cm="1">
        <f t="array" ref="S22">R22+Q22</f>
        <v>0</v>
      </c>
      <c r="T22" s="128" cm="1">
        <f t="array" ref="T22">O22/(D22-(F22+N22))</f>
        <v>0</v>
      </c>
      <c r="U22" s="17" cm="1">
        <f t="array" ref="U22">RANK(R22,$R$4:$R$26)</f>
        <v>19</v>
      </c>
      <c r="V22" s="18" cm="1">
        <f t="array" ref="V22">RANK(S22,$S$4:$S$26)</f>
        <v>19</v>
      </c>
      <c r="W22" s="129" cm="1">
        <f t="array" ref="W22">RANK(C22,$C$4:$C$26)</f>
        <v>18</v>
      </c>
      <c r="X22" s="176"/>
      <c r="Y22" s="133"/>
      <c r="Z22" s="133"/>
      <c r="AA22" s="133"/>
      <c r="AB22" s="133"/>
      <c r="AC22" s="133"/>
    </row>
    <row r="23" spans="1:29" ht="17.25" customHeight="1">
      <c r="A23" s="8" t="s">
        <v>42</v>
      </c>
      <c r="B23" s="10">
        <v>2</v>
      </c>
      <c r="C23" s="174" cm="1">
        <f t="array" ref="C23">F23/E23</f>
        <v>0</v>
      </c>
      <c r="D23" s="10">
        <v>3</v>
      </c>
      <c r="E23" s="10">
        <v>3</v>
      </c>
      <c r="F23" s="10">
        <v>0</v>
      </c>
      <c r="G23" s="10" cm="1">
        <f t="array" ref="G23">F23-(H23+I23+J23)</f>
        <v>0</v>
      </c>
      <c r="H23" s="10">
        <v>0</v>
      </c>
      <c r="I23" s="10">
        <v>0</v>
      </c>
      <c r="J23" s="10">
        <v>0</v>
      </c>
      <c r="K23" s="10">
        <v>0</v>
      </c>
      <c r="L23" s="10">
        <v>0</v>
      </c>
      <c r="M23" s="10">
        <v>0</v>
      </c>
      <c r="N23" s="10" cm="1">
        <f t="array" ref="N23">Y23+Z23</f>
        <v>0</v>
      </c>
      <c r="O23" s="10">
        <v>1</v>
      </c>
      <c r="P23" s="12" cm="1">
        <f t="array" ref="P23">O23/D23</f>
        <v>0.33333333333333331</v>
      </c>
      <c r="Q23" s="13" cm="1">
        <f t="array" ref="Q23">(G23*1+H23*2+I23*3+J23*4)/E23</f>
        <v>0</v>
      </c>
      <c r="R23" s="13" cm="1">
        <f t="array" ref="R23">(F23+N23)/(D23-AA23)</f>
        <v>0</v>
      </c>
      <c r="S23" s="15" cm="1">
        <f t="array" ref="S23">R23+Q23</f>
        <v>0</v>
      </c>
      <c r="T23" s="128" cm="1">
        <f t="array" ref="T23">O23/(D23-(F23+N23))</f>
        <v>0.33333333333333331</v>
      </c>
      <c r="U23" s="17" cm="1">
        <f t="array" ref="U23">RANK(R23,$R$4:$R$26)</f>
        <v>19</v>
      </c>
      <c r="V23" s="18" cm="1">
        <f t="array" ref="V23">RANK(S23,$S$4:$S$26)</f>
        <v>19</v>
      </c>
      <c r="W23" s="129" cm="1">
        <f t="array" ref="W23">RANK(C23,$C$4:$C$26)</f>
        <v>18</v>
      </c>
      <c r="X23" s="176"/>
      <c r="Y23" s="48">
        <v>0</v>
      </c>
      <c r="Z23" s="48">
        <v>0</v>
      </c>
      <c r="AA23" s="133"/>
      <c r="AB23" s="133"/>
      <c r="AC23" s="133"/>
    </row>
    <row r="24" spans="1:29" ht="17.25" customHeight="1">
      <c r="A24" s="8" t="s">
        <v>43</v>
      </c>
      <c r="B24" s="10">
        <v>8</v>
      </c>
      <c r="C24" s="174" cm="1">
        <f t="array" ref="C24">F24/E24</f>
        <v>0.3</v>
      </c>
      <c r="D24" s="10">
        <v>23</v>
      </c>
      <c r="E24" s="10">
        <v>20</v>
      </c>
      <c r="F24" s="10">
        <v>6</v>
      </c>
      <c r="G24" s="10" cm="1">
        <f t="array" ref="G24">F24-(H24+I24+J24)</f>
        <v>3</v>
      </c>
      <c r="H24" s="10">
        <v>3</v>
      </c>
      <c r="I24" s="10">
        <v>0</v>
      </c>
      <c r="J24" s="10">
        <v>0</v>
      </c>
      <c r="K24" s="10">
        <v>6</v>
      </c>
      <c r="L24" s="10">
        <v>8</v>
      </c>
      <c r="M24" s="10">
        <v>4</v>
      </c>
      <c r="N24" s="10" cm="1">
        <f t="array" ref="N24">Y24+Z24</f>
        <v>3</v>
      </c>
      <c r="O24" s="10">
        <v>2</v>
      </c>
      <c r="P24" s="12" cm="1">
        <f t="array" ref="P24">O24/D24</f>
        <v>8.6956521739130432E-2</v>
      </c>
      <c r="Q24" s="13" cm="1">
        <f t="array" ref="Q24">(G24*1+H24*2+I24*3+J24*4)/E24</f>
        <v>0.45</v>
      </c>
      <c r="R24" s="13" cm="1">
        <f t="array" ref="R24">(F24+N24)/(D24-AA24)</f>
        <v>0.39130434782608697</v>
      </c>
      <c r="S24" s="15" cm="1">
        <f t="array" ref="S24">R24+Q24</f>
        <v>0.84130434782608698</v>
      </c>
      <c r="T24" s="128" cm="1">
        <f t="array" ref="T24">O24/(D24-(F24+N24))</f>
        <v>0.14285714285714285</v>
      </c>
      <c r="U24" s="17" cm="1">
        <f t="array" ref="U24">RANK(R24,$R$4:$R$26)</f>
        <v>13</v>
      </c>
      <c r="V24" s="18" cm="1">
        <f t="array" ref="V24">RANK(S24,$S$4:$S$26)</f>
        <v>14</v>
      </c>
      <c r="W24" s="129" cm="1">
        <f t="array" ref="W24">RANK(C24,$C$4:$C$26)</f>
        <v>15</v>
      </c>
      <c r="X24" s="176"/>
      <c r="Y24" s="48">
        <v>3</v>
      </c>
      <c r="Z24" s="48">
        <v>0</v>
      </c>
      <c r="AA24" s="133"/>
      <c r="AB24" s="133"/>
      <c r="AC24" s="133"/>
    </row>
    <row r="25" spans="1:29" ht="17.25" customHeight="1">
      <c r="A25" s="8" t="s">
        <v>71</v>
      </c>
      <c r="B25" s="10">
        <v>8</v>
      </c>
      <c r="C25" s="174" cm="1">
        <f t="array" ref="C25">F25/E25</f>
        <v>0.3</v>
      </c>
      <c r="D25" s="10">
        <v>25</v>
      </c>
      <c r="E25" s="10">
        <v>20</v>
      </c>
      <c r="F25" s="10">
        <v>6</v>
      </c>
      <c r="G25" s="10" cm="1">
        <f t="array" ref="G25">F25-(H25+I25+J25)</f>
        <v>3</v>
      </c>
      <c r="H25" s="10">
        <v>1</v>
      </c>
      <c r="I25" s="10">
        <v>1</v>
      </c>
      <c r="J25" s="10">
        <v>1</v>
      </c>
      <c r="K25" s="10">
        <v>7</v>
      </c>
      <c r="L25" s="10">
        <v>10</v>
      </c>
      <c r="M25" s="10">
        <v>5</v>
      </c>
      <c r="N25" s="10" cm="1">
        <f t="array" ref="N25">Y25+Z25</f>
        <v>3</v>
      </c>
      <c r="O25" s="10">
        <v>3</v>
      </c>
      <c r="P25" s="12" cm="1">
        <f t="array" ref="P25">O25/D25</f>
        <v>0.12</v>
      </c>
      <c r="Q25" s="13" cm="1">
        <f t="array" ref="Q25">(G25*1+H25*2+I25*3+J25*4)/E25</f>
        <v>0.6</v>
      </c>
      <c r="R25" s="13" cm="1">
        <f t="array" ref="R25">(F25+N25)/(D25-AA25)</f>
        <v>0.36</v>
      </c>
      <c r="S25" s="15" cm="1">
        <f t="array" ref="S25">R25+Q25</f>
        <v>0.96</v>
      </c>
      <c r="T25" s="128" cm="1">
        <f t="array" ref="T25">O25/(D25-(F25+N25))</f>
        <v>0.1875</v>
      </c>
      <c r="U25" s="17" cm="1">
        <f t="array" ref="U25">RANK(R25,$R$4:$R$26)</f>
        <v>14</v>
      </c>
      <c r="V25" s="18" cm="1">
        <f t="array" ref="V25">RANK(S25,$S$4:$S$26)</f>
        <v>10</v>
      </c>
      <c r="W25" s="129" cm="1">
        <f t="array" ref="W25">RANK(C25,$C$4:$C$26)</f>
        <v>15</v>
      </c>
      <c r="X25" s="176"/>
      <c r="Y25" s="48">
        <v>3</v>
      </c>
      <c r="Z25" s="48">
        <v>0</v>
      </c>
      <c r="AA25" s="133"/>
      <c r="AB25" s="133"/>
      <c r="AC25" s="133"/>
    </row>
    <row r="26" spans="1:29" ht="17.25" customHeight="1">
      <c r="A26" s="8" t="s">
        <v>44</v>
      </c>
      <c r="B26" s="10">
        <v>5</v>
      </c>
      <c r="C26" s="174" cm="1">
        <f t="array" ref="C26">F26/E26</f>
        <v>0.36363636363636365</v>
      </c>
      <c r="D26" s="10">
        <v>13</v>
      </c>
      <c r="E26" s="10">
        <v>11</v>
      </c>
      <c r="F26" s="10">
        <v>4</v>
      </c>
      <c r="G26" s="10" cm="1">
        <f t="array" ref="G26">F26-(H26+I26+J26)</f>
        <v>3</v>
      </c>
      <c r="H26" s="10">
        <v>1</v>
      </c>
      <c r="I26" s="10">
        <v>0</v>
      </c>
      <c r="J26" s="10">
        <v>0</v>
      </c>
      <c r="K26" s="10">
        <v>6</v>
      </c>
      <c r="L26" s="10">
        <v>3</v>
      </c>
      <c r="M26" s="10">
        <v>3</v>
      </c>
      <c r="N26" s="10" cm="1">
        <f t="array" ref="N26">Y26+Z26</f>
        <v>2</v>
      </c>
      <c r="O26" s="10">
        <v>4</v>
      </c>
      <c r="P26" s="12" cm="1">
        <f t="array" ref="P26">O26/D26</f>
        <v>0.30769230769230771</v>
      </c>
      <c r="Q26" s="13" cm="1">
        <f t="array" ref="Q26">(G26*1+H26*2+I26*3+J26*4)/E26</f>
        <v>0.45454545454545453</v>
      </c>
      <c r="R26" s="13" cm="1">
        <f t="array" ref="R26">(F26+N26)/(D26-AA26)</f>
        <v>0.46153846153846156</v>
      </c>
      <c r="S26" s="15" cm="1">
        <f t="array" ref="S26">R26+Q26</f>
        <v>0.91608391608391604</v>
      </c>
      <c r="T26" s="128" cm="1">
        <f t="array" ref="T26">O26/(D26-(F26+N26))</f>
        <v>0.5714285714285714</v>
      </c>
      <c r="U26" s="17" cm="1">
        <f t="array" ref="U26">RANK(R26,$R$4:$R$26)</f>
        <v>11</v>
      </c>
      <c r="V26" s="18" cm="1">
        <f t="array" ref="V26">RANK(S26,$S$4:$S$26)</f>
        <v>12</v>
      </c>
      <c r="W26" s="129" cm="1">
        <f t="array" ref="W26">RANK(C26,$C$4:$C$26)</f>
        <v>12</v>
      </c>
      <c r="X26" s="176"/>
      <c r="Y26" s="48">
        <v>2</v>
      </c>
      <c r="Z26" s="48">
        <v>0</v>
      </c>
      <c r="AA26" s="133"/>
      <c r="AB26" s="133"/>
      <c r="AC26" s="48">
        <v>1</v>
      </c>
    </row>
    <row r="27" spans="1:29" ht="17.25" customHeight="1">
      <c r="A27" s="29" t="s">
        <v>45</v>
      </c>
      <c r="B27" s="103"/>
      <c r="C27" s="105" cm="1">
        <f t="array" ref="C27">F27/E27</f>
        <v>0.42009132420091322</v>
      </c>
      <c r="D27" s="49" cm="1">
        <f t="array" ref="D27">SUM(D4:D26)</f>
        <v>271</v>
      </c>
      <c r="E27" s="49" cm="1">
        <f t="array" ref="E27">SUM(E4:E26)</f>
        <v>219</v>
      </c>
      <c r="F27" s="49" cm="1">
        <f t="array" ref="F27">SUM(F4:F26)</f>
        <v>92</v>
      </c>
      <c r="G27" s="49" cm="1">
        <f t="array" ref="G27">SUM(G4:G26)</f>
        <v>63</v>
      </c>
      <c r="H27" s="49" cm="1">
        <f t="array" ref="H27">SUM(H4:H26)</f>
        <v>22</v>
      </c>
      <c r="I27" s="49" cm="1">
        <f t="array" ref="I27">SUM(I4:I26)</f>
        <v>5</v>
      </c>
      <c r="J27" s="49" cm="1">
        <f t="array" ref="J27">SUM(J4:J26)</f>
        <v>4</v>
      </c>
      <c r="K27" s="49" cm="1">
        <f t="array" ref="K27">SUM(K4:K26)</f>
        <v>106</v>
      </c>
      <c r="L27" s="49" cm="1">
        <f t="array" ref="L27">SUM(L4:L26)</f>
        <v>87</v>
      </c>
      <c r="M27" s="49" cm="1">
        <f t="array" ref="M27">SUM(M4:M26)</f>
        <v>68</v>
      </c>
      <c r="N27" s="49" cm="1">
        <f t="array" ref="N27">SUM(N4:N26)</f>
        <v>44</v>
      </c>
      <c r="O27" s="49" cm="1">
        <f t="array" ref="O27">SUM(O4:O26)</f>
        <v>28</v>
      </c>
      <c r="P27" s="33" cm="1">
        <f t="array" ref="P27">O27/D27</f>
        <v>0.10332103321033211</v>
      </c>
      <c r="Q27" s="105"/>
      <c r="R27" s="105"/>
      <c r="S27" s="100"/>
      <c r="T27" s="31"/>
      <c r="U27" s="31"/>
      <c r="V27" s="31"/>
      <c r="W27" s="31"/>
      <c r="X27" s="58"/>
      <c r="Y27" s="136" cm="1">
        <f t="array" ref="Y27">SUM(Y4:Y26)</f>
        <v>32</v>
      </c>
      <c r="Z27" s="136" cm="1">
        <f t="array" ref="Z27">SUM(Z4:Z26)</f>
        <v>12</v>
      </c>
      <c r="AA27" s="136" cm="1">
        <f t="array" ref="AA27">SUM(AA4:AA26)</f>
        <v>1</v>
      </c>
      <c r="AB27" s="136" cm="1">
        <f t="array" ref="AB27">SUM(AB4:AB26)</f>
        <v>3</v>
      </c>
      <c r="AC27" s="136" cm="1">
        <f t="array" ref="AC27">SUM(AC4:AC26)</f>
        <v>1</v>
      </c>
    </row>
    <row r="28" spans="1:29" ht="17.25" customHeight="1">
      <c r="A28" s="111"/>
      <c r="B28" s="112"/>
      <c r="C28" s="113"/>
      <c r="D28" s="112"/>
      <c r="E28" s="112"/>
      <c r="F28" s="112"/>
      <c r="G28" s="112"/>
      <c r="H28" s="112"/>
      <c r="I28" s="112"/>
      <c r="J28" s="112"/>
      <c r="K28" s="112"/>
      <c r="L28" s="112"/>
      <c r="M28" s="112"/>
      <c r="N28" s="112"/>
      <c r="O28" s="112"/>
      <c r="P28" s="112"/>
      <c r="Q28" s="113"/>
      <c r="R28" s="113"/>
      <c r="S28" s="114"/>
      <c r="T28" s="34"/>
      <c r="U28" s="34"/>
      <c r="V28" s="34"/>
      <c r="W28" s="34"/>
      <c r="X28" s="3"/>
      <c r="Y28" s="34"/>
      <c r="Z28" s="34"/>
      <c r="AA28" s="34"/>
      <c r="AB28" s="34"/>
      <c r="AC28" s="34"/>
    </row>
    <row r="29" spans="1:29" ht="17.25" customHeight="1">
      <c r="A29" s="115" t="s">
        <v>46</v>
      </c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6"/>
      <c r="T29" s="6"/>
      <c r="U29" s="6"/>
      <c r="V29" s="6"/>
      <c r="W29" s="6"/>
      <c r="X29" s="3"/>
      <c r="Y29" s="6"/>
      <c r="Z29" s="6"/>
      <c r="AA29" s="3"/>
      <c r="AB29" s="3"/>
      <c r="AC29" s="3"/>
    </row>
    <row r="30" spans="1:29" ht="34.5" customHeight="1">
      <c r="A30" s="8" t="s">
        <v>2</v>
      </c>
      <c r="B30" s="8" t="s">
        <v>3</v>
      </c>
      <c r="C30" s="8" t="s">
        <v>47</v>
      </c>
      <c r="D30" s="8" t="s">
        <v>48</v>
      </c>
      <c r="E30" s="8" t="s">
        <v>49</v>
      </c>
      <c r="F30" s="8" t="s">
        <v>50</v>
      </c>
      <c r="G30" s="8" t="s">
        <v>6</v>
      </c>
      <c r="H30" s="8" t="s">
        <v>51</v>
      </c>
      <c r="I30" s="8" t="s">
        <v>52</v>
      </c>
      <c r="J30" s="8" t="s">
        <v>53</v>
      </c>
      <c r="K30" s="8" t="s">
        <v>54</v>
      </c>
      <c r="L30" s="8" t="s">
        <v>55</v>
      </c>
      <c r="M30" s="8" t="s">
        <v>56</v>
      </c>
      <c r="N30" s="8" t="s">
        <v>57</v>
      </c>
      <c r="O30" s="8" t="s">
        <v>58</v>
      </c>
      <c r="P30" s="8" t="s">
        <v>59</v>
      </c>
      <c r="Q30" s="8" t="s">
        <v>60</v>
      </c>
      <c r="R30" s="8" t="s">
        <v>61</v>
      </c>
      <c r="S30" s="8" t="s">
        <v>116</v>
      </c>
      <c r="T30" s="8" t="s">
        <v>63</v>
      </c>
      <c r="U30" s="8" t="s">
        <v>163</v>
      </c>
      <c r="V30" s="8" t="s">
        <v>65</v>
      </c>
      <c r="W30" s="8" t="s">
        <v>117</v>
      </c>
      <c r="X30" s="58"/>
      <c r="Y30" s="8" t="s">
        <v>118</v>
      </c>
      <c r="Z30" s="8" t="s">
        <v>119</v>
      </c>
      <c r="AA30" s="9"/>
      <c r="AB30" s="3"/>
      <c r="AC30" s="3"/>
    </row>
    <row r="31" spans="1:29" ht="17.25" customHeight="1">
      <c r="A31" s="8" t="s">
        <v>24</v>
      </c>
      <c r="B31" s="175"/>
      <c r="C31" s="175"/>
      <c r="D31" s="175"/>
      <c r="E31" s="175"/>
      <c r="F31" s="175"/>
      <c r="G31" s="175"/>
      <c r="H31" s="39"/>
      <c r="I31" s="175"/>
      <c r="J31" s="175"/>
      <c r="K31" s="175"/>
      <c r="L31" s="175"/>
      <c r="M31" s="175"/>
      <c r="N31" s="175"/>
      <c r="O31" s="175"/>
      <c r="P31" s="40" t="e" cm="1">
        <f t="array" ref="P31">O31*9/H31</f>
        <v>#DIV/0!</v>
      </c>
      <c r="Q31" s="41" t="e" cm="1">
        <f t="array" ref="Q31">(K31+L31)/H31</f>
        <v>#DIV/0!</v>
      </c>
      <c r="R31" s="42" t="e" cm="1">
        <f t="array" ref="R31">I31/H31</f>
        <v>#DIV/0!</v>
      </c>
      <c r="S31" s="42" t="e" cm="1">
        <f t="array" ref="S31">H31/B31</f>
        <v>#DIV/0!</v>
      </c>
      <c r="T31" s="41" t="e" cm="1">
        <f t="array" ref="T31">M31/H31</f>
        <v>#DIV/0!</v>
      </c>
      <c r="U31" s="44" t="e" cm="1">
        <f t="array" ref="U31">O31/N31</f>
        <v>#DIV/0!</v>
      </c>
      <c r="V31" s="41" t="e" cm="1">
        <f t="array" ref="V31">(I31+K31+L31)/H31</f>
        <v>#DIV/0!</v>
      </c>
      <c r="W31" s="145" t="e" cm="1">
        <f t="array" ref="W31">(L31+K31)/F31*100</f>
        <v>#DIV/0!</v>
      </c>
      <c r="X31" s="180"/>
      <c r="Y31" s="172"/>
      <c r="Z31" s="172"/>
      <c r="AA31" s="9"/>
      <c r="AB31" s="3"/>
      <c r="AC31" s="3"/>
    </row>
    <row r="32" spans="1:29" ht="17.25" customHeight="1">
      <c r="A32" s="8" t="s">
        <v>27</v>
      </c>
      <c r="B32" s="175"/>
      <c r="C32" s="175"/>
      <c r="D32" s="175"/>
      <c r="E32" s="175"/>
      <c r="F32" s="175"/>
      <c r="G32" s="175"/>
      <c r="H32" s="39"/>
      <c r="I32" s="175"/>
      <c r="J32" s="175"/>
      <c r="K32" s="175"/>
      <c r="L32" s="175"/>
      <c r="M32" s="175"/>
      <c r="N32" s="175"/>
      <c r="O32" s="175"/>
      <c r="P32" s="40" t="e" cm="1">
        <f t="array" ref="P32">O32*9/H32</f>
        <v>#DIV/0!</v>
      </c>
      <c r="Q32" s="41" t="e" cm="1">
        <f t="array" ref="Q32">(K32+L32)/H32</f>
        <v>#DIV/0!</v>
      </c>
      <c r="R32" s="42" t="e" cm="1">
        <f t="array" ref="R32">I32/H32</f>
        <v>#DIV/0!</v>
      </c>
      <c r="S32" s="42" t="e" cm="1">
        <f t="array" ref="S32">H32/B32</f>
        <v>#DIV/0!</v>
      </c>
      <c r="T32" s="41" t="e" cm="1">
        <f t="array" ref="T32">M32/H32</f>
        <v>#DIV/0!</v>
      </c>
      <c r="U32" s="44" t="e" cm="1">
        <f t="array" ref="U32">O32/N32</f>
        <v>#DIV/0!</v>
      </c>
      <c r="V32" s="41" t="e" cm="1">
        <f t="array" ref="V32">(I32+K32+L32)/H32</f>
        <v>#DIV/0!</v>
      </c>
      <c r="W32" s="145" t="e" cm="1">
        <f t="array" ref="W32">(L32+K32)/F32*100</f>
        <v>#DIV/0!</v>
      </c>
      <c r="X32" s="180"/>
      <c r="Y32" s="172"/>
      <c r="Z32" s="172"/>
      <c r="AA32" s="9"/>
      <c r="AB32" s="3"/>
      <c r="AC32" s="3"/>
    </row>
    <row r="33" spans="1:29" ht="17.25" customHeight="1">
      <c r="A33" s="8" t="s">
        <v>29</v>
      </c>
      <c r="B33" s="10">
        <v>6</v>
      </c>
      <c r="C33" s="10">
        <v>1</v>
      </c>
      <c r="D33" s="10">
        <v>0</v>
      </c>
      <c r="E33" s="10">
        <v>0</v>
      </c>
      <c r="F33" s="10">
        <v>83</v>
      </c>
      <c r="G33" s="10">
        <v>59</v>
      </c>
      <c r="H33" s="39">
        <v>10</v>
      </c>
      <c r="I33" s="10">
        <v>27</v>
      </c>
      <c r="J33" s="10">
        <v>1</v>
      </c>
      <c r="K33" s="10">
        <v>17</v>
      </c>
      <c r="L33" s="10">
        <v>7</v>
      </c>
      <c r="M33" s="10">
        <v>10</v>
      </c>
      <c r="N33" s="10">
        <v>34</v>
      </c>
      <c r="O33" s="10">
        <v>28</v>
      </c>
      <c r="P33" s="40" cm="1">
        <f t="array" ref="P33">O33*9/H33</f>
        <v>25.2</v>
      </c>
      <c r="Q33" s="41" cm="1">
        <f t="array" ref="Q33">(K33+L33)/H33</f>
        <v>2.4</v>
      </c>
      <c r="R33" s="42" cm="1">
        <f t="array" ref="R33">I33/H33</f>
        <v>2.7</v>
      </c>
      <c r="S33" s="42" cm="1">
        <f t="array" ref="S33">H33/B33</f>
        <v>1.6666666666666667</v>
      </c>
      <c r="T33" s="41" cm="1">
        <f t="array" ref="T33">M33/H33</f>
        <v>1</v>
      </c>
      <c r="U33" s="44" cm="1">
        <f t="array" ref="U33">O33/N33</f>
        <v>0.82352941176470584</v>
      </c>
      <c r="V33" s="41" cm="1">
        <f t="array" ref="V33">(I33+K33+L33)/H33</f>
        <v>5.0999999999999996</v>
      </c>
      <c r="W33" s="145" cm="1">
        <f t="array" ref="W33">(L33+K33)/F33*100</f>
        <v>28.915662650602407</v>
      </c>
      <c r="X33" s="180"/>
      <c r="Y33" s="182">
        <v>1</v>
      </c>
      <c r="Z33" s="172"/>
      <c r="AA33" s="9"/>
      <c r="AB33" s="3"/>
      <c r="AC33" s="3"/>
    </row>
    <row r="34" spans="1:29" ht="17.25" customHeight="1">
      <c r="A34" s="8" t="s">
        <v>33</v>
      </c>
      <c r="B34" s="10">
        <v>6</v>
      </c>
      <c r="C34" s="10">
        <v>4</v>
      </c>
      <c r="D34" s="10">
        <v>1</v>
      </c>
      <c r="E34" s="10">
        <v>0</v>
      </c>
      <c r="F34" s="10">
        <v>82</v>
      </c>
      <c r="G34" s="10">
        <v>74</v>
      </c>
      <c r="H34" s="39">
        <v>20</v>
      </c>
      <c r="I34" s="10">
        <v>14</v>
      </c>
      <c r="J34" s="10">
        <v>0</v>
      </c>
      <c r="K34" s="10">
        <v>7</v>
      </c>
      <c r="L34" s="10">
        <v>1</v>
      </c>
      <c r="M34" s="10">
        <v>26</v>
      </c>
      <c r="N34" s="10">
        <v>9</v>
      </c>
      <c r="O34" s="10">
        <v>1</v>
      </c>
      <c r="P34" s="40" cm="1">
        <f t="array" ref="P34">O34*9/H34</f>
        <v>0.45</v>
      </c>
      <c r="Q34" s="41" cm="1">
        <f t="array" ref="Q34">(K34+L34)/H34</f>
        <v>0.4</v>
      </c>
      <c r="R34" s="42" cm="1">
        <f t="array" ref="R34">I34/H34</f>
        <v>0.7</v>
      </c>
      <c r="S34" s="42" cm="1">
        <f t="array" ref="S34">H34/B34</f>
        <v>3.3333333333333335</v>
      </c>
      <c r="T34" s="41" cm="1">
        <f t="array" ref="T34">M34/H34</f>
        <v>1.3</v>
      </c>
      <c r="U34" s="44" cm="1">
        <f t="array" ref="U34">O34/N34</f>
        <v>0.1111111111111111</v>
      </c>
      <c r="V34" s="41" cm="1">
        <f t="array" ref="V34">(I34+K34+L34)/H34</f>
        <v>1.1000000000000001</v>
      </c>
      <c r="W34" s="145" cm="1">
        <f t="array" ref="W34">(L34+K34)/F34*100</f>
        <v>9.7560975609756095</v>
      </c>
      <c r="X34" s="180"/>
      <c r="Y34" s="172"/>
      <c r="Z34" s="172"/>
      <c r="AA34" s="9"/>
      <c r="AB34" s="3"/>
      <c r="AC34" s="3"/>
    </row>
    <row r="35" spans="1:29" ht="17.25" customHeight="1">
      <c r="A35" s="8" t="s">
        <v>35</v>
      </c>
      <c r="B35" s="175"/>
      <c r="C35" s="175"/>
      <c r="D35" s="175"/>
      <c r="E35" s="175"/>
      <c r="F35" s="175"/>
      <c r="G35" s="175"/>
      <c r="H35" s="39"/>
      <c r="I35" s="175"/>
      <c r="J35" s="175"/>
      <c r="K35" s="175"/>
      <c r="L35" s="175"/>
      <c r="M35" s="175"/>
      <c r="N35" s="175"/>
      <c r="O35" s="175"/>
      <c r="P35" s="40" t="e" cm="1">
        <f t="array" ref="P35">O35*9/H35</f>
        <v>#DIV/0!</v>
      </c>
      <c r="Q35" s="41" t="e" cm="1">
        <f t="array" ref="Q35">(K35+L35)/H35</f>
        <v>#DIV/0!</v>
      </c>
      <c r="R35" s="42" t="e" cm="1">
        <f t="array" ref="R35">I35/H35</f>
        <v>#DIV/0!</v>
      </c>
      <c r="S35" s="42" t="e" cm="1">
        <f t="array" ref="S35">H35/B35</f>
        <v>#DIV/0!</v>
      </c>
      <c r="T35" s="41" t="e" cm="1">
        <f t="array" ref="T35">M35/H35</f>
        <v>#DIV/0!</v>
      </c>
      <c r="U35" s="44" t="e" cm="1">
        <f t="array" ref="U35">O35/N35</f>
        <v>#DIV/0!</v>
      </c>
      <c r="V35" s="41" t="e" cm="1">
        <f t="array" ref="V35">(I35+K35+L35)/H35</f>
        <v>#DIV/0!</v>
      </c>
      <c r="W35" s="145" t="e" cm="1">
        <f t="array" ref="W35">(L35+K35)/F35*100</f>
        <v>#DIV/0!</v>
      </c>
      <c r="X35" s="180"/>
      <c r="Y35" s="172"/>
      <c r="Z35" s="172"/>
      <c r="AA35" s="9"/>
      <c r="AB35" s="3"/>
      <c r="AC35" s="3"/>
    </row>
    <row r="36" spans="1:29" ht="17.25" customHeight="1">
      <c r="A36" s="8" t="s">
        <v>36</v>
      </c>
      <c r="B36" s="10">
        <v>2</v>
      </c>
      <c r="C36" s="10">
        <v>0</v>
      </c>
      <c r="D36" s="10">
        <v>0</v>
      </c>
      <c r="E36" s="10">
        <v>0</v>
      </c>
      <c r="F36" s="10">
        <v>12</v>
      </c>
      <c r="G36" s="10">
        <v>5</v>
      </c>
      <c r="H36" s="39">
        <v>0.6666666</v>
      </c>
      <c r="I36" s="10">
        <v>3</v>
      </c>
      <c r="J36" s="10">
        <v>1</v>
      </c>
      <c r="K36" s="10">
        <v>5</v>
      </c>
      <c r="L36" s="10">
        <v>2</v>
      </c>
      <c r="M36" s="10">
        <v>1</v>
      </c>
      <c r="N36" s="10">
        <v>8</v>
      </c>
      <c r="O36" s="10">
        <v>5</v>
      </c>
      <c r="P36" s="40" cm="1">
        <f t="array" ref="P36">O36*9/H36</f>
        <v>67.500006750000679</v>
      </c>
      <c r="Q36" s="41" cm="1">
        <f t="array" ref="Q36">(K36+L36)/H36</f>
        <v>10.500001050000105</v>
      </c>
      <c r="R36" s="42" cm="1">
        <f t="array" ref="R36">I36/H36</f>
        <v>4.5000004500000452</v>
      </c>
      <c r="S36" s="42" cm="1">
        <f t="array" ref="S36">H36/B36</f>
        <v>0.3333333</v>
      </c>
      <c r="T36" s="41" cm="1">
        <f t="array" ref="T36">M36/H36</f>
        <v>1.5000001500000151</v>
      </c>
      <c r="U36" s="44" cm="1">
        <f t="array" ref="U36">O36/N36</f>
        <v>0.625</v>
      </c>
      <c r="V36" s="41" cm="1">
        <f t="array" ref="V36">(I36+K36+L36)/H36</f>
        <v>15.000001500000151</v>
      </c>
      <c r="W36" s="145" cm="1">
        <f t="array" ref="W36">(L36+K36)/F36*100</f>
        <v>58.333333333333336</v>
      </c>
      <c r="X36" s="180"/>
      <c r="Y36" s="172"/>
      <c r="Z36" s="172"/>
      <c r="AA36" s="9"/>
      <c r="AB36" s="3"/>
      <c r="AC36" s="3"/>
    </row>
    <row r="37" spans="1:29" ht="17.25" customHeight="1">
      <c r="A37" s="8" t="s">
        <v>37</v>
      </c>
      <c r="B37" s="10">
        <v>2</v>
      </c>
      <c r="C37" s="10">
        <v>0</v>
      </c>
      <c r="D37" s="10">
        <v>0</v>
      </c>
      <c r="E37" s="10">
        <v>0</v>
      </c>
      <c r="F37" s="10">
        <v>14</v>
      </c>
      <c r="G37" s="10">
        <v>9</v>
      </c>
      <c r="H37" s="39">
        <v>2</v>
      </c>
      <c r="I37" s="10">
        <v>3</v>
      </c>
      <c r="J37" s="10">
        <v>0</v>
      </c>
      <c r="K37" s="10">
        <v>4</v>
      </c>
      <c r="L37" s="10">
        <v>1</v>
      </c>
      <c r="M37" s="10">
        <v>0</v>
      </c>
      <c r="N37" s="10">
        <v>4</v>
      </c>
      <c r="O37" s="10">
        <v>4</v>
      </c>
      <c r="P37" s="40" cm="1">
        <f t="array" ref="P37">O37*9/H37</f>
        <v>18</v>
      </c>
      <c r="Q37" s="41" cm="1">
        <f t="array" ref="Q37">(K37+L37)/H37</f>
        <v>2.5</v>
      </c>
      <c r="R37" s="42" cm="1">
        <f t="array" ref="R37">I37/H37</f>
        <v>1.5</v>
      </c>
      <c r="S37" s="42" cm="1">
        <f t="array" ref="S37">H37/B37</f>
        <v>1</v>
      </c>
      <c r="T37" s="41" cm="1">
        <f t="array" ref="T37">M37/H37</f>
        <v>0</v>
      </c>
      <c r="U37" s="44" cm="1">
        <f t="array" ref="U37">O37/N37</f>
        <v>1</v>
      </c>
      <c r="V37" s="41" cm="1">
        <f t="array" ref="V37">(I37+K37+L37)/H37</f>
        <v>4</v>
      </c>
      <c r="W37" s="145" cm="1">
        <f t="array" ref="W37">(L37+K37)/F37*100</f>
        <v>35.714285714285715</v>
      </c>
      <c r="X37" s="180"/>
      <c r="Y37" s="172"/>
      <c r="Z37" s="172"/>
      <c r="AA37" s="9"/>
      <c r="AB37" s="3"/>
      <c r="AC37" s="3"/>
    </row>
    <row r="38" spans="1:29" ht="17.25" customHeight="1">
      <c r="A38" s="8" t="s">
        <v>40</v>
      </c>
      <c r="B38" s="10">
        <v>2</v>
      </c>
      <c r="C38" s="10">
        <v>1</v>
      </c>
      <c r="D38" s="10">
        <v>0</v>
      </c>
      <c r="E38" s="10">
        <v>0</v>
      </c>
      <c r="F38" s="10">
        <v>10</v>
      </c>
      <c r="G38" s="10">
        <v>6</v>
      </c>
      <c r="H38" s="39">
        <v>1.666666</v>
      </c>
      <c r="I38" s="10">
        <v>1</v>
      </c>
      <c r="J38" s="10">
        <v>0</v>
      </c>
      <c r="K38" s="10">
        <v>3</v>
      </c>
      <c r="L38" s="10">
        <v>1</v>
      </c>
      <c r="M38" s="10">
        <v>1</v>
      </c>
      <c r="N38" s="10">
        <v>3</v>
      </c>
      <c r="O38" s="10">
        <v>3</v>
      </c>
      <c r="P38" s="40" cm="1">
        <f t="array" ref="P38">O38*9/H38</f>
        <v>16.200006480002592</v>
      </c>
      <c r="Q38" s="41" cm="1">
        <f t="array" ref="Q38">(K38+L38)/H38</f>
        <v>2.400000960000384</v>
      </c>
      <c r="R38" s="42" cm="1">
        <f t="array" ref="R38">I38/H38</f>
        <v>0.600000240000096</v>
      </c>
      <c r="S38" s="42" cm="1">
        <f t="array" ref="S38">H38/B38</f>
        <v>0.83333299999999999</v>
      </c>
      <c r="T38" s="41" cm="1">
        <f t="array" ref="T38">M38/H38</f>
        <v>0.600000240000096</v>
      </c>
      <c r="U38" s="44" cm="1">
        <f t="array" ref="U38">O38/N38</f>
        <v>1</v>
      </c>
      <c r="V38" s="41" cm="1">
        <f t="array" ref="V38">(I38+K38+L38)/H38</f>
        <v>3.0000012000004799</v>
      </c>
      <c r="W38" s="145" cm="1">
        <f t="array" ref="W38">(L38+K38)/F38*100</f>
        <v>40</v>
      </c>
      <c r="X38" s="180"/>
      <c r="Y38" s="172"/>
      <c r="Z38" s="172"/>
      <c r="AA38" s="9"/>
      <c r="AB38" s="3"/>
      <c r="AC38" s="3"/>
    </row>
    <row r="39" spans="1:29" ht="17.25" customHeight="1">
      <c r="A39" s="8" t="s">
        <v>41</v>
      </c>
      <c r="B39" s="175"/>
      <c r="C39" s="175"/>
      <c r="D39" s="175"/>
      <c r="E39" s="175"/>
      <c r="F39" s="175"/>
      <c r="G39" s="175"/>
      <c r="H39" s="39"/>
      <c r="I39" s="175"/>
      <c r="J39" s="175"/>
      <c r="K39" s="175"/>
      <c r="L39" s="175"/>
      <c r="M39" s="175"/>
      <c r="N39" s="175"/>
      <c r="O39" s="175"/>
      <c r="P39" s="40" t="e" cm="1">
        <f t="array" ref="P39">O39*9/H39</f>
        <v>#DIV/0!</v>
      </c>
      <c r="Q39" s="41" t="e" cm="1">
        <f t="array" ref="Q39">(K39+L39)/H39</f>
        <v>#DIV/0!</v>
      </c>
      <c r="R39" s="42" t="e" cm="1">
        <f t="array" ref="R39">I39/H39</f>
        <v>#DIV/0!</v>
      </c>
      <c r="S39" s="42" t="e" cm="1">
        <f t="array" ref="S39">H39/B39</f>
        <v>#DIV/0!</v>
      </c>
      <c r="T39" s="41" t="e" cm="1">
        <f t="array" ref="T39">M39/H39</f>
        <v>#DIV/0!</v>
      </c>
      <c r="U39" s="44" t="e" cm="1">
        <f t="array" ref="U39">O39/N39</f>
        <v>#DIV/0!</v>
      </c>
      <c r="V39" s="41" t="e" cm="1">
        <f t="array" ref="V39">(I39+K39+L39)/H39</f>
        <v>#DIV/0!</v>
      </c>
      <c r="W39" s="145" t="e" cm="1">
        <f t="array" ref="W39">(L39+K39)/F39*100</f>
        <v>#DIV/0!</v>
      </c>
      <c r="X39" s="180"/>
      <c r="Y39" s="172"/>
      <c r="Z39" s="172"/>
      <c r="AA39" s="9"/>
      <c r="AB39" s="3"/>
      <c r="AC39" s="3"/>
    </row>
    <row r="40" spans="1:29" ht="17.25" customHeight="1">
      <c r="A40" s="8" t="s">
        <v>42</v>
      </c>
      <c r="B40" s="175"/>
      <c r="C40" s="175"/>
      <c r="D40" s="175"/>
      <c r="E40" s="175"/>
      <c r="F40" s="175"/>
      <c r="G40" s="175"/>
      <c r="H40" s="39"/>
      <c r="I40" s="175"/>
      <c r="J40" s="175"/>
      <c r="K40" s="175"/>
      <c r="L40" s="175"/>
      <c r="M40" s="175"/>
      <c r="N40" s="175"/>
      <c r="O40" s="175"/>
      <c r="P40" s="40" t="e" cm="1">
        <f t="array" ref="P40">O40*9/H40</f>
        <v>#DIV/0!</v>
      </c>
      <c r="Q40" s="41" t="e" cm="1">
        <f t="array" ref="Q40">(K40+L40)/H40</f>
        <v>#DIV/0!</v>
      </c>
      <c r="R40" s="42" t="e" cm="1">
        <f t="array" ref="R40">I40/H40</f>
        <v>#DIV/0!</v>
      </c>
      <c r="S40" s="42" t="e" cm="1">
        <f t="array" ref="S40">H40/B40</f>
        <v>#DIV/0!</v>
      </c>
      <c r="T40" s="41" t="e" cm="1">
        <f t="array" ref="T40">M40/H40</f>
        <v>#DIV/0!</v>
      </c>
      <c r="U40" s="44" t="e" cm="1">
        <f t="array" ref="U40">O40/N40</f>
        <v>#DIV/0!</v>
      </c>
      <c r="V40" s="41" t="e" cm="1">
        <f t="array" ref="V40">(I40+K40+L40)/H40</f>
        <v>#DIV/0!</v>
      </c>
      <c r="W40" s="145" t="e" cm="1">
        <f t="array" ref="W40">(L40+K40)/F40*100</f>
        <v>#DIV/0!</v>
      </c>
      <c r="X40" s="180"/>
      <c r="Y40" s="172"/>
      <c r="Z40" s="172"/>
      <c r="AA40" s="9"/>
      <c r="AB40" s="3"/>
      <c r="AC40" s="3"/>
    </row>
    <row r="41" spans="1:29" ht="17.25" customHeight="1">
      <c r="A41" s="8" t="s">
        <v>43</v>
      </c>
      <c r="B41" s="10">
        <v>6</v>
      </c>
      <c r="C41" s="10">
        <v>1</v>
      </c>
      <c r="D41" s="10">
        <v>2</v>
      </c>
      <c r="E41" s="10">
        <v>0</v>
      </c>
      <c r="F41" s="10">
        <v>64</v>
      </c>
      <c r="G41" s="10">
        <v>48</v>
      </c>
      <c r="H41" s="39">
        <v>9.6666666666666607</v>
      </c>
      <c r="I41" s="10">
        <v>16</v>
      </c>
      <c r="J41" s="10">
        <v>1</v>
      </c>
      <c r="K41" s="10">
        <v>11</v>
      </c>
      <c r="L41" s="10">
        <v>4</v>
      </c>
      <c r="M41" s="10">
        <v>11</v>
      </c>
      <c r="N41" s="10">
        <v>22</v>
      </c>
      <c r="O41" s="10">
        <v>15</v>
      </c>
      <c r="P41" s="40" cm="1">
        <f t="array" ref="P41">O41*9/H41</f>
        <v>13.965517241379318</v>
      </c>
      <c r="Q41" s="41" cm="1">
        <f t="array" ref="Q41">(K41+L41)/H41</f>
        <v>1.5517241379310354</v>
      </c>
      <c r="R41" s="42" cm="1">
        <f t="array" ref="R41">I41/H41</f>
        <v>1.6551724137931045</v>
      </c>
      <c r="S41" s="42" cm="1">
        <f t="array" ref="S41">H41/B41</f>
        <v>1.6111111111111101</v>
      </c>
      <c r="T41" s="41" cm="1">
        <f t="array" ref="T41">M41/H41</f>
        <v>1.1379310344827593</v>
      </c>
      <c r="U41" s="44" cm="1">
        <f t="array" ref="U41">O41/N41</f>
        <v>0.68181818181818177</v>
      </c>
      <c r="V41" s="41" cm="1">
        <f t="array" ref="V41">(I41+K41+L41)/H41</f>
        <v>3.2068965517241397</v>
      </c>
      <c r="W41" s="145" cm="1">
        <f t="array" ref="W41">(L41+K41)/F41*100</f>
        <v>23.4375</v>
      </c>
      <c r="X41" s="180"/>
      <c r="Y41" s="182">
        <v>4</v>
      </c>
      <c r="Z41" s="172"/>
      <c r="AA41" s="9"/>
      <c r="AB41" s="3"/>
      <c r="AC41" s="3"/>
    </row>
    <row r="42" spans="1:29" ht="17.25" customHeight="1">
      <c r="A42" s="29" t="s">
        <v>45</v>
      </c>
      <c r="B42" s="103"/>
      <c r="C42" s="49" cm="1">
        <f t="array" ref="C42">SUM(C31:C41)</f>
        <v>7</v>
      </c>
      <c r="D42" s="49" cm="1">
        <f t="array" ref="D42">SUM(D31:D41)</f>
        <v>3</v>
      </c>
      <c r="E42" s="49" cm="1">
        <f t="array" ref="E42">SUM(E31:E41)</f>
        <v>0</v>
      </c>
      <c r="F42" s="49" cm="1">
        <f t="array" ref="F42">SUM(F31:F41)</f>
        <v>265</v>
      </c>
      <c r="G42" s="49" cm="1">
        <f t="array" ref="G42">SUM(G31:G41)</f>
        <v>201</v>
      </c>
      <c r="H42" s="50" cm="1">
        <f t="array" ref="H42">SUM(H31:H41)</f>
        <v>43.999999266666663</v>
      </c>
      <c r="I42" s="49" cm="1">
        <f t="array" ref="I42">SUM(I31:I41)</f>
        <v>64</v>
      </c>
      <c r="J42" s="49" cm="1">
        <f t="array" ref="J42">SUM(J31:J41)</f>
        <v>3</v>
      </c>
      <c r="K42" s="49" cm="1">
        <f t="array" ref="K42">SUM(K31:K41)</f>
        <v>47</v>
      </c>
      <c r="L42" s="49" cm="1">
        <f t="array" ref="L42">SUM(L31:L41)</f>
        <v>16</v>
      </c>
      <c r="M42" s="49" cm="1">
        <f t="array" ref="M42">SUM(M31:M41)</f>
        <v>49</v>
      </c>
      <c r="N42" s="49" cm="1">
        <f t="array" ref="N42">SUM(N31:N41)</f>
        <v>80</v>
      </c>
      <c r="O42" s="49" cm="1">
        <f t="array" ref="O42">SUM(O31:O41)</f>
        <v>56</v>
      </c>
      <c r="P42" s="51" cm="1">
        <f t="array" ref="P42">O42*9/H42</f>
        <v>11.45454564545455</v>
      </c>
      <c r="Q42" s="52" cm="1">
        <f t="array" ref="Q42">(K42+L42)/H42</f>
        <v>1.4318182056818187</v>
      </c>
      <c r="R42" s="53" cm="1">
        <f t="array" ref="R42">I42/H42</f>
        <v>1.4545454787878793</v>
      </c>
      <c r="S42" s="53" t="e" cm="1">
        <f t="array" ref="S42">H42/B42</f>
        <v>#DIV/0!</v>
      </c>
      <c r="T42" s="52" cm="1">
        <f t="array" ref="T42">M42/H42</f>
        <v>1.1136363821969701</v>
      </c>
      <c r="U42" s="55" cm="1">
        <f t="array" ref="U42">O42/N42</f>
        <v>0.7</v>
      </c>
      <c r="V42" s="52" cm="1">
        <f t="array" ref="V42">(I42+K42+L42)/H42</f>
        <v>2.886363684469698</v>
      </c>
      <c r="W42" s="52"/>
      <c r="X42" s="180"/>
      <c r="Y42" s="49" cm="1">
        <f t="array" ref="Y42">SUM(Y31:Y41)</f>
        <v>5</v>
      </c>
      <c r="Z42" s="49" cm="1">
        <f t="array" ref="Z42">SUM(Z31:Z41)</f>
        <v>0</v>
      </c>
      <c r="AA42" s="9"/>
      <c r="AB42" s="3"/>
      <c r="AC42" s="3"/>
    </row>
  </sheetData>
  <phoneticPr fontId="21" type="noConversion"/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C42"/>
  <sheetViews>
    <sheetView showGridLines="0" workbookViewId="0"/>
  </sheetViews>
  <sheetFormatPr defaultColWidth="9" defaultRowHeight="16.5" customHeight="1"/>
  <cols>
    <col min="1" max="2" width="8.125" style="1" customWidth="1"/>
    <col min="3" max="3" width="9.625" style="1" customWidth="1"/>
    <col min="4" max="15" width="8.125" style="1" customWidth="1"/>
    <col min="16" max="16" width="10.125" style="1" customWidth="1"/>
    <col min="17" max="18" width="8.125" style="1" customWidth="1"/>
    <col min="19" max="19" width="10.875" style="1" customWidth="1"/>
    <col min="20" max="20" width="10.125" style="1" customWidth="1"/>
    <col min="21" max="22" width="9" style="1" customWidth="1"/>
    <col min="23" max="23" width="11.375" style="1" customWidth="1"/>
    <col min="24" max="24" width="2.625" style="1" customWidth="1"/>
    <col min="25" max="26" width="9" style="1" customWidth="1"/>
    <col min="27" max="27" width="10.125" style="1" customWidth="1"/>
    <col min="28" max="30" width="9" style="1" customWidth="1"/>
    <col min="31" max="16384" width="9" style="1"/>
  </cols>
  <sheetData>
    <row r="1" spans="1:29" ht="26.25" customHeight="1">
      <c r="A1" s="2" t="s">
        <v>168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29" ht="17.25" customHeight="1">
      <c r="A2" s="5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3"/>
      <c r="Y2" s="6"/>
      <c r="Z2" s="6"/>
      <c r="AA2" s="6"/>
      <c r="AB2" s="6"/>
      <c r="AC2" s="6"/>
    </row>
    <row r="3" spans="1:29" ht="34.5" customHeight="1">
      <c r="A3" s="8" t="s">
        <v>101</v>
      </c>
      <c r="B3" s="8" t="s">
        <v>102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10</v>
      </c>
      <c r="J3" s="8" t="s">
        <v>11</v>
      </c>
      <c r="K3" s="8" t="s">
        <v>12</v>
      </c>
      <c r="L3" s="8" t="s">
        <v>13</v>
      </c>
      <c r="M3" s="8" t="s">
        <v>14</v>
      </c>
      <c r="N3" s="8" t="s">
        <v>15</v>
      </c>
      <c r="O3" s="8" t="s">
        <v>16</v>
      </c>
      <c r="P3" s="8" t="s">
        <v>17</v>
      </c>
      <c r="Q3" s="8" t="s">
        <v>18</v>
      </c>
      <c r="R3" s="8" t="s">
        <v>19</v>
      </c>
      <c r="S3" s="8" t="s">
        <v>20</v>
      </c>
      <c r="T3" s="8" t="s">
        <v>21</v>
      </c>
      <c r="U3" s="8" t="s">
        <v>22</v>
      </c>
      <c r="V3" s="8" t="s">
        <v>23</v>
      </c>
      <c r="W3" s="8" t="s">
        <v>111</v>
      </c>
      <c r="X3" s="58"/>
      <c r="Y3" s="8" t="s">
        <v>112</v>
      </c>
      <c r="Z3" s="8" t="s">
        <v>55</v>
      </c>
      <c r="AA3" s="8" t="s">
        <v>113</v>
      </c>
      <c r="AB3" s="8" t="s">
        <v>167</v>
      </c>
      <c r="AC3" s="8" t="s">
        <v>115</v>
      </c>
    </row>
    <row r="4" spans="1:29" ht="17.25" customHeight="1">
      <c r="A4" s="8" t="s">
        <v>24</v>
      </c>
      <c r="B4" s="175"/>
      <c r="C4" s="174"/>
      <c r="D4" s="175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2" t="e" cm="1">
        <f t="array" ref="P4">O4/D4</f>
        <v>#DIV/0!</v>
      </c>
      <c r="Q4" s="13" t="e" cm="1">
        <f t="array" ref="Q4">(G4*1+H4*2+I4*3+J4*4)/E4</f>
        <v>#DIV/0!</v>
      </c>
      <c r="R4" s="13" t="e" cm="1">
        <f t="array" ref="R4">(F4+N4)/(D4-AA4)</f>
        <v>#DIV/0!</v>
      </c>
      <c r="S4" s="15" t="e" cm="1">
        <f t="array" ref="S4">R4+Q4</f>
        <v>#DIV/0!</v>
      </c>
      <c r="T4" s="128" t="e" cm="1">
        <f t="array" ref="T4">O4/(D4-(F4+N4))</f>
        <v>#DIV/0!</v>
      </c>
      <c r="U4" s="134" t="e" cm="1">
        <f t="array" ref="U4">RANK(R4,$R$4:$R$26)</f>
        <v>#DIV/0!</v>
      </c>
      <c r="V4" s="135" t="e" cm="1">
        <f t="array" ref="V4">RANK(S4,$S$4:$S$26)</f>
        <v>#DIV/0!</v>
      </c>
      <c r="W4" s="177" t="e" cm="1">
        <f t="array" ref="W4">RANK(C4,$C$4:$C$26)</f>
        <v>#N/A</v>
      </c>
      <c r="X4" s="176"/>
      <c r="Y4" s="48">
        <v>0</v>
      </c>
      <c r="Z4" s="48">
        <v>0</v>
      </c>
      <c r="AA4" s="133"/>
      <c r="AB4" s="133"/>
      <c r="AC4" s="133"/>
    </row>
    <row r="5" spans="1:29" ht="17.25" customHeight="1">
      <c r="A5" s="8" t="s">
        <v>25</v>
      </c>
      <c r="B5" s="175"/>
      <c r="C5" s="174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2"/>
      <c r="Q5" s="13"/>
      <c r="R5" s="13"/>
      <c r="S5" s="15"/>
      <c r="T5" s="128"/>
      <c r="U5" s="134"/>
      <c r="V5" s="135"/>
      <c r="W5" s="177"/>
      <c r="X5" s="176"/>
      <c r="Y5" s="133"/>
      <c r="Z5" s="133"/>
      <c r="AA5" s="133"/>
      <c r="AB5" s="133"/>
      <c r="AC5" s="133"/>
    </row>
    <row r="6" spans="1:29" ht="17.25" customHeight="1">
      <c r="A6" s="8" t="s">
        <v>26</v>
      </c>
      <c r="B6" s="175"/>
      <c r="C6" s="174"/>
      <c r="D6" s="175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2" t="e" cm="1">
        <f t="array" ref="P6">O6/D6</f>
        <v>#DIV/0!</v>
      </c>
      <c r="Q6" s="13" t="e" cm="1">
        <f t="array" ref="Q6">(G6*1+H6*2+I6*3+J6*4)/E6</f>
        <v>#DIV/0!</v>
      </c>
      <c r="R6" s="13" t="e" cm="1">
        <f t="array" ref="R6">(F6+N6)/(D6-AA6)</f>
        <v>#DIV/0!</v>
      </c>
      <c r="S6" s="15" t="e" cm="1">
        <f t="array" ref="S6">R6+Q6</f>
        <v>#DIV/0!</v>
      </c>
      <c r="T6" s="128" t="e" cm="1">
        <f t="array" ref="T6">O6/(D6-(F6+N6))</f>
        <v>#DIV/0!</v>
      </c>
      <c r="U6" s="134" t="e" cm="1">
        <f t="array" ref="U6">RANK(R6,$R$4:$R$26)</f>
        <v>#DIV/0!</v>
      </c>
      <c r="V6" s="135" t="e" cm="1">
        <f t="array" ref="V6">RANK(S6,$S$4:$S$26)</f>
        <v>#DIV/0!</v>
      </c>
      <c r="W6" s="177" t="e" cm="1">
        <f t="array" ref="W6">RANK(C6,$C$4:$C$26)</f>
        <v>#N/A</v>
      </c>
      <c r="X6" s="176"/>
      <c r="Y6" s="48">
        <v>2</v>
      </c>
      <c r="Z6" s="48">
        <v>3</v>
      </c>
      <c r="AA6" s="133"/>
      <c r="AB6" s="133"/>
      <c r="AC6" s="133"/>
    </row>
    <row r="7" spans="1:29" ht="17.25" customHeight="1">
      <c r="A7" s="8" t="s">
        <v>27</v>
      </c>
      <c r="B7" s="175"/>
      <c r="C7" s="174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  <c r="O7" s="175"/>
      <c r="P7" s="12"/>
      <c r="Q7" s="13"/>
      <c r="R7" s="13"/>
      <c r="S7" s="15"/>
      <c r="T7" s="128"/>
      <c r="U7" s="134"/>
      <c r="V7" s="135"/>
      <c r="W7" s="177"/>
      <c r="X7" s="176"/>
      <c r="Y7" s="133"/>
      <c r="Z7" s="133"/>
      <c r="AA7" s="133"/>
      <c r="AB7" s="133"/>
      <c r="AC7" s="133"/>
    </row>
    <row r="8" spans="1:29" ht="17.25" customHeight="1">
      <c r="A8" s="8" t="s">
        <v>28</v>
      </c>
      <c r="B8" s="175"/>
      <c r="C8" s="174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2" t="e" cm="1">
        <f t="array" ref="P8">O8/D8</f>
        <v>#DIV/0!</v>
      </c>
      <c r="Q8" s="13" t="e" cm="1">
        <f t="array" ref="Q8">(G8*1+H8*2+I8*3+J8*4)/E8</f>
        <v>#DIV/0!</v>
      </c>
      <c r="R8" s="13" cm="1">
        <f t="array" ref="R8">(F8+N8)/(D8-AA8)</f>
        <v>0</v>
      </c>
      <c r="S8" s="15" t="e" cm="1">
        <f t="array" ref="S8">R8+Q8</f>
        <v>#DIV/0!</v>
      </c>
      <c r="T8" s="128" t="e" cm="1">
        <f t="array" ref="T8">O8/(D8-(F8+N8))</f>
        <v>#DIV/0!</v>
      </c>
      <c r="U8" s="17" t="e" cm="1">
        <f t="array" ref="U8">RANK(R8,$R$4:$R$26)</f>
        <v>#DIV/0!</v>
      </c>
      <c r="V8" s="135" t="e" cm="1">
        <f t="array" ref="V8">RANK(S8,$S$4:$S$26)</f>
        <v>#DIV/0!</v>
      </c>
      <c r="W8" s="177" t="e" cm="1">
        <f t="array" ref="W8">RANK(C8,$C$4:$C$26)</f>
        <v>#N/A</v>
      </c>
      <c r="X8" s="176"/>
      <c r="Y8" s="48">
        <v>4</v>
      </c>
      <c r="Z8" s="48">
        <v>3</v>
      </c>
      <c r="AA8" s="48">
        <v>1</v>
      </c>
      <c r="AB8" s="133"/>
      <c r="AC8" s="133"/>
    </row>
    <row r="9" spans="1:29" ht="17.25" customHeight="1">
      <c r="A9" s="8" t="s">
        <v>29</v>
      </c>
      <c r="B9" s="175"/>
      <c r="C9" s="174"/>
      <c r="D9" s="175"/>
      <c r="E9" s="175"/>
      <c r="F9" s="175"/>
      <c r="G9" s="175"/>
      <c r="H9" s="175"/>
      <c r="I9" s="175"/>
      <c r="J9" s="175"/>
      <c r="K9" s="175"/>
      <c r="L9" s="175"/>
      <c r="M9" s="175"/>
      <c r="N9" s="175"/>
      <c r="O9" s="175"/>
      <c r="P9" s="12" t="e" cm="1">
        <f t="array" ref="P9">O9/D9</f>
        <v>#DIV/0!</v>
      </c>
      <c r="Q9" s="13" t="e" cm="1">
        <f t="array" ref="Q9">(G9*1+H9*2+I9*3+J9*4)/E9</f>
        <v>#DIV/0!</v>
      </c>
      <c r="R9" s="13" t="e" cm="1">
        <f t="array" ref="R9">(F9+N9)/(D9-AA9)</f>
        <v>#DIV/0!</v>
      </c>
      <c r="S9" s="15" t="e" cm="1">
        <f t="array" ref="S9">R9+Q9</f>
        <v>#DIV/0!</v>
      </c>
      <c r="T9" s="128" t="e" cm="1">
        <f t="array" ref="T9">O9/(D9-(F9+N9))</f>
        <v>#DIV/0!</v>
      </c>
      <c r="U9" s="134" t="e" cm="1">
        <f t="array" ref="U9">RANK(R9,$R$4:$R$26)</f>
        <v>#DIV/0!</v>
      </c>
      <c r="V9" s="135" t="e" cm="1">
        <f t="array" ref="V9">RANK(S9,$S$4:$S$26)</f>
        <v>#DIV/0!</v>
      </c>
      <c r="W9" s="177" t="e" cm="1">
        <f t="array" ref="W9">RANK(C9,$C$4:$C$26)</f>
        <v>#N/A</v>
      </c>
      <c r="X9" s="176"/>
      <c r="Y9" s="133"/>
      <c r="Z9" s="133"/>
      <c r="AA9" s="133"/>
      <c r="AB9" s="133"/>
      <c r="AC9" s="133"/>
    </row>
    <row r="10" spans="1:29" ht="17.25" customHeight="1">
      <c r="A10" s="8" t="s">
        <v>69</v>
      </c>
      <c r="B10" s="175"/>
      <c r="C10" s="174"/>
      <c r="D10" s="175"/>
      <c r="E10" s="175"/>
      <c r="F10" s="175"/>
      <c r="G10" s="175"/>
      <c r="H10" s="175"/>
      <c r="I10" s="175"/>
      <c r="J10" s="175"/>
      <c r="K10" s="175"/>
      <c r="L10" s="175"/>
      <c r="M10" s="175"/>
      <c r="N10" s="175"/>
      <c r="O10" s="175"/>
      <c r="P10" s="12" t="e" cm="1">
        <f t="array" ref="P10">O10/D10</f>
        <v>#DIV/0!</v>
      </c>
      <c r="Q10" s="13" t="e" cm="1">
        <f t="array" ref="Q10">(G10*1+H10*2+I10*3+J10*4)/E10</f>
        <v>#DIV/0!</v>
      </c>
      <c r="R10" s="13" t="e" cm="1">
        <f t="array" ref="R10">(F10+N10)/(D10-AA10)</f>
        <v>#DIV/0!</v>
      </c>
      <c r="S10" s="15" t="e" cm="1">
        <f t="array" ref="S10">R10+Q10</f>
        <v>#DIV/0!</v>
      </c>
      <c r="T10" s="128" t="e" cm="1">
        <f t="array" ref="T10">O10/(D10-(F10+N10))</f>
        <v>#DIV/0!</v>
      </c>
      <c r="U10" s="134" t="e" cm="1">
        <f t="array" ref="U10">RANK(R10,$R$4:$R$26)</f>
        <v>#DIV/0!</v>
      </c>
      <c r="V10" s="135" t="e" cm="1">
        <f t="array" ref="V10">RANK(S10,$S$4:$S$26)</f>
        <v>#DIV/0!</v>
      </c>
      <c r="W10" s="177" t="e" cm="1">
        <f t="array" ref="W10">RANK(C10,$C$4:$C$26)</f>
        <v>#N/A</v>
      </c>
      <c r="X10" s="176"/>
      <c r="Y10" s="133"/>
      <c r="Z10" s="133"/>
      <c r="AA10" s="133"/>
      <c r="AB10" s="133"/>
      <c r="AC10" s="133"/>
    </row>
    <row r="11" spans="1:29" ht="17.25" customHeight="1">
      <c r="A11" s="8" t="s">
        <v>30</v>
      </c>
      <c r="B11" s="175"/>
      <c r="C11" s="174"/>
      <c r="D11" s="175"/>
      <c r="E11" s="175"/>
      <c r="F11" s="175"/>
      <c r="G11" s="175"/>
      <c r="H11" s="175"/>
      <c r="I11" s="175"/>
      <c r="J11" s="175"/>
      <c r="K11" s="175"/>
      <c r="L11" s="175"/>
      <c r="M11" s="175"/>
      <c r="N11" s="175"/>
      <c r="O11" s="175"/>
      <c r="P11" s="12" t="e" cm="1">
        <f t="array" ref="P11">O11/D11</f>
        <v>#DIV/0!</v>
      </c>
      <c r="Q11" s="13" t="e" cm="1">
        <f t="array" ref="Q11">(G11*1+H11*2+I11*3+J11*4)/E11</f>
        <v>#DIV/0!</v>
      </c>
      <c r="R11" s="13" t="e" cm="1">
        <f t="array" ref="R11">(F11+N11)/(D11-AA11)</f>
        <v>#DIV/0!</v>
      </c>
      <c r="S11" s="15" t="e" cm="1">
        <f t="array" ref="S11">R11+Q11</f>
        <v>#DIV/0!</v>
      </c>
      <c r="T11" s="128" t="e" cm="1">
        <f t="array" ref="T11">O11/(D11-(F11+N11))</f>
        <v>#DIV/0!</v>
      </c>
      <c r="U11" s="134" t="e" cm="1">
        <f t="array" ref="U11">RANK(R11,$R$4:$R$26)</f>
        <v>#DIV/0!</v>
      </c>
      <c r="V11" s="135" t="e" cm="1">
        <f t="array" ref="V11">RANK(S11,$S$4:$S$26)</f>
        <v>#DIV/0!</v>
      </c>
      <c r="W11" s="177" t="e" cm="1">
        <f t="array" ref="W11">RANK(C11,$C$4:$C$26)</f>
        <v>#N/A</v>
      </c>
      <c r="X11" s="176"/>
      <c r="Y11" s="48">
        <v>3</v>
      </c>
      <c r="Z11" s="48">
        <v>0</v>
      </c>
      <c r="AA11" s="133"/>
      <c r="AB11" s="133"/>
      <c r="AC11" s="133"/>
    </row>
    <row r="12" spans="1:29" ht="17.25" customHeight="1">
      <c r="A12" s="8" t="s">
        <v>31</v>
      </c>
      <c r="B12" s="175"/>
      <c r="C12" s="174"/>
      <c r="D12" s="175"/>
      <c r="E12" s="175"/>
      <c r="F12" s="175"/>
      <c r="G12" s="175"/>
      <c r="H12" s="175"/>
      <c r="I12" s="175"/>
      <c r="J12" s="175"/>
      <c r="K12" s="175"/>
      <c r="L12" s="175"/>
      <c r="M12" s="175"/>
      <c r="N12" s="175"/>
      <c r="O12" s="175"/>
      <c r="P12" s="12" t="e" cm="1">
        <f t="array" ref="P12">O12/D12</f>
        <v>#DIV/0!</v>
      </c>
      <c r="Q12" s="13" t="e" cm="1">
        <f t="array" ref="Q12">(G12*1+H12*2+I12*3+J12*4)/E12</f>
        <v>#DIV/0!</v>
      </c>
      <c r="R12" s="13" t="e" cm="1">
        <f t="array" ref="R12">(F12+N12)/(D12-AA12)</f>
        <v>#DIV/0!</v>
      </c>
      <c r="S12" s="15" t="e" cm="1">
        <f t="array" ref="S12">R12+Q12</f>
        <v>#DIV/0!</v>
      </c>
      <c r="T12" s="128" t="e" cm="1">
        <f t="array" ref="T12">O12/(D12-(F12+N12))</f>
        <v>#DIV/0!</v>
      </c>
      <c r="U12" s="134" t="e" cm="1">
        <f t="array" ref="U12">RANK(R12,$R$4:$R$26)</f>
        <v>#DIV/0!</v>
      </c>
      <c r="V12" s="135" t="e" cm="1">
        <f t="array" ref="V12">RANK(S12,$S$4:$S$26)</f>
        <v>#DIV/0!</v>
      </c>
      <c r="W12" s="177" t="e" cm="1">
        <f t="array" ref="W12">RANK(C12,$C$4:$C$26)</f>
        <v>#N/A</v>
      </c>
      <c r="X12" s="176"/>
      <c r="Y12" s="48">
        <v>5</v>
      </c>
      <c r="Z12" s="48">
        <v>0</v>
      </c>
      <c r="AA12" s="133"/>
      <c r="AB12" s="133"/>
      <c r="AC12" s="133"/>
    </row>
    <row r="13" spans="1:29" ht="17.25" customHeight="1">
      <c r="A13" s="8" t="s">
        <v>32</v>
      </c>
      <c r="B13" s="175"/>
      <c r="C13" s="174"/>
      <c r="D13" s="175"/>
      <c r="E13" s="175"/>
      <c r="F13" s="175"/>
      <c r="G13" s="175"/>
      <c r="H13" s="175"/>
      <c r="I13" s="175"/>
      <c r="J13" s="175"/>
      <c r="K13" s="175"/>
      <c r="L13" s="175"/>
      <c r="M13" s="175"/>
      <c r="N13" s="175"/>
      <c r="O13" s="175"/>
      <c r="P13" s="12" t="e" cm="1">
        <f t="array" ref="P13">O13/D13</f>
        <v>#DIV/0!</v>
      </c>
      <c r="Q13" s="13" t="e" cm="1">
        <f t="array" ref="Q13">(G13*1+H13*2+I13*3+J13*4)/E13</f>
        <v>#DIV/0!</v>
      </c>
      <c r="R13" s="13" t="e" cm="1">
        <f t="array" ref="R13">(F13+N13)/(D13-AA13)</f>
        <v>#DIV/0!</v>
      </c>
      <c r="S13" s="15" t="e" cm="1">
        <f t="array" ref="S13">R13+Q13</f>
        <v>#DIV/0!</v>
      </c>
      <c r="T13" s="128" t="e" cm="1">
        <f t="array" ref="T13">O13/(D13-(F13+N13))</f>
        <v>#DIV/0!</v>
      </c>
      <c r="U13" s="134" t="e" cm="1">
        <f t="array" ref="U13">RANK(R13,$R$4:$R$26)</f>
        <v>#DIV/0!</v>
      </c>
      <c r="V13" s="135" t="e" cm="1">
        <f t="array" ref="V13">RANK(S13,$S$4:$S$26)</f>
        <v>#DIV/0!</v>
      </c>
      <c r="W13" s="177" t="e" cm="1">
        <f t="array" ref="W13">RANK(C13,$C$4:$C$26)</f>
        <v>#N/A</v>
      </c>
      <c r="X13" s="176"/>
      <c r="Y13" s="48">
        <v>0</v>
      </c>
      <c r="Z13" s="48">
        <v>0</v>
      </c>
      <c r="AA13" s="133"/>
      <c r="AB13" s="133"/>
      <c r="AC13" s="133"/>
    </row>
    <row r="14" spans="1:29" ht="17.25" customHeight="1">
      <c r="A14" s="8" t="s">
        <v>33</v>
      </c>
      <c r="B14" s="175"/>
      <c r="C14" s="174"/>
      <c r="D14" s="175"/>
      <c r="E14" s="175"/>
      <c r="F14" s="175"/>
      <c r="G14" s="175"/>
      <c r="H14" s="175"/>
      <c r="I14" s="175"/>
      <c r="J14" s="175"/>
      <c r="K14" s="175"/>
      <c r="L14" s="175"/>
      <c r="M14" s="175"/>
      <c r="N14" s="175"/>
      <c r="O14" s="175"/>
      <c r="P14" s="12" t="e" cm="1">
        <f t="array" ref="P14">O14/D14</f>
        <v>#DIV/0!</v>
      </c>
      <c r="Q14" s="13" t="e" cm="1">
        <f t="array" ref="Q14">(G14*1+H14*2+I14*3+J14*4)/E14</f>
        <v>#DIV/0!</v>
      </c>
      <c r="R14" s="13" t="e" cm="1">
        <f t="array" ref="R14">(F14+N14)/(D14-AA14)</f>
        <v>#DIV/0!</v>
      </c>
      <c r="S14" s="15" t="e" cm="1">
        <f t="array" ref="S14">R14+Q14</f>
        <v>#DIV/0!</v>
      </c>
      <c r="T14" s="128" t="e" cm="1">
        <f t="array" ref="T14">O14/(D14-(F14+N14))</f>
        <v>#DIV/0!</v>
      </c>
      <c r="U14" s="134" t="e" cm="1">
        <f t="array" ref="U14">RANK(R14,$R$4:$R$26)</f>
        <v>#DIV/0!</v>
      </c>
      <c r="V14" s="135" t="e" cm="1">
        <f t="array" ref="V14">RANK(S14,$S$4:$S$26)</f>
        <v>#DIV/0!</v>
      </c>
      <c r="W14" s="177" t="e" cm="1">
        <f t="array" ref="W14">RANK(C14,$C$4:$C$26)</f>
        <v>#N/A</v>
      </c>
      <c r="X14" s="176"/>
      <c r="Y14" s="48">
        <v>1</v>
      </c>
      <c r="Z14" s="48">
        <v>0</v>
      </c>
      <c r="AA14" s="133"/>
      <c r="AB14" s="48">
        <v>1</v>
      </c>
      <c r="AC14" s="133"/>
    </row>
    <row r="15" spans="1:29" ht="17.25" customHeight="1">
      <c r="A15" s="8" t="s">
        <v>35</v>
      </c>
      <c r="B15" s="175"/>
      <c r="C15" s="174"/>
      <c r="D15" s="175"/>
      <c r="E15" s="175"/>
      <c r="F15" s="175"/>
      <c r="G15" s="175"/>
      <c r="H15" s="175"/>
      <c r="I15" s="175"/>
      <c r="J15" s="175"/>
      <c r="K15" s="175"/>
      <c r="L15" s="175"/>
      <c r="M15" s="175"/>
      <c r="N15" s="175"/>
      <c r="O15" s="175"/>
      <c r="P15" s="12" t="e" cm="1">
        <f t="array" ref="P15">O15/D15</f>
        <v>#DIV/0!</v>
      </c>
      <c r="Q15" s="13" t="e" cm="1">
        <f t="array" ref="Q15">(G15*1+H15*2+I15*3+J15*4)/E15</f>
        <v>#DIV/0!</v>
      </c>
      <c r="R15" s="13" t="e" cm="1">
        <f t="array" ref="R15">(F15+N15)/(D15-AA15)</f>
        <v>#DIV/0!</v>
      </c>
      <c r="S15" s="15" t="e" cm="1">
        <f t="array" ref="S15">R15+Q15</f>
        <v>#DIV/0!</v>
      </c>
      <c r="T15" s="128" t="e" cm="1">
        <f t="array" ref="T15">O15/(D15-(F15+N15))</f>
        <v>#DIV/0!</v>
      </c>
      <c r="U15" s="134" t="e" cm="1">
        <f t="array" ref="U15">RANK(R15,$R$4:$R$26)</f>
        <v>#DIV/0!</v>
      </c>
      <c r="V15" s="135" t="e" cm="1">
        <f t="array" ref="V15">RANK(S15,$S$4:$S$26)</f>
        <v>#DIV/0!</v>
      </c>
      <c r="W15" s="177" t="e" cm="1">
        <f t="array" ref="W15">RANK(C15,$C$4:$C$26)</f>
        <v>#N/A</v>
      </c>
      <c r="X15" s="176"/>
      <c r="Y15" s="48">
        <v>1</v>
      </c>
      <c r="Z15" s="48">
        <v>0</v>
      </c>
      <c r="AA15" s="133"/>
      <c r="AB15" s="133"/>
      <c r="AC15" s="133"/>
    </row>
    <row r="16" spans="1:29" ht="17.25" customHeight="1">
      <c r="A16" s="8" t="s">
        <v>36</v>
      </c>
      <c r="B16" s="175"/>
      <c r="C16" s="174"/>
      <c r="D16" s="175"/>
      <c r="E16" s="175"/>
      <c r="F16" s="175"/>
      <c r="G16" s="175"/>
      <c r="H16" s="175"/>
      <c r="I16" s="175"/>
      <c r="J16" s="175"/>
      <c r="K16" s="175"/>
      <c r="L16" s="175"/>
      <c r="M16" s="175"/>
      <c r="N16" s="175"/>
      <c r="O16" s="175"/>
      <c r="P16" s="12"/>
      <c r="Q16" s="13"/>
      <c r="R16" s="13"/>
      <c r="S16" s="15"/>
      <c r="T16" s="128"/>
      <c r="U16" s="134"/>
      <c r="V16" s="135"/>
      <c r="W16" s="177"/>
      <c r="X16" s="176"/>
      <c r="Y16" s="133"/>
      <c r="Z16" s="133"/>
      <c r="AA16" s="133"/>
      <c r="AB16" s="133"/>
      <c r="AC16" s="133"/>
    </row>
    <row r="17" spans="1:29" ht="17.25" customHeight="1">
      <c r="A17" s="8" t="s">
        <v>37</v>
      </c>
      <c r="B17" s="175"/>
      <c r="C17" s="174"/>
      <c r="D17" s="175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2" t="e" cm="1">
        <f t="array" ref="P17">O17/D17</f>
        <v>#DIV/0!</v>
      </c>
      <c r="Q17" s="13" t="e" cm="1">
        <f t="array" ref="Q17">(G17*1+H17*2+I17*3+J17*4)/E17</f>
        <v>#DIV/0!</v>
      </c>
      <c r="R17" s="13" t="e" cm="1">
        <f t="array" ref="R17">(F17+N17)/(D17-AA17)</f>
        <v>#DIV/0!</v>
      </c>
      <c r="S17" s="15" t="e" cm="1">
        <f t="array" ref="S17">R17+Q17</f>
        <v>#DIV/0!</v>
      </c>
      <c r="T17" s="128" t="e" cm="1">
        <f t="array" ref="T17">O17/(D17-(F17+N17))</f>
        <v>#DIV/0!</v>
      </c>
      <c r="U17" s="134" t="e" cm="1">
        <f t="array" ref="U17">RANK(R17,$R$4:$R$26)</f>
        <v>#DIV/0!</v>
      </c>
      <c r="V17" s="135" t="e" cm="1">
        <f t="array" ref="V17">RANK(S17,$S$4:$S$26)</f>
        <v>#DIV/0!</v>
      </c>
      <c r="W17" s="177" t="e" cm="1">
        <f t="array" ref="W17">RANK(C17,$C$4:$C$26)</f>
        <v>#N/A</v>
      </c>
      <c r="X17" s="176"/>
      <c r="Y17" s="48">
        <v>2</v>
      </c>
      <c r="Z17" s="48">
        <v>1</v>
      </c>
      <c r="AA17" s="133"/>
      <c r="AB17" s="48">
        <v>2</v>
      </c>
      <c r="AC17" s="133"/>
    </row>
    <row r="18" spans="1:29" ht="17.25" customHeight="1">
      <c r="A18" s="8" t="s">
        <v>38</v>
      </c>
      <c r="B18" s="175"/>
      <c r="C18" s="174"/>
      <c r="D18" s="175"/>
      <c r="E18" s="175"/>
      <c r="F18" s="175"/>
      <c r="G18" s="175"/>
      <c r="H18" s="175"/>
      <c r="I18" s="175"/>
      <c r="J18" s="175"/>
      <c r="K18" s="175"/>
      <c r="L18" s="175"/>
      <c r="M18" s="175"/>
      <c r="N18" s="175"/>
      <c r="O18" s="175"/>
      <c r="P18" s="12" t="e" cm="1">
        <f t="array" ref="P18">O18/D18</f>
        <v>#DIV/0!</v>
      </c>
      <c r="Q18" s="13" t="e" cm="1">
        <f t="array" ref="Q18">(G18*1+H18*2+I18*3+J18*4)/E18</f>
        <v>#DIV/0!</v>
      </c>
      <c r="R18" s="13" t="e" cm="1">
        <f t="array" ref="R18">(F18+N18)/(D18-AA18)</f>
        <v>#DIV/0!</v>
      </c>
      <c r="S18" s="15" t="e" cm="1">
        <f t="array" ref="S18">R18+Q18</f>
        <v>#DIV/0!</v>
      </c>
      <c r="T18" s="128"/>
      <c r="U18" s="134" t="e" cm="1">
        <f t="array" ref="U18">RANK(R18,$R$4:$R$26)</f>
        <v>#DIV/0!</v>
      </c>
      <c r="V18" s="135" t="e" cm="1">
        <f t="array" ref="V18">RANK(S18,$S$4:$S$26)</f>
        <v>#DIV/0!</v>
      </c>
      <c r="W18" s="177" t="e" cm="1">
        <f t="array" ref="W18">RANK(C18,$C$4:$C$26)</f>
        <v>#N/A</v>
      </c>
      <c r="X18" s="176"/>
      <c r="Y18" s="48">
        <v>3</v>
      </c>
      <c r="Z18" s="48">
        <v>1</v>
      </c>
      <c r="AA18" s="133"/>
      <c r="AB18" s="133"/>
      <c r="AC18" s="133"/>
    </row>
    <row r="19" spans="1:29" ht="17.25" customHeight="1">
      <c r="A19" s="8" t="s">
        <v>39</v>
      </c>
      <c r="B19" s="175"/>
      <c r="C19" s="174"/>
      <c r="D19" s="175"/>
      <c r="E19" s="175"/>
      <c r="F19" s="175"/>
      <c r="G19" s="175"/>
      <c r="H19" s="175"/>
      <c r="I19" s="175"/>
      <c r="J19" s="175"/>
      <c r="K19" s="175"/>
      <c r="L19" s="175"/>
      <c r="M19" s="175"/>
      <c r="N19" s="175"/>
      <c r="O19" s="175"/>
      <c r="P19" s="12" t="e" cm="1">
        <f t="array" ref="P19">O19/D19</f>
        <v>#DIV/0!</v>
      </c>
      <c r="Q19" s="13" t="e" cm="1">
        <f t="array" ref="Q19">(G19*1+H19*2+I19*3+J19*4)/E19</f>
        <v>#DIV/0!</v>
      </c>
      <c r="R19" s="13" t="e" cm="1">
        <f t="array" ref="R19">(F19+N19)/(D19-AA19)</f>
        <v>#DIV/0!</v>
      </c>
      <c r="S19" s="15" t="e" cm="1">
        <f t="array" ref="S19">R19+Q19</f>
        <v>#DIV/0!</v>
      </c>
      <c r="T19" s="128" t="e" cm="1">
        <f t="array" ref="T19">O19/(D19-(F19+N19))</f>
        <v>#DIV/0!</v>
      </c>
      <c r="U19" s="134" t="e" cm="1">
        <f t="array" ref="U19">RANK(R19,$R$4:$R$26)</f>
        <v>#DIV/0!</v>
      </c>
      <c r="V19" s="135" t="e" cm="1">
        <f t="array" ref="V19">RANK(S19,$S$4:$S$26)</f>
        <v>#DIV/0!</v>
      </c>
      <c r="W19" s="177"/>
      <c r="X19" s="176"/>
      <c r="Y19" s="48">
        <v>0</v>
      </c>
      <c r="Z19" s="48">
        <v>1</v>
      </c>
      <c r="AA19" s="133"/>
      <c r="AB19" s="133"/>
      <c r="AC19" s="133"/>
    </row>
    <row r="20" spans="1:29" ht="17.25" customHeight="1">
      <c r="A20" s="8" t="s">
        <v>70</v>
      </c>
      <c r="B20" s="175"/>
      <c r="C20" s="174"/>
      <c r="D20" s="175"/>
      <c r="E20" s="175"/>
      <c r="F20" s="175"/>
      <c r="G20" s="175"/>
      <c r="H20" s="175"/>
      <c r="I20" s="175"/>
      <c r="J20" s="175"/>
      <c r="K20" s="175"/>
      <c r="L20" s="175"/>
      <c r="M20" s="175"/>
      <c r="N20" s="175"/>
      <c r="O20" s="175"/>
      <c r="P20" s="12" t="e" cm="1">
        <f t="array" ref="P20">O20/D20</f>
        <v>#DIV/0!</v>
      </c>
      <c r="Q20" s="13" t="e" cm="1">
        <f t="array" ref="Q20">(G20*1+H20*2+I20*3+J20*4)/E20</f>
        <v>#DIV/0!</v>
      </c>
      <c r="R20" s="13" t="e" cm="1">
        <f t="array" ref="R20">(F20+N20)/(D20-AA20)</f>
        <v>#DIV/0!</v>
      </c>
      <c r="S20" s="15" t="e" cm="1">
        <f t="array" ref="S20">R20+Q20</f>
        <v>#DIV/0!</v>
      </c>
      <c r="T20" s="128" t="e" cm="1">
        <f t="array" ref="T20">O20/(D20-(F20+N20))</f>
        <v>#DIV/0!</v>
      </c>
      <c r="U20" s="134" t="e" cm="1">
        <f t="array" ref="U20">RANK(R20,$R$4:$R$26)</f>
        <v>#DIV/0!</v>
      </c>
      <c r="V20" s="135" t="e" cm="1">
        <f t="array" ref="V20">RANK(S20,$S$4:$S$26)</f>
        <v>#DIV/0!</v>
      </c>
      <c r="W20" s="177" t="e" cm="1">
        <f t="array" ref="W20">RANK(C20,$C$4:$C$26)</f>
        <v>#N/A</v>
      </c>
      <c r="X20" s="176"/>
      <c r="Y20" s="48">
        <v>1</v>
      </c>
      <c r="Z20" s="48">
        <v>2</v>
      </c>
      <c r="AA20" s="133"/>
      <c r="AB20" s="133"/>
      <c r="AC20" s="133"/>
    </row>
    <row r="21" spans="1:29" ht="17.25" customHeight="1">
      <c r="A21" s="8" t="s">
        <v>40</v>
      </c>
      <c r="B21" s="175"/>
      <c r="C21" s="174"/>
      <c r="D21" s="175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2" t="e" cm="1">
        <f t="array" ref="P21">O21/D21</f>
        <v>#DIV/0!</v>
      </c>
      <c r="Q21" s="13" t="e" cm="1">
        <f t="array" ref="Q21">(G21*1+H21*2+I21*3+J21*4)/E21</f>
        <v>#DIV/0!</v>
      </c>
      <c r="R21" s="13" t="e" cm="1">
        <f t="array" ref="R21">(F21+N21)/(D21-AA21)</f>
        <v>#DIV/0!</v>
      </c>
      <c r="S21" s="15" t="e" cm="1">
        <f t="array" ref="S21">R21+Q21</f>
        <v>#DIV/0!</v>
      </c>
      <c r="T21" s="128" t="e" cm="1">
        <f t="array" ref="T21">O21/(D21-(F21+N21))</f>
        <v>#DIV/0!</v>
      </c>
      <c r="U21" s="134" t="e" cm="1">
        <f t="array" ref="U21">RANK(R21,$R$4:$R$26)</f>
        <v>#DIV/0!</v>
      </c>
      <c r="V21" s="135" t="e" cm="1">
        <f t="array" ref="V21">RANK(S21,$S$4:$S$26)</f>
        <v>#DIV/0!</v>
      </c>
      <c r="W21" s="177" t="e" cm="1">
        <f t="array" ref="W21">RANK(C21,$C$4:$C$26)</f>
        <v>#N/A</v>
      </c>
      <c r="X21" s="176"/>
      <c r="Y21" s="48">
        <v>1</v>
      </c>
      <c r="Z21" s="48">
        <v>0</v>
      </c>
      <c r="AA21" s="133"/>
      <c r="AB21" s="133"/>
      <c r="AC21" s="133"/>
    </row>
    <row r="22" spans="1:29" ht="17.25" customHeight="1">
      <c r="A22" s="8" t="s">
        <v>41</v>
      </c>
      <c r="B22" s="175"/>
      <c r="C22" s="174"/>
      <c r="D22" s="175"/>
      <c r="E22" s="175"/>
      <c r="F22" s="175"/>
      <c r="G22" s="175"/>
      <c r="H22" s="175"/>
      <c r="I22" s="175"/>
      <c r="J22" s="175"/>
      <c r="K22" s="175"/>
      <c r="L22" s="175"/>
      <c r="M22" s="175"/>
      <c r="N22" s="175"/>
      <c r="O22" s="175"/>
      <c r="P22" s="12"/>
      <c r="Q22" s="13"/>
      <c r="R22" s="13"/>
      <c r="S22" s="15"/>
      <c r="T22" s="128"/>
      <c r="U22" s="134"/>
      <c r="V22" s="135"/>
      <c r="W22" s="177"/>
      <c r="X22" s="176"/>
      <c r="Y22" s="133"/>
      <c r="Z22" s="133"/>
      <c r="AA22" s="133"/>
      <c r="AB22" s="133"/>
      <c r="AC22" s="133"/>
    </row>
    <row r="23" spans="1:29" ht="17.25" customHeight="1">
      <c r="A23" s="8" t="s">
        <v>42</v>
      </c>
      <c r="B23" s="175"/>
      <c r="C23" s="174"/>
      <c r="D23" s="175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2" t="e" cm="1">
        <f t="array" ref="P23">O23/D23</f>
        <v>#DIV/0!</v>
      </c>
      <c r="Q23" s="13" t="e" cm="1">
        <f t="array" ref="Q23">(G23*1+H23*2+I23*3+J23*4)/E23</f>
        <v>#DIV/0!</v>
      </c>
      <c r="R23" s="13" t="e" cm="1">
        <f t="array" ref="R23">(F23+N23)/(D23-AA23)</f>
        <v>#DIV/0!</v>
      </c>
      <c r="S23" s="15" t="e" cm="1">
        <f t="array" ref="S23">R23+Q23</f>
        <v>#DIV/0!</v>
      </c>
      <c r="T23" s="128" t="e" cm="1">
        <f t="array" ref="T23">O23/(D23-(F23+N23))</f>
        <v>#DIV/0!</v>
      </c>
      <c r="U23" s="134" t="e" cm="1">
        <f t="array" ref="U23">RANK(R23,$R$4:$R$26)</f>
        <v>#DIV/0!</v>
      </c>
      <c r="V23" s="135" t="e" cm="1">
        <f t="array" ref="V23">RANK(S23,$S$4:$S$26)</f>
        <v>#DIV/0!</v>
      </c>
      <c r="W23" s="177" t="e" cm="1">
        <f t="array" ref="W23">RANK(C23,$C$4:$C$26)</f>
        <v>#N/A</v>
      </c>
      <c r="X23" s="176"/>
      <c r="Y23" s="48">
        <v>0</v>
      </c>
      <c r="Z23" s="48">
        <v>0</v>
      </c>
      <c r="AA23" s="133"/>
      <c r="AB23" s="133"/>
      <c r="AC23" s="133"/>
    </row>
    <row r="24" spans="1:29" ht="17.25" customHeight="1">
      <c r="A24" s="8" t="s">
        <v>43</v>
      </c>
      <c r="B24" s="175"/>
      <c r="C24" s="174"/>
      <c r="D24" s="175"/>
      <c r="E24" s="175"/>
      <c r="F24" s="175"/>
      <c r="G24" s="175"/>
      <c r="H24" s="175"/>
      <c r="I24" s="175"/>
      <c r="J24" s="175"/>
      <c r="K24" s="175"/>
      <c r="L24" s="175"/>
      <c r="M24" s="175"/>
      <c r="N24" s="175"/>
      <c r="O24" s="175"/>
      <c r="P24" s="12" t="e" cm="1">
        <f t="array" ref="P24">O24/D24</f>
        <v>#DIV/0!</v>
      </c>
      <c r="Q24" s="13" t="e" cm="1">
        <f t="array" ref="Q24">(G24*1+H24*2+I24*3+J24*4)/E24</f>
        <v>#DIV/0!</v>
      </c>
      <c r="R24" s="13" t="e" cm="1">
        <f t="array" ref="R24">(F24+N24)/(D24-AA24)</f>
        <v>#DIV/0!</v>
      </c>
      <c r="S24" s="15" t="e" cm="1">
        <f t="array" ref="S24">R24+Q24</f>
        <v>#DIV/0!</v>
      </c>
      <c r="T24" s="128" t="e" cm="1">
        <f t="array" ref="T24">O24/(D24-(F24+N24))</f>
        <v>#DIV/0!</v>
      </c>
      <c r="U24" s="134" t="e" cm="1">
        <f t="array" ref="U24">RANK(R24,$R$4:$R$26)</f>
        <v>#DIV/0!</v>
      </c>
      <c r="V24" s="135" t="e" cm="1">
        <f t="array" ref="V24">RANK(S24,$S$4:$S$26)</f>
        <v>#DIV/0!</v>
      </c>
      <c r="W24" s="177" t="e" cm="1">
        <f t="array" ref="W24">RANK(C24,$C$4:$C$26)</f>
        <v>#N/A</v>
      </c>
      <c r="X24" s="176"/>
      <c r="Y24" s="48">
        <v>3</v>
      </c>
      <c r="Z24" s="48">
        <v>0</v>
      </c>
      <c r="AA24" s="133"/>
      <c r="AB24" s="133"/>
      <c r="AC24" s="133"/>
    </row>
    <row r="25" spans="1:29" ht="17.25" customHeight="1">
      <c r="A25" s="8" t="s">
        <v>71</v>
      </c>
      <c r="B25" s="10">
        <v>1</v>
      </c>
      <c r="C25" s="174"/>
      <c r="D25" s="10">
        <v>2</v>
      </c>
      <c r="E25" s="10">
        <v>2</v>
      </c>
      <c r="F25" s="10">
        <v>1</v>
      </c>
      <c r="G25" s="10" cm="1">
        <f t="array" ref="G25">F25-(H25+I25+J25)</f>
        <v>1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75"/>
      <c r="N25" s="175"/>
      <c r="O25" s="175"/>
      <c r="P25" s="12" cm="1">
        <f t="array" ref="P25">O25/D25</f>
        <v>0</v>
      </c>
      <c r="Q25" s="13" cm="1">
        <f t="array" ref="Q25">(G25*1+H25*2+I25*3+J25*4)/E25</f>
        <v>0.5</v>
      </c>
      <c r="R25" s="13" cm="1">
        <f t="array" ref="R25">(F25+N25)/(D25-AA25)</f>
        <v>0.5</v>
      </c>
      <c r="S25" s="15" cm="1">
        <f t="array" ref="S25">R25+Q25</f>
        <v>1</v>
      </c>
      <c r="T25" s="128" cm="1">
        <f t="array" ref="T25">O25/(D25-(F25+N25))</f>
        <v>0</v>
      </c>
      <c r="U25" s="17" t="e" cm="1">
        <f t="array" ref="U25">RANK(R25,$R$4:$R$26)</f>
        <v>#DIV/0!</v>
      </c>
      <c r="V25" s="18" t="e" cm="1">
        <f t="array" ref="V25">RANK(S25,$S$4:$S$26)</f>
        <v>#DIV/0!</v>
      </c>
      <c r="W25" s="177" t="e" cm="1">
        <f t="array" ref="W25">RANK(C25,$C$4:$C$26)</f>
        <v>#N/A</v>
      </c>
      <c r="X25" s="176"/>
      <c r="Y25" s="48">
        <v>3</v>
      </c>
      <c r="Z25" s="48">
        <v>0</v>
      </c>
      <c r="AA25" s="133"/>
      <c r="AB25" s="133"/>
      <c r="AC25" s="133"/>
    </row>
    <row r="26" spans="1:29" ht="17.25" customHeight="1">
      <c r="A26" s="8" t="s">
        <v>44</v>
      </c>
      <c r="B26" s="175"/>
      <c r="C26" s="174"/>
      <c r="D26" s="175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2" t="e" cm="1">
        <f t="array" ref="P26">O26/D26</f>
        <v>#DIV/0!</v>
      </c>
      <c r="Q26" s="13" t="e" cm="1">
        <f t="array" ref="Q26">(G26*1+H26*2+I26*3+J26*4)/E26</f>
        <v>#DIV/0!</v>
      </c>
      <c r="R26" s="13" t="e" cm="1">
        <f t="array" ref="R26">(F26+N26)/(D26-AA26)</f>
        <v>#DIV/0!</v>
      </c>
      <c r="S26" s="15" t="e" cm="1">
        <f t="array" ref="S26">R26+Q26</f>
        <v>#DIV/0!</v>
      </c>
      <c r="T26" s="128" t="e" cm="1">
        <f t="array" ref="T26">O26/(D26-(F26+N26))</f>
        <v>#DIV/0!</v>
      </c>
      <c r="U26" s="134" t="e" cm="1">
        <f t="array" ref="U26">RANK(R26,$R$4:$R$26)</f>
        <v>#DIV/0!</v>
      </c>
      <c r="V26" s="135" t="e" cm="1">
        <f t="array" ref="V26">RANK(S26,$S$4:$S$26)</f>
        <v>#DIV/0!</v>
      </c>
      <c r="W26" s="177" t="e" cm="1">
        <f t="array" ref="W26">RANK(C26,$C$4:$C$26)</f>
        <v>#N/A</v>
      </c>
      <c r="X26" s="176"/>
      <c r="Y26" s="48">
        <v>1</v>
      </c>
      <c r="Z26" s="48">
        <v>0</v>
      </c>
      <c r="AA26" s="133"/>
      <c r="AB26" s="133"/>
      <c r="AC26" s="48">
        <v>1</v>
      </c>
    </row>
    <row r="27" spans="1:29" ht="17.25" customHeight="1">
      <c r="A27" s="29" t="s">
        <v>45</v>
      </c>
      <c r="B27" s="103"/>
      <c r="C27" s="105" cm="1">
        <f t="array" ref="C27">F27/E27</f>
        <v>0.5</v>
      </c>
      <c r="D27" s="49" cm="1">
        <f t="array" ref="D27">SUM(D4:D26)</f>
        <v>2</v>
      </c>
      <c r="E27" s="49" cm="1">
        <f t="array" ref="E27">SUM(E4:E26)</f>
        <v>2</v>
      </c>
      <c r="F27" s="49" cm="1">
        <f t="array" ref="F27">SUM(F4:F26)</f>
        <v>1</v>
      </c>
      <c r="G27" s="49" cm="1">
        <f t="array" ref="G27">SUM(G4:G26)</f>
        <v>1</v>
      </c>
      <c r="H27" s="49" cm="1">
        <f t="array" ref="H27">SUM(H4:H26)</f>
        <v>0</v>
      </c>
      <c r="I27" s="49" cm="1">
        <f t="array" ref="I27">SUM(I4:I26)</f>
        <v>0</v>
      </c>
      <c r="J27" s="49" cm="1">
        <f t="array" ref="J27">SUM(J4:J26)</f>
        <v>0</v>
      </c>
      <c r="K27" s="49" cm="1">
        <f t="array" ref="K27">SUM(K4:K26)</f>
        <v>0</v>
      </c>
      <c r="L27" s="49" cm="1">
        <f t="array" ref="L27">SUM(L4:L26)</f>
        <v>0</v>
      </c>
      <c r="M27" s="49" cm="1">
        <f t="array" ref="M27">SUM(M4:M26)</f>
        <v>0</v>
      </c>
      <c r="N27" s="49" cm="1">
        <f t="array" ref="N27">SUM(N4:N26)</f>
        <v>0</v>
      </c>
      <c r="O27" s="49" cm="1">
        <f t="array" ref="O27">SUM(O4:O26)</f>
        <v>0</v>
      </c>
      <c r="P27" s="33" cm="1">
        <f t="array" ref="P27">O27/D27</f>
        <v>0</v>
      </c>
      <c r="Q27" s="105"/>
      <c r="R27" s="105"/>
      <c r="S27" s="100"/>
      <c r="T27" s="31"/>
      <c r="U27" s="31"/>
      <c r="V27" s="31"/>
      <c r="W27" s="31"/>
      <c r="X27" s="58"/>
      <c r="Y27" s="136" cm="1">
        <f t="array" ref="Y27">SUM(Y4:Y26)</f>
        <v>30</v>
      </c>
      <c r="Z27" s="136" cm="1">
        <f t="array" ref="Z27">SUM(Z4:Z26)</f>
        <v>11</v>
      </c>
      <c r="AA27" s="136" cm="1">
        <f t="array" ref="AA27">SUM(AA4:AA26)</f>
        <v>1</v>
      </c>
      <c r="AB27" s="136" cm="1">
        <f t="array" ref="AB27">SUM(AB4:AB26)</f>
        <v>3</v>
      </c>
      <c r="AC27" s="136" cm="1">
        <f t="array" ref="AC27">SUM(AC4:AC26)</f>
        <v>1</v>
      </c>
    </row>
    <row r="28" spans="1:29" ht="17.25" customHeight="1">
      <c r="A28" s="111"/>
      <c r="B28" s="112"/>
      <c r="C28" s="113"/>
      <c r="D28" s="112"/>
      <c r="E28" s="112"/>
      <c r="F28" s="112"/>
      <c r="G28" s="112"/>
      <c r="H28" s="112"/>
      <c r="I28" s="112"/>
      <c r="J28" s="112"/>
      <c r="K28" s="112"/>
      <c r="L28" s="112"/>
      <c r="M28" s="112"/>
      <c r="N28" s="112"/>
      <c r="O28" s="112"/>
      <c r="P28" s="112"/>
      <c r="Q28" s="113"/>
      <c r="R28" s="113"/>
      <c r="S28" s="114"/>
      <c r="T28" s="34"/>
      <c r="U28" s="34"/>
      <c r="V28" s="34"/>
      <c r="W28" s="34"/>
      <c r="X28" s="3"/>
      <c r="Y28" s="34"/>
      <c r="Z28" s="34"/>
      <c r="AA28" s="34"/>
      <c r="AB28" s="34"/>
      <c r="AC28" s="34"/>
    </row>
    <row r="29" spans="1:29" ht="17.25" customHeight="1">
      <c r="A29" s="115" t="s">
        <v>46</v>
      </c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6"/>
      <c r="T29" s="6"/>
      <c r="U29" s="6"/>
      <c r="V29" s="6"/>
      <c r="W29" s="6"/>
      <c r="X29" s="3"/>
      <c r="Y29" s="6"/>
      <c r="Z29" s="6"/>
      <c r="AA29" s="3"/>
      <c r="AB29" s="3"/>
      <c r="AC29" s="3"/>
    </row>
    <row r="30" spans="1:29" ht="34.5" customHeight="1">
      <c r="A30" s="8" t="s">
        <v>2</v>
      </c>
      <c r="B30" s="8" t="s">
        <v>3</v>
      </c>
      <c r="C30" s="8" t="s">
        <v>47</v>
      </c>
      <c r="D30" s="8" t="s">
        <v>48</v>
      </c>
      <c r="E30" s="8" t="s">
        <v>49</v>
      </c>
      <c r="F30" s="8" t="s">
        <v>50</v>
      </c>
      <c r="G30" s="8" t="s">
        <v>6</v>
      </c>
      <c r="H30" s="8" t="s">
        <v>51</v>
      </c>
      <c r="I30" s="8" t="s">
        <v>52</v>
      </c>
      <c r="J30" s="8" t="s">
        <v>53</v>
      </c>
      <c r="K30" s="8" t="s">
        <v>54</v>
      </c>
      <c r="L30" s="8" t="s">
        <v>55</v>
      </c>
      <c r="M30" s="8" t="s">
        <v>56</v>
      </c>
      <c r="N30" s="8" t="s">
        <v>57</v>
      </c>
      <c r="O30" s="8" t="s">
        <v>58</v>
      </c>
      <c r="P30" s="8" t="s">
        <v>59</v>
      </c>
      <c r="Q30" s="8" t="s">
        <v>60</v>
      </c>
      <c r="R30" s="8" t="s">
        <v>61</v>
      </c>
      <c r="S30" s="8" t="s">
        <v>116</v>
      </c>
      <c r="T30" s="8" t="s">
        <v>63</v>
      </c>
      <c r="U30" s="8" t="s">
        <v>163</v>
      </c>
      <c r="V30" s="8" t="s">
        <v>65</v>
      </c>
      <c r="W30" s="8" t="s">
        <v>117</v>
      </c>
      <c r="X30" s="58"/>
      <c r="Y30" s="8" t="s">
        <v>118</v>
      </c>
      <c r="Z30" s="8" t="s">
        <v>119</v>
      </c>
      <c r="AA30" s="9"/>
      <c r="AB30" s="3"/>
      <c r="AC30" s="3"/>
    </row>
    <row r="31" spans="1:29" ht="17.25" customHeight="1">
      <c r="A31" s="8" t="s">
        <v>24</v>
      </c>
      <c r="B31" s="175"/>
      <c r="C31" s="175"/>
      <c r="D31" s="175"/>
      <c r="E31" s="175"/>
      <c r="F31" s="175"/>
      <c r="G31" s="175"/>
      <c r="H31" s="39"/>
      <c r="I31" s="175"/>
      <c r="J31" s="175"/>
      <c r="K31" s="175"/>
      <c r="L31" s="175"/>
      <c r="M31" s="175"/>
      <c r="N31" s="175"/>
      <c r="O31" s="175"/>
      <c r="P31" s="40" t="e" cm="1">
        <f t="array" ref="P31">O31*9/H31</f>
        <v>#DIV/0!</v>
      </c>
      <c r="Q31" s="41" t="e" cm="1">
        <f t="array" ref="Q31">(K31+L31)/H31</f>
        <v>#DIV/0!</v>
      </c>
      <c r="R31" s="42" t="e" cm="1">
        <f t="array" ref="R31">I31/H31</f>
        <v>#DIV/0!</v>
      </c>
      <c r="S31" s="42" t="e" cm="1">
        <f t="array" ref="S31">H31/B31</f>
        <v>#DIV/0!</v>
      </c>
      <c r="T31" s="41" t="e" cm="1">
        <f t="array" ref="T31">M31/H31</f>
        <v>#DIV/0!</v>
      </c>
      <c r="U31" s="44" t="e" cm="1">
        <f t="array" ref="U31">O31/N31</f>
        <v>#DIV/0!</v>
      </c>
      <c r="V31" s="41" t="e" cm="1">
        <f t="array" ref="V31">(I31+K31+L31)/H31</f>
        <v>#DIV/0!</v>
      </c>
      <c r="W31" s="145" t="e" cm="1">
        <f t="array" ref="W31">(L31+K31)/F31*100</f>
        <v>#DIV/0!</v>
      </c>
      <c r="X31" s="180"/>
      <c r="Y31" s="172"/>
      <c r="Z31" s="172"/>
      <c r="AA31" s="9"/>
      <c r="AB31" s="3"/>
      <c r="AC31" s="3"/>
    </row>
    <row r="32" spans="1:29" ht="17.25" customHeight="1">
      <c r="A32" s="8" t="s">
        <v>27</v>
      </c>
      <c r="B32" s="175"/>
      <c r="C32" s="175"/>
      <c r="D32" s="175"/>
      <c r="E32" s="175"/>
      <c r="F32" s="175"/>
      <c r="G32" s="175"/>
      <c r="H32" s="39"/>
      <c r="I32" s="175"/>
      <c r="J32" s="175"/>
      <c r="K32" s="175"/>
      <c r="L32" s="175"/>
      <c r="M32" s="175"/>
      <c r="N32" s="175"/>
      <c r="O32" s="175"/>
      <c r="P32" s="40" t="e" cm="1">
        <f t="array" ref="P32">O32*9/H32</f>
        <v>#DIV/0!</v>
      </c>
      <c r="Q32" s="41" t="e" cm="1">
        <f t="array" ref="Q32">(K32+L32)/H32</f>
        <v>#DIV/0!</v>
      </c>
      <c r="R32" s="42" t="e" cm="1">
        <f t="array" ref="R32">I32/H32</f>
        <v>#DIV/0!</v>
      </c>
      <c r="S32" s="42" t="e" cm="1">
        <f t="array" ref="S32">H32/B32</f>
        <v>#DIV/0!</v>
      </c>
      <c r="T32" s="41" t="e" cm="1">
        <f t="array" ref="T32">M32/H32</f>
        <v>#DIV/0!</v>
      </c>
      <c r="U32" s="44" t="e" cm="1">
        <f t="array" ref="U32">O32/N32</f>
        <v>#DIV/0!</v>
      </c>
      <c r="V32" s="41" t="e" cm="1">
        <f t="array" ref="V32">(I32+K32+L32)/H32</f>
        <v>#DIV/0!</v>
      </c>
      <c r="W32" s="145" t="e" cm="1">
        <f t="array" ref="W32">(L32+K32)/F32*100</f>
        <v>#DIV/0!</v>
      </c>
      <c r="X32" s="180"/>
      <c r="Y32" s="172"/>
      <c r="Z32" s="172"/>
      <c r="AA32" s="9"/>
      <c r="AB32" s="3"/>
      <c r="AC32" s="3"/>
    </row>
    <row r="33" spans="1:29" ht="17.25" customHeight="1">
      <c r="A33" s="8" t="s">
        <v>29</v>
      </c>
      <c r="B33" s="175"/>
      <c r="C33" s="175"/>
      <c r="D33" s="175"/>
      <c r="E33" s="175"/>
      <c r="F33" s="175"/>
      <c r="G33" s="175"/>
      <c r="H33" s="39"/>
      <c r="I33" s="175"/>
      <c r="J33" s="175"/>
      <c r="K33" s="175"/>
      <c r="L33" s="175"/>
      <c r="M33" s="175"/>
      <c r="N33" s="175"/>
      <c r="O33" s="175"/>
      <c r="P33" s="40" t="e" cm="1">
        <f t="array" ref="P33">O33*9/H33</f>
        <v>#DIV/0!</v>
      </c>
      <c r="Q33" s="41" t="e" cm="1">
        <f t="array" ref="Q33">(K33+L33)/H33</f>
        <v>#DIV/0!</v>
      </c>
      <c r="R33" s="42" t="e" cm="1">
        <f t="array" ref="R33">I33/H33</f>
        <v>#DIV/0!</v>
      </c>
      <c r="S33" s="42" t="e" cm="1">
        <f t="array" ref="S33">H33/B33</f>
        <v>#DIV/0!</v>
      </c>
      <c r="T33" s="41" t="e" cm="1">
        <f t="array" ref="T33">M33/H33</f>
        <v>#DIV/0!</v>
      </c>
      <c r="U33" s="44" t="e" cm="1">
        <f t="array" ref="U33">O33/N33</f>
        <v>#DIV/0!</v>
      </c>
      <c r="V33" s="41" t="e" cm="1">
        <f t="array" ref="V33">(I33+K33+L33)/H33</f>
        <v>#DIV/0!</v>
      </c>
      <c r="W33" s="145" t="e" cm="1">
        <f t="array" ref="W33">(L33+K33)/F33*100</f>
        <v>#DIV/0!</v>
      </c>
      <c r="X33" s="180"/>
      <c r="Y33" s="172"/>
      <c r="Z33" s="172"/>
      <c r="AA33" s="9"/>
      <c r="AB33" s="3"/>
      <c r="AC33" s="3"/>
    </row>
    <row r="34" spans="1:29" ht="17.25" customHeight="1">
      <c r="A34" s="8" t="s">
        <v>33</v>
      </c>
      <c r="B34" s="175"/>
      <c r="C34" s="175"/>
      <c r="D34" s="175"/>
      <c r="E34" s="175"/>
      <c r="F34" s="175"/>
      <c r="G34" s="175"/>
      <c r="H34" s="39"/>
      <c r="I34" s="175"/>
      <c r="J34" s="175"/>
      <c r="K34" s="175"/>
      <c r="L34" s="175"/>
      <c r="M34" s="175"/>
      <c r="N34" s="175"/>
      <c r="O34" s="175"/>
      <c r="P34" s="40" t="e" cm="1">
        <f t="array" ref="P34">O34*9/H34</f>
        <v>#DIV/0!</v>
      </c>
      <c r="Q34" s="41" t="e" cm="1">
        <f t="array" ref="Q34">(K34+L34)/H34</f>
        <v>#DIV/0!</v>
      </c>
      <c r="R34" s="42" t="e" cm="1">
        <f t="array" ref="R34">I34/H34</f>
        <v>#DIV/0!</v>
      </c>
      <c r="S34" s="42" t="e" cm="1">
        <f t="array" ref="S34">H34/B34</f>
        <v>#DIV/0!</v>
      </c>
      <c r="T34" s="41" t="e" cm="1">
        <f t="array" ref="T34">M34/H34</f>
        <v>#DIV/0!</v>
      </c>
      <c r="U34" s="44" t="e" cm="1">
        <f t="array" ref="U34">O34/N34</f>
        <v>#DIV/0!</v>
      </c>
      <c r="V34" s="41" t="e" cm="1">
        <f t="array" ref="V34">(I34+K34+L34)/H34</f>
        <v>#DIV/0!</v>
      </c>
      <c r="W34" s="145" t="e" cm="1">
        <f t="array" ref="W34">(L34+K34)/F34*100</f>
        <v>#DIV/0!</v>
      </c>
      <c r="X34" s="180"/>
      <c r="Y34" s="172"/>
      <c r="Z34" s="172"/>
      <c r="AA34" s="9"/>
      <c r="AB34" s="3"/>
      <c r="AC34" s="3"/>
    </row>
    <row r="35" spans="1:29" ht="17.25" customHeight="1">
      <c r="A35" s="8" t="s">
        <v>35</v>
      </c>
      <c r="B35" s="175"/>
      <c r="C35" s="175"/>
      <c r="D35" s="175"/>
      <c r="E35" s="175"/>
      <c r="F35" s="175"/>
      <c r="G35" s="175"/>
      <c r="H35" s="39"/>
      <c r="I35" s="175"/>
      <c r="J35" s="175"/>
      <c r="K35" s="175"/>
      <c r="L35" s="175"/>
      <c r="M35" s="175"/>
      <c r="N35" s="175"/>
      <c r="O35" s="175"/>
      <c r="P35" s="40" t="e" cm="1">
        <f t="array" ref="P35">O35*9/H35</f>
        <v>#DIV/0!</v>
      </c>
      <c r="Q35" s="41" t="e" cm="1">
        <f t="array" ref="Q35">(K35+L35)/H35</f>
        <v>#DIV/0!</v>
      </c>
      <c r="R35" s="42" t="e" cm="1">
        <f t="array" ref="R35">I35/H35</f>
        <v>#DIV/0!</v>
      </c>
      <c r="S35" s="42" t="e" cm="1">
        <f t="array" ref="S35">H35/B35</f>
        <v>#DIV/0!</v>
      </c>
      <c r="T35" s="41" t="e" cm="1">
        <f t="array" ref="T35">M35/H35</f>
        <v>#DIV/0!</v>
      </c>
      <c r="U35" s="44" t="e" cm="1">
        <f t="array" ref="U35">O35/N35</f>
        <v>#DIV/0!</v>
      </c>
      <c r="V35" s="41" t="e" cm="1">
        <f t="array" ref="V35">(I35+K35+L35)/H35</f>
        <v>#DIV/0!</v>
      </c>
      <c r="W35" s="145" t="e" cm="1">
        <f t="array" ref="W35">(L35+K35)/F35*100</f>
        <v>#DIV/0!</v>
      </c>
      <c r="X35" s="180"/>
      <c r="Y35" s="172"/>
      <c r="Z35" s="172"/>
      <c r="AA35" s="9"/>
      <c r="AB35" s="3"/>
      <c r="AC35" s="3"/>
    </row>
    <row r="36" spans="1:29" ht="17.25" customHeight="1">
      <c r="A36" s="8" t="s">
        <v>36</v>
      </c>
      <c r="B36" s="175"/>
      <c r="C36" s="175"/>
      <c r="D36" s="175"/>
      <c r="E36" s="175"/>
      <c r="F36" s="175"/>
      <c r="G36" s="175"/>
      <c r="H36" s="39"/>
      <c r="I36" s="175"/>
      <c r="J36" s="175"/>
      <c r="K36" s="175"/>
      <c r="L36" s="175"/>
      <c r="M36" s="175"/>
      <c r="N36" s="175"/>
      <c r="O36" s="175"/>
      <c r="P36" s="40" t="e" cm="1">
        <f t="array" ref="P36">O36*9/H36</f>
        <v>#DIV/0!</v>
      </c>
      <c r="Q36" s="41" t="e" cm="1">
        <f t="array" ref="Q36">(K36+L36)/H36</f>
        <v>#DIV/0!</v>
      </c>
      <c r="R36" s="42" t="e" cm="1">
        <f t="array" ref="R36">I36/H36</f>
        <v>#DIV/0!</v>
      </c>
      <c r="S36" s="42" t="e" cm="1">
        <f t="array" ref="S36">H36/B36</f>
        <v>#DIV/0!</v>
      </c>
      <c r="T36" s="41" t="e" cm="1">
        <f t="array" ref="T36">M36/H36</f>
        <v>#DIV/0!</v>
      </c>
      <c r="U36" s="44" t="e" cm="1">
        <f t="array" ref="U36">O36/N36</f>
        <v>#DIV/0!</v>
      </c>
      <c r="V36" s="41" t="e" cm="1">
        <f t="array" ref="V36">(I36+K36+L36)/H36</f>
        <v>#DIV/0!</v>
      </c>
      <c r="W36" s="145" t="e" cm="1">
        <f t="array" ref="W36">(L36+K36)/F36*100</f>
        <v>#DIV/0!</v>
      </c>
      <c r="X36" s="180"/>
      <c r="Y36" s="172"/>
      <c r="Z36" s="172"/>
      <c r="AA36" s="9"/>
      <c r="AB36" s="3"/>
      <c r="AC36" s="3"/>
    </row>
    <row r="37" spans="1:29" ht="17.25" customHeight="1">
      <c r="A37" s="8" t="s">
        <v>37</v>
      </c>
      <c r="B37" s="175"/>
      <c r="C37" s="175"/>
      <c r="D37" s="175"/>
      <c r="E37" s="175"/>
      <c r="F37" s="175"/>
      <c r="G37" s="175"/>
      <c r="H37" s="39"/>
      <c r="I37" s="175"/>
      <c r="J37" s="175"/>
      <c r="K37" s="175"/>
      <c r="L37" s="175"/>
      <c r="M37" s="175"/>
      <c r="N37" s="175"/>
      <c r="O37" s="175"/>
      <c r="P37" s="40" t="e" cm="1">
        <f t="array" ref="P37">O37*9/H37</f>
        <v>#DIV/0!</v>
      </c>
      <c r="Q37" s="41" t="e" cm="1">
        <f t="array" ref="Q37">(K37+L37)/H37</f>
        <v>#DIV/0!</v>
      </c>
      <c r="R37" s="42" t="e" cm="1">
        <f t="array" ref="R37">I37/H37</f>
        <v>#DIV/0!</v>
      </c>
      <c r="S37" s="42" t="e" cm="1">
        <f t="array" ref="S37">H37/B37</f>
        <v>#DIV/0!</v>
      </c>
      <c r="T37" s="41" t="e" cm="1">
        <f t="array" ref="T37">M37/H37</f>
        <v>#DIV/0!</v>
      </c>
      <c r="U37" s="44" t="e" cm="1">
        <f t="array" ref="U37">O37/N37</f>
        <v>#DIV/0!</v>
      </c>
      <c r="V37" s="41" t="e" cm="1">
        <f t="array" ref="V37">(I37+K37+L37)/H37</f>
        <v>#DIV/0!</v>
      </c>
      <c r="W37" s="145" t="e" cm="1">
        <f t="array" ref="W37">(L37+K37)/F37*100</f>
        <v>#DIV/0!</v>
      </c>
      <c r="X37" s="180"/>
      <c r="Y37" s="172"/>
      <c r="Z37" s="172"/>
      <c r="AA37" s="9"/>
      <c r="AB37" s="3"/>
      <c r="AC37" s="3"/>
    </row>
    <row r="38" spans="1:29" ht="17.25" customHeight="1">
      <c r="A38" s="8" t="s">
        <v>40</v>
      </c>
      <c r="B38" s="175"/>
      <c r="C38" s="175"/>
      <c r="D38" s="175"/>
      <c r="E38" s="175"/>
      <c r="F38" s="175"/>
      <c r="G38" s="175"/>
      <c r="H38" s="39"/>
      <c r="I38" s="175"/>
      <c r="J38" s="175"/>
      <c r="K38" s="175"/>
      <c r="L38" s="175"/>
      <c r="M38" s="175"/>
      <c r="N38" s="175"/>
      <c r="O38" s="175"/>
      <c r="P38" s="40" t="e" cm="1">
        <f t="array" ref="P38">O38*9/H38</f>
        <v>#DIV/0!</v>
      </c>
      <c r="Q38" s="41" t="e" cm="1">
        <f t="array" ref="Q38">(K38+L38)/H38</f>
        <v>#DIV/0!</v>
      </c>
      <c r="R38" s="42" t="e" cm="1">
        <f t="array" ref="R38">I38/H38</f>
        <v>#DIV/0!</v>
      </c>
      <c r="S38" s="42" t="e" cm="1">
        <f t="array" ref="S38">H38/B38</f>
        <v>#DIV/0!</v>
      </c>
      <c r="T38" s="41" t="e" cm="1">
        <f t="array" ref="T38">M38/H38</f>
        <v>#DIV/0!</v>
      </c>
      <c r="U38" s="44" t="e" cm="1">
        <f t="array" ref="U38">O38/N38</f>
        <v>#DIV/0!</v>
      </c>
      <c r="V38" s="41" t="e" cm="1">
        <f t="array" ref="V38">(I38+K38+L38)/H38</f>
        <v>#DIV/0!</v>
      </c>
      <c r="W38" s="145" t="e" cm="1">
        <f t="array" ref="W38">(L38+K38)/F38*100</f>
        <v>#DIV/0!</v>
      </c>
      <c r="X38" s="180"/>
      <c r="Y38" s="172"/>
      <c r="Z38" s="172"/>
      <c r="AA38" s="9"/>
      <c r="AB38" s="3"/>
      <c r="AC38" s="3"/>
    </row>
    <row r="39" spans="1:29" ht="17.25" customHeight="1">
      <c r="A39" s="8" t="s">
        <v>41</v>
      </c>
      <c r="B39" s="175"/>
      <c r="C39" s="175"/>
      <c r="D39" s="175"/>
      <c r="E39" s="175"/>
      <c r="F39" s="175"/>
      <c r="G39" s="175"/>
      <c r="H39" s="39"/>
      <c r="I39" s="175"/>
      <c r="J39" s="175"/>
      <c r="K39" s="175"/>
      <c r="L39" s="175"/>
      <c r="M39" s="175"/>
      <c r="N39" s="175"/>
      <c r="O39" s="175"/>
      <c r="P39" s="40" t="e" cm="1">
        <f t="array" ref="P39">O39*9/H39</f>
        <v>#DIV/0!</v>
      </c>
      <c r="Q39" s="41" t="e" cm="1">
        <f t="array" ref="Q39">(K39+L39)/H39</f>
        <v>#DIV/0!</v>
      </c>
      <c r="R39" s="42" t="e" cm="1">
        <f t="array" ref="R39">I39/H39</f>
        <v>#DIV/0!</v>
      </c>
      <c r="S39" s="42" t="e" cm="1">
        <f t="array" ref="S39">H39/B39</f>
        <v>#DIV/0!</v>
      </c>
      <c r="T39" s="41" t="e" cm="1">
        <f t="array" ref="T39">M39/H39</f>
        <v>#DIV/0!</v>
      </c>
      <c r="U39" s="44" t="e" cm="1">
        <f t="array" ref="U39">O39/N39</f>
        <v>#DIV/0!</v>
      </c>
      <c r="V39" s="41" t="e" cm="1">
        <f t="array" ref="V39">(I39+K39+L39)/H39</f>
        <v>#DIV/0!</v>
      </c>
      <c r="W39" s="145" t="e" cm="1">
        <f t="array" ref="W39">(L39+K39)/F39*100</f>
        <v>#DIV/0!</v>
      </c>
      <c r="X39" s="180"/>
      <c r="Y39" s="172"/>
      <c r="Z39" s="172"/>
      <c r="AA39" s="9"/>
      <c r="AB39" s="3"/>
      <c r="AC39" s="3"/>
    </row>
    <row r="40" spans="1:29" ht="17.25" customHeight="1">
      <c r="A40" s="8" t="s">
        <v>42</v>
      </c>
      <c r="B40" s="175"/>
      <c r="C40" s="175"/>
      <c r="D40" s="175"/>
      <c r="E40" s="175"/>
      <c r="F40" s="175"/>
      <c r="G40" s="175"/>
      <c r="H40" s="39"/>
      <c r="I40" s="175"/>
      <c r="J40" s="175"/>
      <c r="K40" s="175"/>
      <c r="L40" s="175"/>
      <c r="M40" s="175"/>
      <c r="N40" s="175"/>
      <c r="O40" s="175"/>
      <c r="P40" s="40" t="e" cm="1">
        <f t="array" ref="P40">O40*9/H40</f>
        <v>#DIV/0!</v>
      </c>
      <c r="Q40" s="41" t="e" cm="1">
        <f t="array" ref="Q40">(K40+L40)/H40</f>
        <v>#DIV/0!</v>
      </c>
      <c r="R40" s="42" t="e" cm="1">
        <f t="array" ref="R40">I40/H40</f>
        <v>#DIV/0!</v>
      </c>
      <c r="S40" s="42" t="e" cm="1">
        <f t="array" ref="S40">H40/B40</f>
        <v>#DIV/0!</v>
      </c>
      <c r="T40" s="41" t="e" cm="1">
        <f t="array" ref="T40">M40/H40</f>
        <v>#DIV/0!</v>
      </c>
      <c r="U40" s="44" t="e" cm="1">
        <f t="array" ref="U40">O40/N40</f>
        <v>#DIV/0!</v>
      </c>
      <c r="V40" s="41" t="e" cm="1">
        <f t="array" ref="V40">(I40+K40+L40)/H40</f>
        <v>#DIV/0!</v>
      </c>
      <c r="W40" s="145" t="e" cm="1">
        <f t="array" ref="W40">(L40+K40)/F40*100</f>
        <v>#DIV/0!</v>
      </c>
      <c r="X40" s="180"/>
      <c r="Y40" s="172"/>
      <c r="Z40" s="172"/>
      <c r="AA40" s="9"/>
      <c r="AB40" s="3"/>
      <c r="AC40" s="3"/>
    </row>
    <row r="41" spans="1:29" ht="17.25" customHeight="1">
      <c r="A41" s="8" t="s">
        <v>43</v>
      </c>
      <c r="B41" s="175"/>
      <c r="C41" s="175"/>
      <c r="D41" s="175"/>
      <c r="E41" s="175"/>
      <c r="F41" s="175"/>
      <c r="G41" s="175"/>
      <c r="H41" s="39"/>
      <c r="I41" s="175"/>
      <c r="J41" s="175"/>
      <c r="K41" s="175"/>
      <c r="L41" s="175"/>
      <c r="M41" s="175"/>
      <c r="N41" s="175"/>
      <c r="O41" s="175"/>
      <c r="P41" s="40" t="e" cm="1">
        <f t="array" ref="P41">O41*9/H41</f>
        <v>#DIV/0!</v>
      </c>
      <c r="Q41" s="41" t="e" cm="1">
        <f t="array" ref="Q41">(K41+L41)/H41</f>
        <v>#DIV/0!</v>
      </c>
      <c r="R41" s="42" t="e" cm="1">
        <f t="array" ref="R41">I41/H41</f>
        <v>#DIV/0!</v>
      </c>
      <c r="S41" s="42" t="e" cm="1">
        <f t="array" ref="S41">H41/B41</f>
        <v>#DIV/0!</v>
      </c>
      <c r="T41" s="41" t="e" cm="1">
        <f t="array" ref="T41">M41/H41</f>
        <v>#DIV/0!</v>
      </c>
      <c r="U41" s="44" t="e" cm="1">
        <f t="array" ref="U41">O41/N41</f>
        <v>#DIV/0!</v>
      </c>
      <c r="V41" s="41" t="e" cm="1">
        <f t="array" ref="V41">(I41+K41+L41)/H41</f>
        <v>#DIV/0!</v>
      </c>
      <c r="W41" s="145" t="e" cm="1">
        <f t="array" ref="W41">(L41+K41)/F41*100</f>
        <v>#DIV/0!</v>
      </c>
      <c r="X41" s="180"/>
      <c r="Y41" s="182">
        <v>2</v>
      </c>
      <c r="Z41" s="172"/>
      <c r="AA41" s="9"/>
      <c r="AB41" s="3"/>
      <c r="AC41" s="3"/>
    </row>
    <row r="42" spans="1:29" ht="17.25" customHeight="1">
      <c r="A42" s="29" t="s">
        <v>45</v>
      </c>
      <c r="B42" s="103"/>
      <c r="C42" s="49" cm="1">
        <f t="array" ref="C42">SUM(C31:C41)</f>
        <v>0</v>
      </c>
      <c r="D42" s="49" cm="1">
        <f t="array" ref="D42">SUM(D31:D41)</f>
        <v>0</v>
      </c>
      <c r="E42" s="49" cm="1">
        <f t="array" ref="E42">SUM(E31:E41)</f>
        <v>0</v>
      </c>
      <c r="F42" s="49" cm="1">
        <f t="array" ref="F42">SUM(F31:F41)</f>
        <v>0</v>
      </c>
      <c r="G42" s="49" cm="1">
        <f t="array" ref="G42">SUM(G31:G41)</f>
        <v>0</v>
      </c>
      <c r="H42" s="50" cm="1">
        <f t="array" ref="H42">SUM(H31:H41)</f>
        <v>0</v>
      </c>
      <c r="I42" s="49" cm="1">
        <f t="array" ref="I42">SUM(I31:I41)</f>
        <v>0</v>
      </c>
      <c r="J42" s="49" cm="1">
        <f t="array" ref="J42">SUM(J31:J41)</f>
        <v>0</v>
      </c>
      <c r="K42" s="49" cm="1">
        <f t="array" ref="K42">SUM(K31:K41)</f>
        <v>0</v>
      </c>
      <c r="L42" s="49" cm="1">
        <f t="array" ref="L42">SUM(L31:L41)</f>
        <v>0</v>
      </c>
      <c r="M42" s="49" cm="1">
        <f t="array" ref="M42">SUM(M31:M41)</f>
        <v>0</v>
      </c>
      <c r="N42" s="49" cm="1">
        <f t="array" ref="N42">SUM(N31:N41)</f>
        <v>0</v>
      </c>
      <c r="O42" s="49" cm="1">
        <f t="array" ref="O42">SUM(O31:O41)</f>
        <v>0</v>
      </c>
      <c r="P42" s="51" t="e" cm="1">
        <f t="array" ref="P42">O42*9/H42</f>
        <v>#DIV/0!</v>
      </c>
      <c r="Q42" s="52" t="e" cm="1">
        <f t="array" ref="Q42">(K42+L42)/H42</f>
        <v>#DIV/0!</v>
      </c>
      <c r="R42" s="53" t="e" cm="1">
        <f t="array" ref="R42">I42/H42</f>
        <v>#DIV/0!</v>
      </c>
      <c r="S42" s="53" t="e" cm="1">
        <f t="array" ref="S42">H42/B42</f>
        <v>#DIV/0!</v>
      </c>
      <c r="T42" s="52" t="e" cm="1">
        <f t="array" ref="T42">M42/H42</f>
        <v>#DIV/0!</v>
      </c>
      <c r="U42" s="55" t="e" cm="1">
        <f t="array" ref="U42">O42/N42</f>
        <v>#DIV/0!</v>
      </c>
      <c r="V42" s="52" t="e" cm="1">
        <f t="array" ref="V42">(I42+K42+L42)/H42</f>
        <v>#DIV/0!</v>
      </c>
      <c r="W42" s="52"/>
      <c r="X42" s="180"/>
      <c r="Y42" s="49" cm="1">
        <f t="array" ref="Y42">SUM(Y31:Y41)</f>
        <v>2</v>
      </c>
      <c r="Z42" s="49" cm="1">
        <f t="array" ref="Z42">SUM(Z31:Z41)</f>
        <v>0</v>
      </c>
      <c r="AA42" s="9"/>
      <c r="AB42" s="3"/>
      <c r="AC42" s="3"/>
    </row>
  </sheetData>
  <phoneticPr fontId="21" type="noConversion"/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X37"/>
  <sheetViews>
    <sheetView showGridLines="0" workbookViewId="0"/>
  </sheetViews>
  <sheetFormatPr defaultColWidth="9" defaultRowHeight="16.5" customHeight="1"/>
  <cols>
    <col min="1" max="13" width="8.125" style="1" customWidth="1"/>
    <col min="14" max="25" width="9" style="1" customWidth="1"/>
    <col min="26" max="16384" width="9" style="1"/>
  </cols>
  <sheetData>
    <row r="1" spans="1:24" ht="26.25" customHeight="1">
      <c r="A1" s="2" t="s">
        <v>169</v>
      </c>
      <c r="B1" s="97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ht="17.25" customHeight="1">
      <c r="A2" s="5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3"/>
      <c r="V2" s="3"/>
      <c r="W2" s="3"/>
      <c r="X2" s="3"/>
    </row>
    <row r="3" spans="1:24" ht="34.5" customHeight="1">
      <c r="A3" s="8" t="s">
        <v>2</v>
      </c>
      <c r="B3" s="8" t="s">
        <v>3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10</v>
      </c>
      <c r="J3" s="8" t="s">
        <v>11</v>
      </c>
      <c r="K3" s="8" t="s">
        <v>12</v>
      </c>
      <c r="L3" s="8" t="s">
        <v>13</v>
      </c>
      <c r="M3" s="8" t="s">
        <v>14</v>
      </c>
      <c r="N3" s="8" t="s">
        <v>15</v>
      </c>
      <c r="O3" s="8" t="s">
        <v>16</v>
      </c>
      <c r="P3" s="8" t="s">
        <v>18</v>
      </c>
      <c r="Q3" s="8" t="s">
        <v>19</v>
      </c>
      <c r="R3" s="8" t="s">
        <v>20</v>
      </c>
      <c r="S3" s="8" t="s">
        <v>23</v>
      </c>
      <c r="T3" s="8" t="s">
        <v>22</v>
      </c>
      <c r="U3" s="9"/>
      <c r="V3" s="3"/>
      <c r="W3" s="3"/>
      <c r="X3" s="3"/>
    </row>
    <row r="4" spans="1:24" ht="17.25" customHeight="1">
      <c r="A4" s="8" t="s">
        <v>24</v>
      </c>
      <c r="B4" s="10">
        <v>2</v>
      </c>
      <c r="C4" s="98" cm="1">
        <f t="array" ref="C4">F4/E4</f>
        <v>0</v>
      </c>
      <c r="D4" s="10">
        <v>1</v>
      </c>
      <c r="E4" s="10">
        <v>1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0</v>
      </c>
      <c r="M4" s="10">
        <v>0</v>
      </c>
      <c r="N4" s="10">
        <v>0</v>
      </c>
      <c r="O4" s="10">
        <v>1</v>
      </c>
      <c r="P4" s="13" cm="1">
        <f t="array" ref="P4">(G4*1+H4*2+I4*3+J4*4)/E4</f>
        <v>0</v>
      </c>
      <c r="Q4" s="13">
        <v>0</v>
      </c>
      <c r="R4" s="15" cm="1">
        <f t="array" ref="R4">Q4+P4</f>
        <v>0</v>
      </c>
      <c r="S4" s="18" cm="1">
        <f t="array" ref="S4">RANK(R4,$R$4:$R$24)</f>
        <v>15</v>
      </c>
      <c r="T4" s="183" cm="1">
        <f t="array" ref="T4">RANK(C4,$C$4:$C$24)</f>
        <v>14</v>
      </c>
      <c r="U4" s="9"/>
      <c r="V4" s="3"/>
      <c r="W4" s="3"/>
      <c r="X4" s="3"/>
    </row>
    <row r="5" spans="1:24" ht="17.25" customHeight="1">
      <c r="A5" s="8" t="s">
        <v>25</v>
      </c>
      <c r="B5" s="10">
        <v>6</v>
      </c>
      <c r="C5" s="98" cm="1">
        <f t="array" ref="C5">F5/E5</f>
        <v>0</v>
      </c>
      <c r="D5" s="10">
        <v>11</v>
      </c>
      <c r="E5" s="10">
        <v>3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2</v>
      </c>
      <c r="L5" s="10">
        <v>1</v>
      </c>
      <c r="M5" s="10">
        <v>2</v>
      </c>
      <c r="N5" s="10">
        <v>8</v>
      </c>
      <c r="O5" s="10">
        <v>3</v>
      </c>
      <c r="P5" s="13" cm="1">
        <f t="array" ref="P5">(G5*1+H5*2+I5*3+J5*4)/E5</f>
        <v>0</v>
      </c>
      <c r="Q5" s="13" cm="1">
        <f t="array" ref="Q5">(F5+N5)/D5</f>
        <v>0.72727272727272729</v>
      </c>
      <c r="R5" s="15" cm="1">
        <f t="array" ref="R5">Q5+P5</f>
        <v>0.72727272727272729</v>
      </c>
      <c r="S5" s="18" cm="1">
        <f t="array" ref="S5">RANK(R5,$R$4:$R$24)</f>
        <v>14</v>
      </c>
      <c r="T5" s="183" cm="1">
        <f t="array" ref="T5">RANK(C5,$C$4:$C$24)</f>
        <v>14</v>
      </c>
      <c r="U5" s="9"/>
      <c r="V5" s="3"/>
      <c r="W5" s="3"/>
      <c r="X5" s="3"/>
    </row>
    <row r="6" spans="1:24" ht="17.25" customHeight="1">
      <c r="A6" s="8" t="s">
        <v>26</v>
      </c>
      <c r="B6" s="10">
        <v>9</v>
      </c>
      <c r="C6" s="98" cm="1">
        <f t="array" ref="C6">F6/E6</f>
        <v>0.75</v>
      </c>
      <c r="D6" s="10">
        <v>28</v>
      </c>
      <c r="E6" s="10">
        <v>20</v>
      </c>
      <c r="F6" s="10">
        <v>15</v>
      </c>
      <c r="G6" s="10">
        <v>10</v>
      </c>
      <c r="H6" s="10">
        <v>4</v>
      </c>
      <c r="I6" s="10">
        <v>1</v>
      </c>
      <c r="J6" s="10">
        <v>0</v>
      </c>
      <c r="K6" s="10">
        <v>14</v>
      </c>
      <c r="L6" s="10">
        <v>11</v>
      </c>
      <c r="M6" s="10">
        <v>11</v>
      </c>
      <c r="N6" s="10">
        <v>8</v>
      </c>
      <c r="O6" s="10">
        <v>1</v>
      </c>
      <c r="P6" s="13" cm="1">
        <f t="array" ref="P6">(G6*1+H6*2+I6*3+J6*4)/E6</f>
        <v>1.05</v>
      </c>
      <c r="Q6" s="13" cm="1">
        <f t="array" ref="Q6">(F6+N6)/D6</f>
        <v>0.8214285714285714</v>
      </c>
      <c r="R6" s="15" cm="1">
        <f t="array" ref="R6">Q6+P6</f>
        <v>1.8714285714285714</v>
      </c>
      <c r="S6" s="18" cm="1">
        <f t="array" ref="S6">RANK(R6,$R$4:$R$24)</f>
        <v>1</v>
      </c>
      <c r="T6" s="183" cm="1">
        <f t="array" ref="T6">RANK(C6,$C$4:$C$24)</f>
        <v>1</v>
      </c>
      <c r="U6" s="9"/>
      <c r="V6" s="3"/>
      <c r="W6" s="3"/>
      <c r="X6" s="3"/>
    </row>
    <row r="7" spans="1:24" ht="17.25" customHeight="1">
      <c r="A7" s="8" t="s">
        <v>27</v>
      </c>
      <c r="B7" s="10">
        <v>0</v>
      </c>
      <c r="C7" s="98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3">
        <v>0</v>
      </c>
      <c r="Q7" s="13">
        <v>0</v>
      </c>
      <c r="R7" s="15" cm="1">
        <f t="array" ref="R7">Q7+P7</f>
        <v>0</v>
      </c>
      <c r="S7" s="18" cm="1">
        <f t="array" ref="S7">RANK(R7,$R$4:$R$24)</f>
        <v>15</v>
      </c>
      <c r="T7" s="183" cm="1">
        <f t="array" ref="T7">RANK(C7,$C$4:$C$24)</f>
        <v>14</v>
      </c>
      <c r="U7" s="9"/>
      <c r="V7" s="3"/>
      <c r="W7" s="3"/>
      <c r="X7" s="3"/>
    </row>
    <row r="8" spans="1:24" ht="17.25" customHeight="1">
      <c r="A8" s="8" t="s">
        <v>28</v>
      </c>
      <c r="B8" s="10">
        <v>9</v>
      </c>
      <c r="C8" s="98" cm="1">
        <f t="array" ref="C8">F8/E8</f>
        <v>0.45</v>
      </c>
      <c r="D8" s="10">
        <v>22</v>
      </c>
      <c r="E8" s="10">
        <v>20</v>
      </c>
      <c r="F8" s="10">
        <v>9</v>
      </c>
      <c r="G8" s="10">
        <v>6</v>
      </c>
      <c r="H8" s="10">
        <v>3</v>
      </c>
      <c r="I8" s="10">
        <v>0</v>
      </c>
      <c r="J8" s="10">
        <v>0</v>
      </c>
      <c r="K8" s="10">
        <v>8</v>
      </c>
      <c r="L8" s="10">
        <v>9</v>
      </c>
      <c r="M8" s="10">
        <v>6</v>
      </c>
      <c r="N8" s="10">
        <v>2</v>
      </c>
      <c r="O8" s="10">
        <v>4</v>
      </c>
      <c r="P8" s="13" cm="1">
        <f t="array" ref="P8">(G8*1+H8*2+I8*3+J8*4)/E8</f>
        <v>0.6</v>
      </c>
      <c r="Q8" s="13" cm="1">
        <f t="array" ref="Q8">(F8+N8)/D8</f>
        <v>0.5</v>
      </c>
      <c r="R8" s="15" cm="1">
        <f t="array" ref="R8">Q8+P8</f>
        <v>1.1000000000000001</v>
      </c>
      <c r="S8" s="18" cm="1">
        <f t="array" ref="S8">RANK(R8,$R$4:$R$24)</f>
        <v>6</v>
      </c>
      <c r="T8" s="183" cm="1">
        <f t="array" ref="T8">RANK(C8,$C$4:$C$24)</f>
        <v>4</v>
      </c>
      <c r="U8" s="9"/>
      <c r="V8" s="3"/>
      <c r="W8" s="3"/>
      <c r="X8" s="3"/>
    </row>
    <row r="9" spans="1:24" ht="17.25" customHeight="1">
      <c r="A9" s="8" t="s">
        <v>29</v>
      </c>
      <c r="B9" s="10">
        <v>5</v>
      </c>
      <c r="C9" s="98" cm="1">
        <f t="array" ref="C9">F9/E9</f>
        <v>0.33333333333333331</v>
      </c>
      <c r="D9" s="10">
        <v>13</v>
      </c>
      <c r="E9" s="10">
        <v>12</v>
      </c>
      <c r="F9" s="10">
        <v>4</v>
      </c>
      <c r="G9" s="10">
        <v>3</v>
      </c>
      <c r="H9" s="10">
        <v>1</v>
      </c>
      <c r="I9" s="10">
        <v>0</v>
      </c>
      <c r="J9" s="10">
        <v>0</v>
      </c>
      <c r="K9" s="10">
        <v>2</v>
      </c>
      <c r="L9" s="10">
        <v>1</v>
      </c>
      <c r="M9" s="10">
        <v>2</v>
      </c>
      <c r="N9" s="10">
        <v>1</v>
      </c>
      <c r="O9" s="10">
        <v>4</v>
      </c>
      <c r="P9" s="13" cm="1">
        <f t="array" ref="P9">(G9*1+H9*2+I9*3+J9*4)/E9</f>
        <v>0.41666666666666669</v>
      </c>
      <c r="Q9" s="13" cm="1">
        <f t="array" ref="Q9">(F9+N9)/D9</f>
        <v>0.38461538461538464</v>
      </c>
      <c r="R9" s="15" cm="1">
        <f t="array" ref="R9">Q9+P9</f>
        <v>0.80128205128205132</v>
      </c>
      <c r="S9" s="18" cm="1">
        <f t="array" ref="S9">RANK(R9,$R$4:$R$24)</f>
        <v>12</v>
      </c>
      <c r="T9" s="183" cm="1">
        <f t="array" ref="T9">RANK(C9,$C$4:$C$24)</f>
        <v>9</v>
      </c>
      <c r="U9" s="9"/>
      <c r="V9" s="3"/>
      <c r="W9" s="3"/>
      <c r="X9" s="3"/>
    </row>
    <row r="10" spans="1:24" ht="17.25" customHeight="1">
      <c r="A10" s="8" t="s">
        <v>30</v>
      </c>
      <c r="B10" s="10">
        <v>9</v>
      </c>
      <c r="C10" s="98" cm="1">
        <f t="array" ref="C10">F10/E10</f>
        <v>0.35714285714285715</v>
      </c>
      <c r="D10" s="10">
        <v>31</v>
      </c>
      <c r="E10" s="10">
        <v>28</v>
      </c>
      <c r="F10" s="10">
        <v>10</v>
      </c>
      <c r="G10" s="10">
        <v>6</v>
      </c>
      <c r="H10" s="10">
        <v>3</v>
      </c>
      <c r="I10" s="10">
        <v>1</v>
      </c>
      <c r="J10" s="10">
        <v>0</v>
      </c>
      <c r="K10" s="10">
        <v>7</v>
      </c>
      <c r="L10" s="10">
        <v>8</v>
      </c>
      <c r="M10" s="10">
        <v>5</v>
      </c>
      <c r="N10" s="10">
        <v>3</v>
      </c>
      <c r="O10" s="10">
        <v>5</v>
      </c>
      <c r="P10" s="13" cm="1">
        <f t="array" ref="P10">(G10*1+H10*2+I10*3+J10*4)/E10</f>
        <v>0.5357142857142857</v>
      </c>
      <c r="Q10" s="13" cm="1">
        <f t="array" ref="Q10">(F10+N10)/D10</f>
        <v>0.41935483870967744</v>
      </c>
      <c r="R10" s="15" cm="1">
        <f t="array" ref="R10">Q10+P10</f>
        <v>0.95506912442396308</v>
      </c>
      <c r="S10" s="18" cm="1">
        <f t="array" ref="S10">RANK(R10,$R$4:$R$24)</f>
        <v>8</v>
      </c>
      <c r="T10" s="183" cm="1">
        <f t="array" ref="T10">RANK(C10,$C$4:$C$24)</f>
        <v>8</v>
      </c>
      <c r="U10" s="9"/>
      <c r="V10" s="3"/>
      <c r="W10" s="3"/>
      <c r="X10" s="3"/>
    </row>
    <row r="11" spans="1:24" ht="17.25" customHeight="1">
      <c r="A11" s="8" t="s">
        <v>31</v>
      </c>
      <c r="B11" s="10">
        <v>5</v>
      </c>
      <c r="C11" s="98" cm="1">
        <f t="array" ref="C11">F11/E11</f>
        <v>0.36363636363636365</v>
      </c>
      <c r="D11" s="10">
        <v>13</v>
      </c>
      <c r="E11" s="10">
        <v>11</v>
      </c>
      <c r="F11" s="10">
        <v>4</v>
      </c>
      <c r="G11" s="10">
        <v>4</v>
      </c>
      <c r="H11" s="10">
        <v>0</v>
      </c>
      <c r="I11" s="10">
        <v>0</v>
      </c>
      <c r="J11" s="10">
        <v>0</v>
      </c>
      <c r="K11" s="10">
        <v>4</v>
      </c>
      <c r="L11" s="10">
        <v>5</v>
      </c>
      <c r="M11" s="10">
        <v>3</v>
      </c>
      <c r="N11" s="10">
        <v>2</v>
      </c>
      <c r="O11" s="10">
        <v>4</v>
      </c>
      <c r="P11" s="13" cm="1">
        <f t="array" ref="P11">(G11*1+H11*2+I11*3+J11*4)/E11</f>
        <v>0.36363636363636365</v>
      </c>
      <c r="Q11" s="13" cm="1">
        <f t="array" ref="Q11">(F11+N11)/D11</f>
        <v>0.46153846153846156</v>
      </c>
      <c r="R11" s="15" cm="1">
        <f t="array" ref="R11">Q11+P11</f>
        <v>0.82517482517482521</v>
      </c>
      <c r="S11" s="18" cm="1">
        <f t="array" ref="S11">RANK(R11,$R$4:$R$24)</f>
        <v>11</v>
      </c>
      <c r="T11" s="183" cm="1">
        <f t="array" ref="T11">RANK(C11,$C$4:$C$24)</f>
        <v>7</v>
      </c>
      <c r="U11" s="9"/>
      <c r="V11" s="3"/>
      <c r="W11" s="3"/>
      <c r="X11" s="3"/>
    </row>
    <row r="12" spans="1:24" ht="17.25" customHeight="1">
      <c r="A12" s="8" t="s">
        <v>32</v>
      </c>
      <c r="B12" s="10">
        <v>0</v>
      </c>
      <c r="C12" s="98">
        <v>0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13">
        <v>0</v>
      </c>
      <c r="Q12" s="13">
        <v>0</v>
      </c>
      <c r="R12" s="15" cm="1">
        <f t="array" ref="R12">Q12+P12</f>
        <v>0</v>
      </c>
      <c r="S12" s="18" cm="1">
        <f t="array" ref="S12">RANK(R12,$R$4:$R$24)</f>
        <v>15</v>
      </c>
      <c r="T12" s="183" cm="1">
        <f t="array" ref="T12">RANK(C12,$C$4:$C$24)</f>
        <v>14</v>
      </c>
      <c r="U12" s="9"/>
      <c r="V12" s="3"/>
      <c r="W12" s="3"/>
      <c r="X12" s="3"/>
    </row>
    <row r="13" spans="1:24" ht="17.25" customHeight="1">
      <c r="A13" s="8" t="s">
        <v>33</v>
      </c>
      <c r="B13" s="10">
        <v>4</v>
      </c>
      <c r="C13" s="98" cm="1">
        <f t="array" ref="C13">F13/E13</f>
        <v>0.25</v>
      </c>
      <c r="D13" s="10">
        <v>6</v>
      </c>
      <c r="E13" s="10">
        <v>4</v>
      </c>
      <c r="F13" s="10">
        <v>1</v>
      </c>
      <c r="G13" s="10">
        <v>0</v>
      </c>
      <c r="H13" s="10">
        <v>0</v>
      </c>
      <c r="I13" s="10">
        <v>0</v>
      </c>
      <c r="J13" s="10">
        <v>1</v>
      </c>
      <c r="K13" s="10">
        <v>2</v>
      </c>
      <c r="L13" s="10">
        <v>3</v>
      </c>
      <c r="M13" s="10">
        <v>0</v>
      </c>
      <c r="N13" s="10">
        <v>2</v>
      </c>
      <c r="O13" s="10">
        <v>1</v>
      </c>
      <c r="P13" s="13" cm="1">
        <f t="array" ref="P13">(G13*1+H13*2+I13*3+J13*4)/E13</f>
        <v>1</v>
      </c>
      <c r="Q13" s="13" cm="1">
        <f t="array" ref="Q13">(F13+N13)/D13</f>
        <v>0.5</v>
      </c>
      <c r="R13" s="15" cm="1">
        <f t="array" ref="R13">Q13+P13</f>
        <v>1.5</v>
      </c>
      <c r="S13" s="18" cm="1">
        <f t="array" ref="S13">RANK(R13,$R$4:$R$24)</f>
        <v>2</v>
      </c>
      <c r="T13" s="183" cm="1">
        <f t="array" ref="T13">RANK(C13,$C$4:$C$24)</f>
        <v>12</v>
      </c>
      <c r="U13" s="9"/>
      <c r="V13" s="3"/>
      <c r="W13" s="3"/>
      <c r="X13" s="3"/>
    </row>
    <row r="14" spans="1:24" ht="17.25" customHeight="1">
      <c r="A14" s="8" t="s">
        <v>34</v>
      </c>
      <c r="B14" s="10">
        <v>7</v>
      </c>
      <c r="C14" s="98" cm="1">
        <f t="array" ref="C14">F14/E14</f>
        <v>0.2857142857142857</v>
      </c>
      <c r="D14" s="10">
        <v>17</v>
      </c>
      <c r="E14" s="10">
        <v>14</v>
      </c>
      <c r="F14" s="10">
        <v>4</v>
      </c>
      <c r="G14" s="10">
        <v>3</v>
      </c>
      <c r="H14" s="10">
        <v>0</v>
      </c>
      <c r="I14" s="10">
        <v>1</v>
      </c>
      <c r="J14" s="10">
        <v>0</v>
      </c>
      <c r="K14" s="10">
        <v>6</v>
      </c>
      <c r="L14" s="10">
        <v>1</v>
      </c>
      <c r="M14" s="10">
        <v>3</v>
      </c>
      <c r="N14" s="10">
        <v>3</v>
      </c>
      <c r="O14" s="10">
        <v>5</v>
      </c>
      <c r="P14" s="13" cm="1">
        <f t="array" ref="P14">(G14*1+H14*2+I14*3+J14*4)/E14</f>
        <v>0.42857142857142855</v>
      </c>
      <c r="Q14" s="13" cm="1">
        <f t="array" ref="Q14">(F14+N14)/D14</f>
        <v>0.41176470588235292</v>
      </c>
      <c r="R14" s="15" cm="1">
        <f t="array" ref="R14">Q14+P14</f>
        <v>0.84033613445378141</v>
      </c>
      <c r="S14" s="18" cm="1">
        <f t="array" ref="S14">RANK(R14,$R$4:$R$24)</f>
        <v>10</v>
      </c>
      <c r="T14" s="183" cm="1">
        <f t="array" ref="T14">RANK(C14,$C$4:$C$24)</f>
        <v>11</v>
      </c>
      <c r="U14" s="9"/>
      <c r="V14" s="3"/>
      <c r="W14" s="3"/>
      <c r="X14" s="3"/>
    </row>
    <row r="15" spans="1:24" ht="17.25" customHeight="1">
      <c r="A15" s="8" t="s">
        <v>35</v>
      </c>
      <c r="B15" s="10">
        <v>0</v>
      </c>
      <c r="C15" s="98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3">
        <v>0</v>
      </c>
      <c r="Q15" s="13">
        <v>0</v>
      </c>
      <c r="R15" s="15" cm="1">
        <f t="array" ref="R15">Q15+P15</f>
        <v>0</v>
      </c>
      <c r="S15" s="18" cm="1">
        <f t="array" ref="S15">RANK(R15,$R$4:$R$24)</f>
        <v>15</v>
      </c>
      <c r="T15" s="183" cm="1">
        <f t="array" ref="T15">RANK(C15,$C$4:$C$24)</f>
        <v>14</v>
      </c>
      <c r="U15" s="9"/>
      <c r="V15" s="3"/>
      <c r="W15" s="3"/>
      <c r="X15" s="3"/>
    </row>
    <row r="16" spans="1:24" ht="17.25" customHeight="1">
      <c r="A16" s="8" t="s">
        <v>36</v>
      </c>
      <c r="B16" s="10">
        <v>6</v>
      </c>
      <c r="C16" s="98" cm="1">
        <f t="array" ref="C16">F16/E16</f>
        <v>0.42857142857142855</v>
      </c>
      <c r="D16" s="10">
        <v>9</v>
      </c>
      <c r="E16" s="10">
        <v>7</v>
      </c>
      <c r="F16" s="10">
        <v>3</v>
      </c>
      <c r="G16" s="10">
        <v>2</v>
      </c>
      <c r="H16" s="10">
        <v>1</v>
      </c>
      <c r="I16" s="10">
        <v>0</v>
      </c>
      <c r="J16" s="10">
        <v>0</v>
      </c>
      <c r="K16" s="10">
        <v>1</v>
      </c>
      <c r="L16" s="10">
        <v>3</v>
      </c>
      <c r="M16" s="10">
        <v>2</v>
      </c>
      <c r="N16" s="10">
        <v>2</v>
      </c>
      <c r="O16" s="10">
        <v>1</v>
      </c>
      <c r="P16" s="13" cm="1">
        <f t="array" ref="P16">(G16*1+H16*2+I16*3+J16*4)/E16</f>
        <v>0.5714285714285714</v>
      </c>
      <c r="Q16" s="13" cm="1">
        <f t="array" ref="Q16">(F16+N16)/D16</f>
        <v>0.55555555555555558</v>
      </c>
      <c r="R16" s="15" cm="1">
        <f t="array" ref="R16">Q16+P16</f>
        <v>1.126984126984127</v>
      </c>
      <c r="S16" s="18" cm="1">
        <f t="array" ref="S16">RANK(R16,$R$4:$R$24)</f>
        <v>5</v>
      </c>
      <c r="T16" s="183" cm="1">
        <f t="array" ref="T16">RANK(C16,$C$4:$C$24)</f>
        <v>5</v>
      </c>
      <c r="U16" s="9"/>
      <c r="V16" s="3"/>
      <c r="W16" s="3"/>
      <c r="X16" s="3"/>
    </row>
    <row r="17" spans="1:24" ht="17.25" customHeight="1">
      <c r="A17" s="8" t="s">
        <v>37</v>
      </c>
      <c r="B17" s="10">
        <v>0</v>
      </c>
      <c r="C17" s="98">
        <v>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3">
        <v>0</v>
      </c>
      <c r="Q17" s="13">
        <v>0</v>
      </c>
      <c r="R17" s="15" cm="1">
        <f t="array" ref="R17">Q17+P17</f>
        <v>0</v>
      </c>
      <c r="S17" s="18" cm="1">
        <f t="array" ref="S17">RANK(R17,$R$4:$R$24)</f>
        <v>15</v>
      </c>
      <c r="T17" s="183" cm="1">
        <f t="array" ref="T17">RANK(C17,$C$4:$C$24)</f>
        <v>14</v>
      </c>
      <c r="U17" s="9"/>
      <c r="V17" s="3"/>
      <c r="W17" s="3"/>
      <c r="X17" s="3"/>
    </row>
    <row r="18" spans="1:24" ht="17.25" customHeight="1">
      <c r="A18" s="8" t="s">
        <v>38</v>
      </c>
      <c r="B18" s="10">
        <v>1</v>
      </c>
      <c r="C18" s="98" cm="1">
        <f t="array" ref="C18">F18/E18</f>
        <v>0</v>
      </c>
      <c r="D18" s="10">
        <v>1</v>
      </c>
      <c r="E18" s="10">
        <v>1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1</v>
      </c>
      <c r="P18" s="13" cm="1">
        <f t="array" ref="P18">(G18*1+H18*2+I18*3+J18*4)/E18</f>
        <v>0</v>
      </c>
      <c r="Q18" s="13" cm="1">
        <f t="array" ref="Q18">(F18+N18)/D18</f>
        <v>0</v>
      </c>
      <c r="R18" s="15" cm="1">
        <f t="array" ref="R18">Q18+P18</f>
        <v>0</v>
      </c>
      <c r="S18" s="18" cm="1">
        <f t="array" ref="S18">RANK(R18,$R$4:$R$24)</f>
        <v>15</v>
      </c>
      <c r="T18" s="183" cm="1">
        <f t="array" ref="T18">RANK(C18,$C$4:$C$24)</f>
        <v>14</v>
      </c>
      <c r="U18" s="9"/>
      <c r="V18" s="3"/>
      <c r="W18" s="3"/>
      <c r="X18" s="3"/>
    </row>
    <row r="19" spans="1:24" ht="17.25" customHeight="1">
      <c r="A19" s="8" t="s">
        <v>39</v>
      </c>
      <c r="B19" s="10">
        <v>7</v>
      </c>
      <c r="C19" s="98" cm="1">
        <f t="array" ref="C19">F19/E19</f>
        <v>0.42857142857142855</v>
      </c>
      <c r="D19" s="10">
        <v>18</v>
      </c>
      <c r="E19" s="10">
        <v>14</v>
      </c>
      <c r="F19" s="10">
        <v>6</v>
      </c>
      <c r="G19" s="10">
        <v>6</v>
      </c>
      <c r="H19" s="10">
        <v>0</v>
      </c>
      <c r="I19" s="10">
        <v>0</v>
      </c>
      <c r="J19" s="10">
        <v>0</v>
      </c>
      <c r="K19" s="10">
        <v>7</v>
      </c>
      <c r="L19" s="10">
        <v>7</v>
      </c>
      <c r="M19" s="10">
        <v>3</v>
      </c>
      <c r="N19" s="10">
        <v>4</v>
      </c>
      <c r="O19" s="10">
        <v>2</v>
      </c>
      <c r="P19" s="13" cm="1">
        <f t="array" ref="P19">(G19*1+H19*2+I19*3+J19*4)/E19</f>
        <v>0.42857142857142855</v>
      </c>
      <c r="Q19" s="13" cm="1">
        <f t="array" ref="Q19">(F19+N19)/D19</f>
        <v>0.55555555555555558</v>
      </c>
      <c r="R19" s="15" cm="1">
        <f t="array" ref="R19">Q19+P19</f>
        <v>0.98412698412698418</v>
      </c>
      <c r="S19" s="18" cm="1">
        <f t="array" ref="S19">RANK(R19,$R$4:$R$24)</f>
        <v>7</v>
      </c>
      <c r="T19" s="183" cm="1">
        <f t="array" ref="T19">RANK(C19,$C$4:$C$24)</f>
        <v>5</v>
      </c>
      <c r="U19" s="9"/>
      <c r="V19" s="3"/>
      <c r="W19" s="3"/>
      <c r="X19" s="3"/>
    </row>
    <row r="20" spans="1:24" ht="17.25" customHeight="1">
      <c r="A20" s="8" t="s">
        <v>40</v>
      </c>
      <c r="B20" s="10">
        <v>8</v>
      </c>
      <c r="C20" s="98" cm="1">
        <f t="array" ref="C20">F20/E20</f>
        <v>0.33333333333333331</v>
      </c>
      <c r="D20" s="10">
        <v>18</v>
      </c>
      <c r="E20" s="10">
        <v>15</v>
      </c>
      <c r="F20" s="10">
        <v>5</v>
      </c>
      <c r="G20" s="10">
        <v>3</v>
      </c>
      <c r="H20" s="10">
        <v>2</v>
      </c>
      <c r="I20" s="10">
        <v>0</v>
      </c>
      <c r="J20" s="10">
        <v>0</v>
      </c>
      <c r="K20" s="10">
        <v>4</v>
      </c>
      <c r="L20" s="10">
        <v>8</v>
      </c>
      <c r="M20" s="10">
        <v>6</v>
      </c>
      <c r="N20" s="10">
        <v>3</v>
      </c>
      <c r="O20" s="10">
        <v>2</v>
      </c>
      <c r="P20" s="13" cm="1">
        <f t="array" ref="P20">(G20*1+H20*2+I20*3+J20*4)/E20</f>
        <v>0.46666666666666667</v>
      </c>
      <c r="Q20" s="13" cm="1">
        <f t="array" ref="Q20">(F20+N20)/D20</f>
        <v>0.44444444444444442</v>
      </c>
      <c r="R20" s="15" cm="1">
        <f t="array" ref="R20">Q20+P20</f>
        <v>0.91111111111111109</v>
      </c>
      <c r="S20" s="18" cm="1">
        <f t="array" ref="S20">RANK(R20,$R$4:$R$24)</f>
        <v>9</v>
      </c>
      <c r="T20" s="183" cm="1">
        <f t="array" ref="T20">RANK(C20,$C$4:$C$24)</f>
        <v>9</v>
      </c>
      <c r="U20" s="9"/>
      <c r="V20" s="3"/>
      <c r="W20" s="3"/>
      <c r="X20" s="3"/>
    </row>
    <row r="21" spans="1:24" ht="17.25" customHeight="1">
      <c r="A21" s="8" t="s">
        <v>41</v>
      </c>
      <c r="B21" s="10">
        <v>9</v>
      </c>
      <c r="C21" s="98" cm="1">
        <f t="array" ref="C21">F21/E21</f>
        <v>0.56000000000000005</v>
      </c>
      <c r="D21" s="10">
        <v>27</v>
      </c>
      <c r="E21" s="10">
        <v>25</v>
      </c>
      <c r="F21" s="10">
        <v>14</v>
      </c>
      <c r="G21" s="10">
        <v>13</v>
      </c>
      <c r="H21" s="10">
        <v>1</v>
      </c>
      <c r="I21" s="10">
        <v>0</v>
      </c>
      <c r="J21" s="10">
        <v>0</v>
      </c>
      <c r="K21" s="10">
        <v>5</v>
      </c>
      <c r="L21" s="10">
        <v>9</v>
      </c>
      <c r="M21" s="10">
        <v>4</v>
      </c>
      <c r="N21" s="10">
        <v>2</v>
      </c>
      <c r="O21" s="10">
        <v>2</v>
      </c>
      <c r="P21" s="13" cm="1">
        <f t="array" ref="P21">(G21*1+H21*2+I21*3+J21*4)/E21</f>
        <v>0.6</v>
      </c>
      <c r="Q21" s="13" cm="1">
        <f t="array" ref="Q21">(F21+N21)/D21</f>
        <v>0.59259259259259256</v>
      </c>
      <c r="R21" s="15" cm="1">
        <f t="array" ref="R21">Q21+P21</f>
        <v>1.1925925925925926</v>
      </c>
      <c r="S21" s="18" cm="1">
        <f t="array" ref="S21">RANK(R21,$R$4:$R$24)</f>
        <v>4</v>
      </c>
      <c r="T21" s="183" cm="1">
        <f t="array" ref="T21">RANK(C21,$C$4:$C$24)</f>
        <v>2</v>
      </c>
      <c r="U21" s="9"/>
      <c r="V21" s="3"/>
      <c r="W21" s="3"/>
      <c r="X21" s="3"/>
    </row>
    <row r="22" spans="1:24" ht="17.25" customHeight="1">
      <c r="A22" s="8" t="s">
        <v>42</v>
      </c>
      <c r="B22" s="10">
        <v>3</v>
      </c>
      <c r="C22" s="98" cm="1">
        <f t="array" ref="C22">F22/E22</f>
        <v>0.25</v>
      </c>
      <c r="D22" s="10">
        <v>6</v>
      </c>
      <c r="E22" s="10">
        <v>4</v>
      </c>
      <c r="F22" s="10">
        <v>1</v>
      </c>
      <c r="G22" s="10">
        <v>1</v>
      </c>
      <c r="H22" s="10">
        <v>0</v>
      </c>
      <c r="I22" s="10">
        <v>0</v>
      </c>
      <c r="J22" s="10">
        <v>0</v>
      </c>
      <c r="K22" s="10">
        <v>5</v>
      </c>
      <c r="L22" s="10">
        <v>1</v>
      </c>
      <c r="M22" s="10">
        <v>4</v>
      </c>
      <c r="N22" s="10">
        <v>2</v>
      </c>
      <c r="O22" s="10">
        <v>1</v>
      </c>
      <c r="P22" s="13" cm="1">
        <f t="array" ref="P22">(G22*1+H22*2+I22*3+J22*4)/E22</f>
        <v>0.25</v>
      </c>
      <c r="Q22" s="13" cm="1">
        <f t="array" ref="Q22">(F22+N22)/D22</f>
        <v>0.5</v>
      </c>
      <c r="R22" s="15" cm="1">
        <f t="array" ref="R22">Q22+P22</f>
        <v>0.75</v>
      </c>
      <c r="S22" s="18" cm="1">
        <f t="array" ref="S22">RANK(R22,$R$4:$R$24)</f>
        <v>13</v>
      </c>
      <c r="T22" s="183" cm="1">
        <f t="array" ref="T22">RANK(C22,$C$4:$C$24)</f>
        <v>12</v>
      </c>
      <c r="U22" s="9"/>
      <c r="V22" s="3"/>
      <c r="W22" s="3"/>
      <c r="X22" s="3"/>
    </row>
    <row r="23" spans="1:24" ht="17.25" customHeight="1">
      <c r="A23" s="8" t="s">
        <v>43</v>
      </c>
      <c r="B23" s="10">
        <v>9</v>
      </c>
      <c r="C23" s="98" cm="1">
        <f t="array" ref="C23">F23/E23</f>
        <v>0.5</v>
      </c>
      <c r="D23" s="10">
        <v>24</v>
      </c>
      <c r="E23" s="10">
        <v>22</v>
      </c>
      <c r="F23" s="10">
        <v>11</v>
      </c>
      <c r="G23" s="10">
        <v>6</v>
      </c>
      <c r="H23" s="10">
        <v>4</v>
      </c>
      <c r="I23" s="10">
        <v>1</v>
      </c>
      <c r="J23" s="10">
        <v>0</v>
      </c>
      <c r="K23" s="10">
        <v>9</v>
      </c>
      <c r="L23" s="10">
        <v>6</v>
      </c>
      <c r="M23" s="10">
        <v>3</v>
      </c>
      <c r="N23" s="10">
        <v>2</v>
      </c>
      <c r="O23" s="10">
        <v>3</v>
      </c>
      <c r="P23" s="13" cm="1">
        <f t="array" ref="P23">(G23*1+H23*2+I23*3+J23*4)/E23</f>
        <v>0.77272727272727271</v>
      </c>
      <c r="Q23" s="13" cm="1">
        <f t="array" ref="Q23">(F23+N23)/D23</f>
        <v>0.54166666666666663</v>
      </c>
      <c r="R23" s="15" cm="1">
        <f t="array" ref="R23">Q23+P23</f>
        <v>1.3143939393939394</v>
      </c>
      <c r="S23" s="18" cm="1">
        <f t="array" ref="S23">RANK(R23,$R$4:$R$24)</f>
        <v>3</v>
      </c>
      <c r="T23" s="183" cm="1">
        <f t="array" ref="T23">RANK(C23,$C$4:$C$24)</f>
        <v>3</v>
      </c>
      <c r="U23" s="9"/>
      <c r="V23" s="3"/>
      <c r="W23" s="3"/>
      <c r="X23" s="3"/>
    </row>
    <row r="24" spans="1:24" ht="17.25" customHeight="1">
      <c r="A24" s="8" t="s">
        <v>44</v>
      </c>
      <c r="B24" s="10">
        <v>0</v>
      </c>
      <c r="C24" s="98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3">
        <v>0</v>
      </c>
      <c r="Q24" s="13">
        <v>0</v>
      </c>
      <c r="R24" s="15" cm="1">
        <f t="array" ref="R24">Q24+P24</f>
        <v>0</v>
      </c>
      <c r="S24" s="18" cm="1">
        <f t="array" ref="S24">RANK(R24,$R$4:$R$24)</f>
        <v>15</v>
      </c>
      <c r="T24" s="183" cm="1">
        <f t="array" ref="T24">RANK(C24,$C$4:$C$24)</f>
        <v>14</v>
      </c>
      <c r="U24" s="9"/>
      <c r="V24" s="3"/>
      <c r="W24" s="3"/>
      <c r="X24" s="3"/>
    </row>
    <row r="25" spans="1:24" ht="17.25" customHeight="1">
      <c r="A25" s="29" t="s">
        <v>45</v>
      </c>
      <c r="B25" s="100"/>
      <c r="C25" s="31" cm="1">
        <f t="array" ref="C25">F25/E25</f>
        <v>0.43283582089552236</v>
      </c>
      <c r="D25" s="32" cm="1">
        <f t="array" ref="D25">SUM(D4:D24)</f>
        <v>245</v>
      </c>
      <c r="E25" s="32" cm="1">
        <f t="array" ref="E25">SUM(E4:E24)</f>
        <v>201</v>
      </c>
      <c r="F25" s="32" cm="1">
        <f t="array" ref="F25">SUM(F4:F24)</f>
        <v>87</v>
      </c>
      <c r="G25" s="32" cm="1">
        <f t="array" ref="G25">SUM(G4:G24)</f>
        <v>63</v>
      </c>
      <c r="H25" s="32" cm="1">
        <f t="array" ref="H25">SUM(H4:H24)</f>
        <v>19</v>
      </c>
      <c r="I25" s="32" cm="1">
        <f t="array" ref="I25">SUM(I4:I24)</f>
        <v>4</v>
      </c>
      <c r="J25" s="32" cm="1">
        <f t="array" ref="J25">SUM(J4:J24)</f>
        <v>1</v>
      </c>
      <c r="K25" s="32" cm="1">
        <f t="array" ref="K25">SUM(K4:K23)</f>
        <v>76</v>
      </c>
      <c r="L25" s="32" cm="1">
        <f t="array" ref="L25">SUM(L4:L23)</f>
        <v>73</v>
      </c>
      <c r="M25" s="32" cm="1">
        <f t="array" ref="M25">SUM(M4:M23)</f>
        <v>54</v>
      </c>
      <c r="N25" s="32" cm="1">
        <f t="array" ref="N25">SUM(N4:N23)</f>
        <v>44</v>
      </c>
      <c r="O25" s="32" cm="1">
        <f t="array" ref="O25">SUM(O4:O23)</f>
        <v>40</v>
      </c>
      <c r="P25" s="30"/>
      <c r="Q25" s="30"/>
      <c r="R25" s="100"/>
      <c r="S25" s="31"/>
      <c r="T25" s="31"/>
      <c r="U25" s="9"/>
      <c r="V25" s="3"/>
      <c r="W25" s="3"/>
      <c r="X25" s="3"/>
    </row>
    <row r="26" spans="1:24" ht="16.5" customHeight="1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"/>
      <c r="V26" s="3"/>
      <c r="W26" s="3"/>
      <c r="X26" s="3"/>
    </row>
    <row r="27" spans="1:24" ht="17.25" customHeight="1">
      <c r="A27" s="5" t="s">
        <v>46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3"/>
      <c r="X27" s="3"/>
    </row>
    <row r="28" spans="1:24" ht="51.75" customHeight="1">
      <c r="A28" s="8" t="s">
        <v>2</v>
      </c>
      <c r="B28" s="8" t="s">
        <v>3</v>
      </c>
      <c r="C28" s="8" t="s">
        <v>47</v>
      </c>
      <c r="D28" s="8" t="s">
        <v>48</v>
      </c>
      <c r="E28" s="8" t="s">
        <v>49</v>
      </c>
      <c r="F28" s="8" t="s">
        <v>50</v>
      </c>
      <c r="G28" s="8" t="s">
        <v>6</v>
      </c>
      <c r="H28" s="8" t="s">
        <v>51</v>
      </c>
      <c r="I28" s="8" t="s">
        <v>52</v>
      </c>
      <c r="J28" s="8" t="s">
        <v>53</v>
      </c>
      <c r="K28" s="8" t="s">
        <v>54</v>
      </c>
      <c r="L28" s="8" t="s">
        <v>55</v>
      </c>
      <c r="M28" s="8" t="s">
        <v>56</v>
      </c>
      <c r="N28" s="8" t="s">
        <v>57</v>
      </c>
      <c r="O28" s="8" t="s">
        <v>58</v>
      </c>
      <c r="P28" s="8" t="s">
        <v>59</v>
      </c>
      <c r="Q28" s="8" t="s">
        <v>60</v>
      </c>
      <c r="R28" s="8" t="s">
        <v>61</v>
      </c>
      <c r="S28" s="8" t="s">
        <v>116</v>
      </c>
      <c r="T28" s="8" t="s">
        <v>63</v>
      </c>
      <c r="U28" s="8" t="s">
        <v>64</v>
      </c>
      <c r="V28" s="8" t="s">
        <v>65</v>
      </c>
      <c r="W28" s="9"/>
      <c r="X28" s="3"/>
    </row>
    <row r="29" spans="1:24" ht="17.25" customHeight="1">
      <c r="A29" s="8" t="s">
        <v>24</v>
      </c>
      <c r="B29" s="10">
        <v>2</v>
      </c>
      <c r="C29" s="10">
        <v>0</v>
      </c>
      <c r="D29" s="10">
        <v>0</v>
      </c>
      <c r="E29" s="10">
        <v>0</v>
      </c>
      <c r="F29" s="10">
        <v>2</v>
      </c>
      <c r="G29" s="10">
        <v>0</v>
      </c>
      <c r="H29" s="39">
        <v>0</v>
      </c>
      <c r="I29" s="10">
        <v>0</v>
      </c>
      <c r="J29" s="10">
        <v>0</v>
      </c>
      <c r="K29" s="10">
        <v>2</v>
      </c>
      <c r="L29" s="10">
        <v>0</v>
      </c>
      <c r="M29" s="10">
        <v>0</v>
      </c>
      <c r="N29" s="10">
        <v>1</v>
      </c>
      <c r="O29" s="10">
        <v>0</v>
      </c>
      <c r="P29" s="40">
        <v>0</v>
      </c>
      <c r="Q29" s="41"/>
      <c r="R29" s="42"/>
      <c r="S29" s="42"/>
      <c r="T29" s="41"/>
      <c r="U29" s="44"/>
      <c r="V29" s="41"/>
      <c r="W29" s="9"/>
      <c r="X29" s="184" cm="1">
        <f t="array" ref="X29">(L29+K29)/F29*100</f>
        <v>100</v>
      </c>
    </row>
    <row r="30" spans="1:24" ht="17.25" customHeight="1">
      <c r="A30" s="8" t="s">
        <v>27</v>
      </c>
      <c r="B30" s="10">
        <v>1</v>
      </c>
      <c r="C30" s="10">
        <v>0</v>
      </c>
      <c r="D30" s="10">
        <v>0</v>
      </c>
      <c r="E30" s="10">
        <v>0</v>
      </c>
      <c r="F30" s="10">
        <v>1</v>
      </c>
      <c r="G30" s="10">
        <v>0</v>
      </c>
      <c r="H30" s="39">
        <v>0</v>
      </c>
      <c r="I30" s="10">
        <v>0</v>
      </c>
      <c r="J30" s="10">
        <v>0</v>
      </c>
      <c r="K30" s="10">
        <v>1</v>
      </c>
      <c r="L30" s="10">
        <v>0</v>
      </c>
      <c r="M30" s="10">
        <v>0</v>
      </c>
      <c r="N30" s="10">
        <v>0</v>
      </c>
      <c r="O30" s="10">
        <v>0</v>
      </c>
      <c r="P30" s="40">
        <v>0</v>
      </c>
      <c r="Q30" s="41"/>
      <c r="R30" s="42"/>
      <c r="S30" s="42"/>
      <c r="T30" s="41"/>
      <c r="U30" s="44"/>
      <c r="V30" s="41"/>
      <c r="W30" s="9"/>
      <c r="X30" s="184" cm="1">
        <f t="array" ref="X30">(L30+K30)/F30*100</f>
        <v>100</v>
      </c>
    </row>
    <row r="31" spans="1:24" ht="17.25" customHeight="1">
      <c r="A31" s="38" t="s">
        <v>29</v>
      </c>
      <c r="B31" s="10">
        <v>0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39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0</v>
      </c>
      <c r="P31" s="40">
        <v>0</v>
      </c>
      <c r="Q31" s="41"/>
      <c r="R31" s="42"/>
      <c r="S31" s="42"/>
      <c r="T31" s="41"/>
      <c r="U31" s="44"/>
      <c r="V31" s="41"/>
      <c r="W31" s="9"/>
      <c r="X31" s="184"/>
    </row>
    <row r="32" spans="1:24" ht="17.25" customHeight="1">
      <c r="A32" s="8" t="s">
        <v>33</v>
      </c>
      <c r="B32" s="10">
        <v>4</v>
      </c>
      <c r="C32" s="10">
        <v>2</v>
      </c>
      <c r="D32" s="10">
        <v>0</v>
      </c>
      <c r="E32" s="10">
        <v>0</v>
      </c>
      <c r="F32" s="10">
        <v>36</v>
      </c>
      <c r="G32" s="10">
        <v>30</v>
      </c>
      <c r="H32" s="39">
        <v>7.3333332999999996</v>
      </c>
      <c r="I32" s="10">
        <v>10</v>
      </c>
      <c r="J32" s="10">
        <v>0</v>
      </c>
      <c r="K32" s="10">
        <v>6</v>
      </c>
      <c r="L32" s="10">
        <v>0</v>
      </c>
      <c r="M32" s="10">
        <v>5</v>
      </c>
      <c r="N32" s="10">
        <v>7</v>
      </c>
      <c r="O32" s="10">
        <v>3</v>
      </c>
      <c r="P32" s="40" cm="1">
        <f t="array" ref="P32">O32*9/H32</f>
        <v>3.6818181985537195</v>
      </c>
      <c r="Q32" s="41" cm="1">
        <f t="array" ref="Q32">(K32+L32)/H32</f>
        <v>0.81818182190082656</v>
      </c>
      <c r="R32" s="42" cm="1">
        <f t="array" ref="R32">I32/H32</f>
        <v>1.3636363698347109</v>
      </c>
      <c r="S32" s="42" cm="1">
        <f t="array" ref="S32">H32/B32</f>
        <v>1.8333333249999999</v>
      </c>
      <c r="T32" s="41" cm="1">
        <f t="array" ref="T32">M32/H32</f>
        <v>0.68181818491735546</v>
      </c>
      <c r="U32" s="44" cm="1">
        <f t="array" ref="U32">O32/N32</f>
        <v>0.42857142857142855</v>
      </c>
      <c r="V32" s="41" cm="1">
        <f t="array" ref="V32">(I32+K32+L32)/H32</f>
        <v>2.1818181917355375</v>
      </c>
      <c r="W32" s="9"/>
      <c r="X32" s="184" cm="1">
        <f t="array" ref="X32">(L32+K32)/F32*100</f>
        <v>16.666666666666664</v>
      </c>
    </row>
    <row r="33" spans="1:24" ht="17.25" customHeight="1">
      <c r="A33" s="8" t="s">
        <v>36</v>
      </c>
      <c r="B33" s="10">
        <v>3</v>
      </c>
      <c r="C33" s="10">
        <v>0</v>
      </c>
      <c r="D33" s="10">
        <v>0</v>
      </c>
      <c r="E33" s="10">
        <v>0</v>
      </c>
      <c r="F33" s="10">
        <v>16</v>
      </c>
      <c r="G33" s="10">
        <v>9</v>
      </c>
      <c r="H33" s="39">
        <v>2</v>
      </c>
      <c r="I33" s="10">
        <v>4</v>
      </c>
      <c r="J33" s="10">
        <v>0</v>
      </c>
      <c r="K33" s="10">
        <v>6</v>
      </c>
      <c r="L33" s="10">
        <v>0</v>
      </c>
      <c r="M33" s="10">
        <v>2</v>
      </c>
      <c r="N33" s="10">
        <v>6</v>
      </c>
      <c r="O33" s="10">
        <v>5</v>
      </c>
      <c r="P33" s="40" cm="1">
        <f t="array" ref="P33">O33*9/H33</f>
        <v>22.5</v>
      </c>
      <c r="Q33" s="41" cm="1">
        <f t="array" ref="Q33">(K33+L33)/H33</f>
        <v>3</v>
      </c>
      <c r="R33" s="42" cm="1">
        <f t="array" ref="R33">I33/H33</f>
        <v>2</v>
      </c>
      <c r="S33" s="42" cm="1">
        <f t="array" ref="S33">H33/B33</f>
        <v>0.66666666666666663</v>
      </c>
      <c r="T33" s="41" cm="1">
        <f t="array" ref="T33">M33/H33</f>
        <v>1</v>
      </c>
      <c r="U33" s="44" cm="1">
        <f t="array" ref="U33">O33/N33</f>
        <v>0.83333333333333337</v>
      </c>
      <c r="V33" s="41" cm="1">
        <f t="array" ref="V33">(I33+K33+L33)/H33</f>
        <v>5</v>
      </c>
      <c r="W33" s="9"/>
      <c r="X33" s="184" cm="1">
        <f t="array" ref="X33">(L33+K33)/F33*100</f>
        <v>37.5</v>
      </c>
    </row>
    <row r="34" spans="1:24" ht="17.25" customHeight="1">
      <c r="A34" s="8" t="s">
        <v>37</v>
      </c>
      <c r="B34" s="10">
        <v>0</v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39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40">
        <v>0</v>
      </c>
      <c r="Q34" s="41"/>
      <c r="R34" s="42"/>
      <c r="S34" s="42"/>
      <c r="T34" s="41"/>
      <c r="U34" s="44"/>
      <c r="V34" s="41"/>
      <c r="W34" s="9"/>
      <c r="X34" s="184"/>
    </row>
    <row r="35" spans="1:24" ht="17.25" customHeight="1">
      <c r="A35" s="8" t="s">
        <v>42</v>
      </c>
      <c r="B35" s="10">
        <v>3</v>
      </c>
      <c r="C35" s="10">
        <v>2</v>
      </c>
      <c r="D35" s="10">
        <v>0</v>
      </c>
      <c r="E35" s="10">
        <v>0</v>
      </c>
      <c r="F35" s="10">
        <v>44</v>
      </c>
      <c r="G35" s="10">
        <v>26</v>
      </c>
      <c r="H35" s="39">
        <v>7</v>
      </c>
      <c r="I35" s="10">
        <v>9</v>
      </c>
      <c r="J35" s="10">
        <v>0</v>
      </c>
      <c r="K35" s="10">
        <v>17</v>
      </c>
      <c r="L35" s="10">
        <v>0</v>
      </c>
      <c r="M35" s="10">
        <v>10</v>
      </c>
      <c r="N35" s="10">
        <v>10</v>
      </c>
      <c r="O35" s="10">
        <v>8</v>
      </c>
      <c r="P35" s="40" cm="1">
        <f t="array" ref="P35">O35*9/H35</f>
        <v>10.285714285714286</v>
      </c>
      <c r="Q35" s="41" cm="1">
        <f t="array" ref="Q35">(K35+L35)/H35</f>
        <v>2.4285714285714284</v>
      </c>
      <c r="R35" s="42" cm="1">
        <f t="array" ref="R35">I35/H35</f>
        <v>1.2857142857142858</v>
      </c>
      <c r="S35" s="42" cm="1">
        <f t="array" ref="S35">H35/B35</f>
        <v>2.3333333333333335</v>
      </c>
      <c r="T35" s="41" cm="1">
        <f t="array" ref="T35">M35/H35</f>
        <v>1.4285714285714286</v>
      </c>
      <c r="U35" s="44" cm="1">
        <f t="array" ref="U35">O35/N35</f>
        <v>0.8</v>
      </c>
      <c r="V35" s="41" cm="1">
        <f t="array" ref="V35">(I35+K35+L35)/H35</f>
        <v>3.7142857142857144</v>
      </c>
      <c r="W35" s="9"/>
      <c r="X35" s="184" cm="1">
        <f t="array" ref="X35">(L35+K35)/F35*100</f>
        <v>38.636363636363633</v>
      </c>
    </row>
    <row r="36" spans="1:24" ht="17.25" customHeight="1">
      <c r="A36" s="8" t="s">
        <v>43</v>
      </c>
      <c r="B36" s="10">
        <v>9</v>
      </c>
      <c r="C36" s="10">
        <v>2</v>
      </c>
      <c r="D36" s="10">
        <v>4</v>
      </c>
      <c r="E36" s="10">
        <v>1</v>
      </c>
      <c r="F36" s="10">
        <v>180</v>
      </c>
      <c r="G36" s="10">
        <v>126</v>
      </c>
      <c r="H36" s="39">
        <v>26</v>
      </c>
      <c r="I36" s="10">
        <v>40</v>
      </c>
      <c r="J36" s="10">
        <v>0</v>
      </c>
      <c r="K36" s="10">
        <v>46</v>
      </c>
      <c r="L36" s="10">
        <v>7</v>
      </c>
      <c r="M36" s="10">
        <v>55</v>
      </c>
      <c r="N36" s="10">
        <v>58</v>
      </c>
      <c r="O36" s="10">
        <v>25</v>
      </c>
      <c r="P36" s="40" cm="1">
        <f t="array" ref="P36">O36*9/H36</f>
        <v>8.6538461538461533</v>
      </c>
      <c r="Q36" s="41" cm="1">
        <f t="array" ref="Q36">(K36+L36)/H36</f>
        <v>2.0384615384615383</v>
      </c>
      <c r="R36" s="42" cm="1">
        <f t="array" ref="R36">I36/H36</f>
        <v>1.5384615384615385</v>
      </c>
      <c r="S36" s="42" cm="1">
        <f t="array" ref="S36">H36/B36</f>
        <v>2.8888888888888888</v>
      </c>
      <c r="T36" s="41" cm="1">
        <f t="array" ref="T36">M36/H36</f>
        <v>2.1153846153846154</v>
      </c>
      <c r="U36" s="44" cm="1">
        <f t="array" ref="U36">O36/N36</f>
        <v>0.43103448275862066</v>
      </c>
      <c r="V36" s="41" cm="1">
        <f t="array" ref="V36">(I36+K36+L36)/H36</f>
        <v>3.5769230769230771</v>
      </c>
      <c r="W36" s="9"/>
      <c r="X36" s="184" cm="1">
        <f t="array" ref="X36">(L36+K36)/F36*100</f>
        <v>29.444444444444446</v>
      </c>
    </row>
    <row r="37" spans="1:24" ht="17.25" customHeight="1">
      <c r="A37" s="29" t="s">
        <v>45</v>
      </c>
      <c r="B37" s="103"/>
      <c r="C37" s="49" cm="1">
        <f t="array" ref="C37">SUM(C29:C36)</f>
        <v>6</v>
      </c>
      <c r="D37" s="49" cm="1">
        <f t="array" ref="D37">SUM(D29:D36)</f>
        <v>4</v>
      </c>
      <c r="E37" s="49" cm="1">
        <f t="array" ref="E37">SUM(E29:E36)</f>
        <v>1</v>
      </c>
      <c r="F37" s="49" cm="1">
        <f t="array" ref="F37">SUM(F29:F36)</f>
        <v>279</v>
      </c>
      <c r="G37" s="49" cm="1">
        <f t="array" ref="G37">SUM(G29:G36)</f>
        <v>191</v>
      </c>
      <c r="H37" s="50" cm="1">
        <f t="array" ref="H37">SUM(H29:H36)</f>
        <v>42.3333333</v>
      </c>
      <c r="I37" s="49" cm="1">
        <f t="array" ref="I37">SUM(I29:I36)</f>
        <v>63</v>
      </c>
      <c r="J37" s="49" cm="1">
        <f t="array" ref="J37">SUM(J29:J36)</f>
        <v>0</v>
      </c>
      <c r="K37" s="49" cm="1">
        <f t="array" ref="K37">SUM(K29:K36)</f>
        <v>78</v>
      </c>
      <c r="L37" s="49" cm="1">
        <f t="array" ref="L37">SUM(L29:L36)</f>
        <v>7</v>
      </c>
      <c r="M37" s="49" cm="1">
        <f t="array" ref="M37">SUM(M29:M36)</f>
        <v>72</v>
      </c>
      <c r="N37" s="49" cm="1">
        <f t="array" ref="N37">SUM(N29:N36)</f>
        <v>82</v>
      </c>
      <c r="O37" s="49" cm="1">
        <f t="array" ref="O37">SUM(O29:O36)</f>
        <v>41</v>
      </c>
      <c r="P37" s="51" cm="1">
        <f t="array" ref="P37">O37*9/H37</f>
        <v>8.7165354399342796</v>
      </c>
      <c r="Q37" s="52" cm="1">
        <f t="array" ref="Q37">(K37+L37)/H37</f>
        <v>2.0078740173290348</v>
      </c>
      <c r="R37" s="53" cm="1">
        <f t="array" ref="R37">I37/H37</f>
        <v>1.4881889775497552</v>
      </c>
      <c r="S37" s="53">
        <v>0</v>
      </c>
      <c r="T37" s="52" cm="1">
        <f t="array" ref="T37">M37/H37</f>
        <v>1.7007874029140058</v>
      </c>
      <c r="U37" s="55" cm="1">
        <f t="array" ref="U37">O37/N37</f>
        <v>0.5</v>
      </c>
      <c r="V37" s="52" cm="1">
        <f t="array" ref="V37">(I37+K37+L37)/H37</f>
        <v>3.4960629948787898</v>
      </c>
      <c r="W37" s="9"/>
      <c r="X37" s="3"/>
    </row>
  </sheetData>
  <phoneticPr fontId="21" type="noConversion"/>
  <pageMargins left="0.69972199999999996" right="0.69972199999999996" top="0.75" bottom="0.75" header="0.3" footer="0.3"/>
  <pageSetup orientation="portrait"/>
  <headerFooter>
    <oddFooter>&amp;C&amp;"Helvetica Neue,Regular"&amp;12&amp;K000000&amp;P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X37"/>
  <sheetViews>
    <sheetView showGridLines="0" workbookViewId="0"/>
  </sheetViews>
  <sheetFormatPr defaultColWidth="9" defaultRowHeight="16.5" customHeight="1"/>
  <cols>
    <col min="1" max="19" width="8.875" style="1" customWidth="1"/>
    <col min="20" max="25" width="9" style="1" customWidth="1"/>
    <col min="26" max="16384" width="9" style="1"/>
  </cols>
  <sheetData>
    <row r="1" spans="1:24" ht="26.25" customHeight="1">
      <c r="A1" s="2" t="s">
        <v>170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ht="17.25" customHeight="1">
      <c r="A2" s="5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</row>
    <row r="3" spans="1:24" ht="34.5" customHeight="1">
      <c r="A3" s="8" t="s">
        <v>2</v>
      </c>
      <c r="B3" s="8" t="s">
        <v>3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10</v>
      </c>
      <c r="J3" s="8" t="s">
        <v>11</v>
      </c>
      <c r="K3" s="8" t="s">
        <v>12</v>
      </c>
      <c r="L3" s="8" t="s">
        <v>13</v>
      </c>
      <c r="M3" s="8" t="s">
        <v>14</v>
      </c>
      <c r="N3" s="8" t="s">
        <v>15</v>
      </c>
      <c r="O3" s="8" t="s">
        <v>16</v>
      </c>
      <c r="P3" s="8" t="s">
        <v>17</v>
      </c>
      <c r="Q3" s="8" t="s">
        <v>18</v>
      </c>
      <c r="R3" s="8" t="s">
        <v>19</v>
      </c>
      <c r="S3" s="8" t="s">
        <v>20</v>
      </c>
      <c r="T3" s="8" t="s">
        <v>110</v>
      </c>
      <c r="U3" s="8" t="s">
        <v>22</v>
      </c>
      <c r="V3" s="8" t="s">
        <v>23</v>
      </c>
      <c r="W3" s="8" t="s">
        <v>114</v>
      </c>
      <c r="X3" s="8" t="s">
        <v>111</v>
      </c>
    </row>
    <row r="4" spans="1:24" ht="19.5" customHeight="1">
      <c r="A4" s="8" t="s">
        <v>24</v>
      </c>
      <c r="B4" s="10">
        <v>4</v>
      </c>
      <c r="C4" s="98">
        <v>0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0</v>
      </c>
      <c r="M4" s="10">
        <v>1</v>
      </c>
      <c r="N4" s="10">
        <v>0</v>
      </c>
      <c r="O4" s="10">
        <v>0</v>
      </c>
      <c r="P4" s="127">
        <v>0</v>
      </c>
      <c r="Q4" s="13">
        <v>0</v>
      </c>
      <c r="R4" s="13">
        <v>0</v>
      </c>
      <c r="S4" s="15">
        <v>0</v>
      </c>
      <c r="T4" s="132" t="e" cm="1">
        <f t="array" ref="T4">O4/(D4-(F4+N4))</f>
        <v>#DIV/0!</v>
      </c>
      <c r="U4" s="17" cm="1">
        <f t="array" ref="U4">RANK(R4,$R$4:$R$23)</f>
        <v>19</v>
      </c>
      <c r="V4" s="18" cm="1">
        <f t="array" ref="V4">RANK(S4,$S$4:$S$23)</f>
        <v>19</v>
      </c>
      <c r="W4" s="10">
        <v>1</v>
      </c>
      <c r="X4" s="129" cm="1">
        <f t="array" ref="X4">RANK(C4,$C$4:$C$23)</f>
        <v>18</v>
      </c>
    </row>
    <row r="5" spans="1:24" ht="19.5" customHeight="1">
      <c r="A5" s="8" t="s">
        <v>25</v>
      </c>
      <c r="B5" s="10">
        <v>13</v>
      </c>
      <c r="C5" s="98">
        <v>0.28571428571428598</v>
      </c>
      <c r="D5" s="10">
        <v>23</v>
      </c>
      <c r="E5" s="10">
        <v>14</v>
      </c>
      <c r="F5" s="10">
        <v>4</v>
      </c>
      <c r="G5" s="10">
        <v>4</v>
      </c>
      <c r="H5" s="10">
        <v>0</v>
      </c>
      <c r="I5" s="10">
        <v>0</v>
      </c>
      <c r="J5" s="10">
        <v>0</v>
      </c>
      <c r="K5" s="10">
        <v>4</v>
      </c>
      <c r="L5" s="10">
        <v>5</v>
      </c>
      <c r="M5" s="10">
        <v>1</v>
      </c>
      <c r="N5" s="10">
        <v>8</v>
      </c>
      <c r="O5" s="10">
        <v>4</v>
      </c>
      <c r="P5" s="127">
        <v>0.173913043478261</v>
      </c>
      <c r="Q5" s="13">
        <v>0.28571428571428598</v>
      </c>
      <c r="R5" s="13">
        <v>0.52173913043478304</v>
      </c>
      <c r="S5" s="15">
        <v>0.80745341614906796</v>
      </c>
      <c r="T5" s="132" cm="1">
        <f t="array" ref="T5">O5/(D5-(F5+N5))</f>
        <v>0.36363636363636365</v>
      </c>
      <c r="U5" s="17" cm="1">
        <f t="array" ref="U5">RANK(R5,$R$4:$R$23)</f>
        <v>4</v>
      </c>
      <c r="V5" s="18" cm="1">
        <f t="array" ref="V5">RANK(S5,$S$4:$S$23)</f>
        <v>9</v>
      </c>
      <c r="W5" s="10">
        <v>1</v>
      </c>
      <c r="X5" s="129" cm="1">
        <f t="array" ref="X5">RANK(C5,$C$4:$C$23)</f>
        <v>11</v>
      </c>
    </row>
    <row r="6" spans="1:24" ht="19.5" customHeight="1">
      <c r="A6" s="8" t="s">
        <v>26</v>
      </c>
      <c r="B6" s="10">
        <v>20</v>
      </c>
      <c r="C6" s="98">
        <v>0.45</v>
      </c>
      <c r="D6" s="10">
        <v>50</v>
      </c>
      <c r="E6" s="10">
        <v>40</v>
      </c>
      <c r="F6" s="10">
        <v>18</v>
      </c>
      <c r="G6" s="10">
        <v>14</v>
      </c>
      <c r="H6" s="10">
        <v>3</v>
      </c>
      <c r="I6" s="10">
        <v>1</v>
      </c>
      <c r="J6" s="10">
        <v>0</v>
      </c>
      <c r="K6" s="10">
        <v>21</v>
      </c>
      <c r="L6" s="10">
        <v>19</v>
      </c>
      <c r="M6" s="10">
        <v>13</v>
      </c>
      <c r="N6" s="10">
        <v>8</v>
      </c>
      <c r="O6" s="10">
        <v>4</v>
      </c>
      <c r="P6" s="127">
        <v>0.08</v>
      </c>
      <c r="Q6" s="13">
        <v>0.57499999999999996</v>
      </c>
      <c r="R6" s="13">
        <v>0.52</v>
      </c>
      <c r="S6" s="15">
        <v>1.095</v>
      </c>
      <c r="T6" s="128" cm="1">
        <f t="array" ref="T6">O6/(D6-(F6+N6))</f>
        <v>0.16666666666666666</v>
      </c>
      <c r="U6" s="17" cm="1">
        <f t="array" ref="U6">RANK(R6,$R$4:$R$23)</f>
        <v>5</v>
      </c>
      <c r="V6" s="18" cm="1">
        <f t="array" ref="V6">RANK(S6,$S$4:$S$23)</f>
        <v>4</v>
      </c>
      <c r="W6" s="10">
        <v>5</v>
      </c>
      <c r="X6" s="129" cm="1">
        <f t="array" ref="X6">RANK(C6,$C$4:$C$23)</f>
        <v>4</v>
      </c>
    </row>
    <row r="7" spans="1:24" ht="19.5" customHeight="1">
      <c r="A7" s="8" t="s">
        <v>27</v>
      </c>
      <c r="B7" s="10">
        <v>1</v>
      </c>
      <c r="C7" s="98">
        <v>0</v>
      </c>
      <c r="D7" s="10">
        <v>4</v>
      </c>
      <c r="E7" s="10">
        <v>4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3</v>
      </c>
      <c r="M7" s="10">
        <v>0</v>
      </c>
      <c r="N7" s="10">
        <v>0</v>
      </c>
      <c r="O7" s="10">
        <v>0</v>
      </c>
      <c r="P7" s="127">
        <v>0</v>
      </c>
      <c r="Q7" s="13">
        <v>0</v>
      </c>
      <c r="R7" s="13">
        <v>0</v>
      </c>
      <c r="S7" s="15">
        <v>0</v>
      </c>
      <c r="T7" s="132" cm="1">
        <f t="array" ref="T7">O7/(D7-(F7+N7))</f>
        <v>0</v>
      </c>
      <c r="U7" s="17" cm="1">
        <f t="array" ref="U7">RANK(R7,$R$4:$R$23)</f>
        <v>19</v>
      </c>
      <c r="V7" s="18" cm="1">
        <f t="array" ref="V7">RANK(S7,$S$4:$S$23)</f>
        <v>19</v>
      </c>
      <c r="W7" s="10">
        <v>0</v>
      </c>
      <c r="X7" s="129" cm="1">
        <f t="array" ref="X7">RANK(C7,$C$4:$C$23)</f>
        <v>18</v>
      </c>
    </row>
    <row r="8" spans="1:24" ht="19.5" customHeight="1">
      <c r="A8" s="8" t="s">
        <v>28</v>
      </c>
      <c r="B8" s="10">
        <v>21</v>
      </c>
      <c r="C8" s="98">
        <v>0.32500000000000001</v>
      </c>
      <c r="D8" s="10">
        <v>53</v>
      </c>
      <c r="E8" s="10">
        <v>40</v>
      </c>
      <c r="F8" s="10">
        <v>13</v>
      </c>
      <c r="G8" s="10">
        <v>8</v>
      </c>
      <c r="H8" s="10">
        <v>2</v>
      </c>
      <c r="I8" s="10">
        <v>3</v>
      </c>
      <c r="J8" s="10">
        <v>0</v>
      </c>
      <c r="K8" s="10">
        <v>14</v>
      </c>
      <c r="L8" s="10">
        <v>15</v>
      </c>
      <c r="M8" s="10">
        <v>7</v>
      </c>
      <c r="N8" s="10">
        <v>12</v>
      </c>
      <c r="O8" s="10">
        <v>10</v>
      </c>
      <c r="P8" s="127">
        <v>0.18867924528301899</v>
      </c>
      <c r="Q8" s="13">
        <v>0.52500000000000002</v>
      </c>
      <c r="R8" s="13">
        <v>0.47169811320754701</v>
      </c>
      <c r="S8" s="15">
        <v>0.99669811320754698</v>
      </c>
      <c r="T8" s="132" cm="1">
        <f t="array" ref="T8">O8/(D8-(F8+N8))</f>
        <v>0.35714285714285715</v>
      </c>
      <c r="U8" s="17" cm="1">
        <f t="array" ref="U8">RANK(R8,$R$4:$R$23)</f>
        <v>7</v>
      </c>
      <c r="V8" s="18" cm="1">
        <f t="array" ref="V8">RANK(S8,$S$4:$S$23)</f>
        <v>5</v>
      </c>
      <c r="W8" s="10">
        <v>0</v>
      </c>
      <c r="X8" s="129" cm="1">
        <f t="array" ref="X8">RANK(C8,$C$4:$C$23)</f>
        <v>9</v>
      </c>
    </row>
    <row r="9" spans="1:24" ht="19.5" customHeight="1">
      <c r="A9" s="8" t="s">
        <v>29</v>
      </c>
      <c r="B9" s="10">
        <v>12</v>
      </c>
      <c r="C9" s="98">
        <v>0.157894736842105</v>
      </c>
      <c r="D9" s="10">
        <v>25</v>
      </c>
      <c r="E9" s="10">
        <v>19</v>
      </c>
      <c r="F9" s="10">
        <v>3</v>
      </c>
      <c r="G9" s="10">
        <v>3</v>
      </c>
      <c r="H9" s="10">
        <v>0</v>
      </c>
      <c r="I9" s="10">
        <v>0</v>
      </c>
      <c r="J9" s="10">
        <v>0</v>
      </c>
      <c r="K9" s="10">
        <v>5</v>
      </c>
      <c r="L9" s="10">
        <v>3</v>
      </c>
      <c r="M9" s="10">
        <v>5</v>
      </c>
      <c r="N9" s="10">
        <v>6</v>
      </c>
      <c r="O9" s="10">
        <v>11</v>
      </c>
      <c r="P9" s="12">
        <v>0.44</v>
      </c>
      <c r="Q9" s="13">
        <v>0.157894736842105</v>
      </c>
      <c r="R9" s="13">
        <v>0.36</v>
      </c>
      <c r="S9" s="15">
        <v>0.51789473684210496</v>
      </c>
      <c r="T9" s="132" cm="1">
        <f t="array" ref="T9">O9/(D9-(F9+N9))</f>
        <v>0.6875</v>
      </c>
      <c r="U9" s="17" cm="1">
        <f t="array" ref="U9">RANK(R9,$R$4:$R$23)</f>
        <v>14</v>
      </c>
      <c r="V9" s="18" cm="1">
        <f t="array" ref="V9">RANK(S9,$S$4:$S$23)</f>
        <v>14</v>
      </c>
      <c r="W9" s="10">
        <v>2</v>
      </c>
      <c r="X9" s="129" cm="1">
        <f t="array" ref="X9">RANK(C9,$C$4:$C$23)</f>
        <v>15</v>
      </c>
    </row>
    <row r="10" spans="1:24" ht="19.5" customHeight="1">
      <c r="A10" s="8" t="s">
        <v>30</v>
      </c>
      <c r="B10" s="10">
        <v>20</v>
      </c>
      <c r="C10" s="98">
        <v>0.60416666666666696</v>
      </c>
      <c r="D10" s="10">
        <v>63</v>
      </c>
      <c r="E10" s="10">
        <v>48</v>
      </c>
      <c r="F10" s="10">
        <v>29</v>
      </c>
      <c r="G10" s="10">
        <v>22</v>
      </c>
      <c r="H10" s="10">
        <v>4</v>
      </c>
      <c r="I10" s="10">
        <v>2</v>
      </c>
      <c r="J10" s="10">
        <v>1</v>
      </c>
      <c r="K10" s="10">
        <v>33</v>
      </c>
      <c r="L10" s="10">
        <v>19</v>
      </c>
      <c r="M10" s="10">
        <v>42</v>
      </c>
      <c r="N10" s="10">
        <v>13</v>
      </c>
      <c r="O10" s="10">
        <v>3</v>
      </c>
      <c r="P10" s="127">
        <v>4.7619047619047603E-2</v>
      </c>
      <c r="Q10" s="13">
        <v>0.83333333333333304</v>
      </c>
      <c r="R10" s="13">
        <v>0.66666666666666696</v>
      </c>
      <c r="S10" s="15">
        <v>1.5</v>
      </c>
      <c r="T10" s="128" cm="1">
        <f t="array" ref="T10">O10/(D10-(F10+N10))</f>
        <v>0.14285714285714285</v>
      </c>
      <c r="U10" s="17" cm="1">
        <f t="array" ref="U10">RANK(R10,$R$4:$R$23)</f>
        <v>1</v>
      </c>
      <c r="V10" s="18" cm="1">
        <f t="array" ref="V10">RANK(S10,$S$4:$S$23)</f>
        <v>1</v>
      </c>
      <c r="W10" s="10">
        <v>2</v>
      </c>
      <c r="X10" s="129" cm="1">
        <f t="array" ref="X10">RANK(C10,$C$4:$C$23)</f>
        <v>1</v>
      </c>
    </row>
    <row r="11" spans="1:24" ht="19.5" customHeight="1">
      <c r="A11" s="8" t="s">
        <v>31</v>
      </c>
      <c r="B11" s="10">
        <v>11</v>
      </c>
      <c r="C11" s="98">
        <v>0.238095238095238</v>
      </c>
      <c r="D11" s="10">
        <v>23</v>
      </c>
      <c r="E11" s="10">
        <v>21</v>
      </c>
      <c r="F11" s="10">
        <v>5</v>
      </c>
      <c r="G11" s="10">
        <v>4</v>
      </c>
      <c r="H11" s="10">
        <v>1</v>
      </c>
      <c r="I11" s="10">
        <v>0</v>
      </c>
      <c r="J11" s="10">
        <v>0</v>
      </c>
      <c r="K11" s="10">
        <v>6</v>
      </c>
      <c r="L11" s="10">
        <v>4</v>
      </c>
      <c r="M11" s="10">
        <v>5</v>
      </c>
      <c r="N11" s="10">
        <v>2</v>
      </c>
      <c r="O11" s="10">
        <v>4</v>
      </c>
      <c r="P11" s="127">
        <v>0.173913043478261</v>
      </c>
      <c r="Q11" s="13">
        <v>0.28571428571428598</v>
      </c>
      <c r="R11" s="13">
        <v>0.30434782608695699</v>
      </c>
      <c r="S11" s="15">
        <v>0.59006211180124202</v>
      </c>
      <c r="T11" s="128" cm="1">
        <f t="array" ref="T11">O11/(D11-(F11+N11))</f>
        <v>0.25</v>
      </c>
      <c r="U11" s="17" cm="1">
        <f t="array" ref="U11">RANK(R11,$R$4:$R$23)</f>
        <v>16</v>
      </c>
      <c r="V11" s="18" cm="1">
        <f t="array" ref="V11">RANK(S11,$S$4:$S$23)</f>
        <v>13</v>
      </c>
      <c r="W11" s="10">
        <v>2</v>
      </c>
      <c r="X11" s="129" cm="1">
        <f t="array" ref="X11">RANK(C11,$C$4:$C$23)</f>
        <v>13</v>
      </c>
    </row>
    <row r="12" spans="1:24" ht="19.5" customHeight="1">
      <c r="A12" s="8" t="s">
        <v>32</v>
      </c>
      <c r="B12" s="10">
        <v>5</v>
      </c>
      <c r="C12" s="98">
        <v>0.16666666666666699</v>
      </c>
      <c r="D12" s="10">
        <v>9</v>
      </c>
      <c r="E12" s="10">
        <v>6</v>
      </c>
      <c r="F12" s="10">
        <v>1</v>
      </c>
      <c r="G12" s="10">
        <v>1</v>
      </c>
      <c r="H12" s="10">
        <v>0</v>
      </c>
      <c r="I12" s="10">
        <v>0</v>
      </c>
      <c r="J12" s="10">
        <v>0</v>
      </c>
      <c r="K12" s="10">
        <v>1</v>
      </c>
      <c r="L12" s="10">
        <v>1</v>
      </c>
      <c r="M12" s="10">
        <v>1</v>
      </c>
      <c r="N12" s="10">
        <v>0</v>
      </c>
      <c r="O12" s="10">
        <v>1</v>
      </c>
      <c r="P12" s="127">
        <v>0.11111111111111099</v>
      </c>
      <c r="Q12" s="13">
        <v>0.16666666666666699</v>
      </c>
      <c r="R12" s="13">
        <v>0.11111111111111099</v>
      </c>
      <c r="S12" s="15">
        <v>0.27777777777777801</v>
      </c>
      <c r="T12" s="128" cm="1">
        <f t="array" ref="T12">O12/(D12-(F12+N12))</f>
        <v>0.125</v>
      </c>
      <c r="U12" s="17" cm="1">
        <f t="array" ref="U12">RANK(R12,$R$4:$R$23)</f>
        <v>18</v>
      </c>
      <c r="V12" s="18" cm="1">
        <f t="array" ref="V12">RANK(S12,$S$4:$S$23)</f>
        <v>18</v>
      </c>
      <c r="W12" s="10">
        <v>1</v>
      </c>
      <c r="X12" s="129" cm="1">
        <f t="array" ref="X12">RANK(C12,$C$4:$C$23)</f>
        <v>14</v>
      </c>
    </row>
    <row r="13" spans="1:24" ht="19.5" customHeight="1">
      <c r="A13" s="8" t="s">
        <v>33</v>
      </c>
      <c r="B13" s="10">
        <v>20</v>
      </c>
      <c r="C13" s="98">
        <v>0.54166666666666696</v>
      </c>
      <c r="D13" s="10">
        <v>52</v>
      </c>
      <c r="E13" s="10">
        <v>48</v>
      </c>
      <c r="F13" s="10">
        <v>26</v>
      </c>
      <c r="G13" s="10">
        <v>12</v>
      </c>
      <c r="H13" s="10">
        <v>13</v>
      </c>
      <c r="I13" s="10">
        <v>1</v>
      </c>
      <c r="J13" s="10">
        <v>0</v>
      </c>
      <c r="K13" s="10">
        <v>16</v>
      </c>
      <c r="L13" s="10">
        <v>20</v>
      </c>
      <c r="M13" s="10">
        <v>8</v>
      </c>
      <c r="N13" s="10">
        <v>3</v>
      </c>
      <c r="O13" s="10">
        <v>4</v>
      </c>
      <c r="P13" s="127">
        <v>7.69230769230769E-2</v>
      </c>
      <c r="Q13" s="13">
        <v>0.85416666666666696</v>
      </c>
      <c r="R13" s="13">
        <v>0.55769230769230804</v>
      </c>
      <c r="S13" s="15">
        <v>1.41185897435897</v>
      </c>
      <c r="T13" s="128" cm="1">
        <f t="array" ref="T13">O13/(D13-(F13+N13))</f>
        <v>0.17391304347826086</v>
      </c>
      <c r="U13" s="17" cm="1">
        <f t="array" ref="U13">RANK(R13,$R$4:$R$23)</f>
        <v>3</v>
      </c>
      <c r="V13" s="18" cm="1">
        <f t="array" ref="V13">RANK(S13,$S$4:$S$23)</f>
        <v>2</v>
      </c>
      <c r="W13" s="10">
        <v>3</v>
      </c>
      <c r="X13" s="129" cm="1">
        <f t="array" ref="X13">RANK(C13,$C$4:$C$23)</f>
        <v>2</v>
      </c>
    </row>
    <row r="14" spans="1:24" ht="19.5" customHeight="1">
      <c r="A14" s="8" t="s">
        <v>34</v>
      </c>
      <c r="B14" s="10">
        <v>7</v>
      </c>
      <c r="C14" s="98">
        <v>0</v>
      </c>
      <c r="D14" s="10">
        <v>16</v>
      </c>
      <c r="E14" s="10">
        <v>10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4</v>
      </c>
      <c r="L14" s="10">
        <v>1</v>
      </c>
      <c r="M14" s="10">
        <v>2</v>
      </c>
      <c r="N14" s="10">
        <v>6</v>
      </c>
      <c r="O14" s="10">
        <v>6</v>
      </c>
      <c r="P14" s="127">
        <v>0.375</v>
      </c>
      <c r="Q14" s="13">
        <v>0</v>
      </c>
      <c r="R14" s="13">
        <v>0.375</v>
      </c>
      <c r="S14" s="15">
        <v>0.375</v>
      </c>
      <c r="T14" s="132" cm="1">
        <f t="array" ref="T14">O14/(D14-(F14+N14))</f>
        <v>0.6</v>
      </c>
      <c r="U14" s="17" cm="1">
        <f t="array" ref="U14">RANK(R14,$R$4:$R$23)</f>
        <v>12</v>
      </c>
      <c r="V14" s="18" cm="1">
        <f t="array" ref="V14">RANK(S14,$S$4:$S$23)</f>
        <v>17</v>
      </c>
      <c r="W14" s="10">
        <v>10</v>
      </c>
      <c r="X14" s="129" cm="1">
        <f t="array" ref="X14">RANK(C14,$C$4:$C$23)</f>
        <v>18</v>
      </c>
    </row>
    <row r="15" spans="1:24" ht="19.5" customHeight="1">
      <c r="A15" s="8" t="s">
        <v>35</v>
      </c>
      <c r="B15" s="10">
        <v>8</v>
      </c>
      <c r="C15" s="98">
        <v>0.15384615384615399</v>
      </c>
      <c r="D15" s="10">
        <v>20</v>
      </c>
      <c r="E15" s="10">
        <v>13</v>
      </c>
      <c r="F15" s="10">
        <v>2</v>
      </c>
      <c r="G15" s="10">
        <v>2</v>
      </c>
      <c r="H15" s="10">
        <v>0</v>
      </c>
      <c r="I15" s="10">
        <v>0</v>
      </c>
      <c r="J15" s="10">
        <v>0</v>
      </c>
      <c r="K15" s="10">
        <v>3</v>
      </c>
      <c r="L15" s="10">
        <v>4</v>
      </c>
      <c r="M15" s="10">
        <v>1</v>
      </c>
      <c r="N15" s="10">
        <v>4</v>
      </c>
      <c r="O15" s="10">
        <v>7</v>
      </c>
      <c r="P15" s="12">
        <v>0.35</v>
      </c>
      <c r="Q15" s="13">
        <v>0.15384615384615399</v>
      </c>
      <c r="R15" s="13">
        <v>0.3</v>
      </c>
      <c r="S15" s="15">
        <v>0.45384615384615401</v>
      </c>
      <c r="T15" s="128" cm="1">
        <f t="array" ref="T15">O15/(D15-(F15+N15))</f>
        <v>0.5</v>
      </c>
      <c r="U15" s="17" cm="1">
        <f t="array" ref="U15">RANK(R15,$R$4:$R$23)</f>
        <v>17</v>
      </c>
      <c r="V15" s="18" cm="1">
        <f t="array" ref="V15">RANK(S15,$S$4:$S$23)</f>
        <v>15</v>
      </c>
      <c r="W15" s="10">
        <v>1</v>
      </c>
      <c r="X15" s="129" cm="1">
        <f t="array" ref="X15">RANK(C15,$C$4:$C$23)</f>
        <v>16</v>
      </c>
    </row>
    <row r="16" spans="1:24" ht="19.5" customHeight="1">
      <c r="A16" s="8" t="s">
        <v>36</v>
      </c>
      <c r="B16" s="10">
        <v>9</v>
      </c>
      <c r="C16" s="98">
        <v>0.33333333333333298</v>
      </c>
      <c r="D16" s="10">
        <v>12</v>
      </c>
      <c r="E16" s="10">
        <v>9</v>
      </c>
      <c r="F16" s="10">
        <v>3</v>
      </c>
      <c r="G16" s="10">
        <v>2</v>
      </c>
      <c r="H16" s="10">
        <v>1</v>
      </c>
      <c r="I16" s="10">
        <v>0</v>
      </c>
      <c r="J16" s="10">
        <v>0</v>
      </c>
      <c r="K16" s="10">
        <v>3</v>
      </c>
      <c r="L16" s="10">
        <v>3</v>
      </c>
      <c r="M16" s="10">
        <v>3</v>
      </c>
      <c r="N16" s="10">
        <v>3</v>
      </c>
      <c r="O16" s="10">
        <v>2</v>
      </c>
      <c r="P16" s="127">
        <v>0.16666666666666699</v>
      </c>
      <c r="Q16" s="13">
        <v>0.44444444444444398</v>
      </c>
      <c r="R16" s="13">
        <v>0.5</v>
      </c>
      <c r="S16" s="15">
        <v>0.94444444444444398</v>
      </c>
      <c r="T16" s="128" cm="1">
        <f t="array" ref="T16">O16/(D16-(F16+N16))</f>
        <v>0.33333333333333331</v>
      </c>
      <c r="U16" s="17" cm="1">
        <f t="array" ref="U16">RANK(R16,$R$4:$R$23)</f>
        <v>6</v>
      </c>
      <c r="V16" s="18" cm="1">
        <f t="array" ref="V16">RANK(S16,$S$4:$S$23)</f>
        <v>6</v>
      </c>
      <c r="W16" s="10">
        <v>5</v>
      </c>
      <c r="X16" s="129" cm="1">
        <f t="array" ref="X16">RANK(C16,$C$4:$C$23)</f>
        <v>7</v>
      </c>
    </row>
    <row r="17" spans="1:24" ht="19.5" customHeight="1">
      <c r="A17" s="8" t="s">
        <v>37</v>
      </c>
      <c r="B17" s="10">
        <v>4</v>
      </c>
      <c r="C17" s="98">
        <v>0.3</v>
      </c>
      <c r="D17" s="10">
        <v>12</v>
      </c>
      <c r="E17" s="10">
        <v>10</v>
      </c>
      <c r="F17" s="10">
        <v>3</v>
      </c>
      <c r="G17" s="10">
        <v>2</v>
      </c>
      <c r="H17" s="10">
        <v>1</v>
      </c>
      <c r="I17" s="10">
        <v>0</v>
      </c>
      <c r="J17" s="10">
        <v>0</v>
      </c>
      <c r="K17" s="10">
        <v>3</v>
      </c>
      <c r="L17" s="10">
        <v>2</v>
      </c>
      <c r="M17" s="10">
        <v>2</v>
      </c>
      <c r="N17" s="10">
        <v>2</v>
      </c>
      <c r="O17" s="10">
        <v>4</v>
      </c>
      <c r="P17" s="12">
        <v>0.33333333333333298</v>
      </c>
      <c r="Q17" s="13">
        <v>0.4</v>
      </c>
      <c r="R17" s="13">
        <v>0.41666666666666702</v>
      </c>
      <c r="S17" s="15">
        <v>0.81666666666666698</v>
      </c>
      <c r="T17" s="128" cm="1">
        <f t="array" ref="T17">O17/(D17-(F17+N17))</f>
        <v>0.5714285714285714</v>
      </c>
      <c r="U17" s="17" cm="1">
        <f t="array" ref="U17">RANK(R17,$R$4:$R$23)</f>
        <v>10</v>
      </c>
      <c r="V17" s="18" cm="1">
        <f t="array" ref="V17">RANK(S17,$S$4:$S$23)</f>
        <v>8</v>
      </c>
      <c r="W17" s="10">
        <v>5</v>
      </c>
      <c r="X17" s="129" cm="1">
        <f t="array" ref="X17">RANK(C17,$C$4:$C$23)</f>
        <v>10</v>
      </c>
    </row>
    <row r="18" spans="1:24" ht="19.5" customHeight="1">
      <c r="A18" s="8" t="s">
        <v>38</v>
      </c>
      <c r="B18" s="10">
        <v>15</v>
      </c>
      <c r="C18" s="98">
        <v>0.53333333333333299</v>
      </c>
      <c r="D18" s="10">
        <v>36</v>
      </c>
      <c r="E18" s="10">
        <v>30</v>
      </c>
      <c r="F18" s="10">
        <v>16</v>
      </c>
      <c r="G18" s="10">
        <v>14</v>
      </c>
      <c r="H18" s="10">
        <v>0</v>
      </c>
      <c r="I18" s="10">
        <v>1</v>
      </c>
      <c r="J18" s="10">
        <v>1</v>
      </c>
      <c r="K18" s="10">
        <v>10</v>
      </c>
      <c r="L18" s="10">
        <v>9</v>
      </c>
      <c r="M18" s="10">
        <v>6</v>
      </c>
      <c r="N18" s="10">
        <v>5</v>
      </c>
      <c r="O18" s="10">
        <v>5</v>
      </c>
      <c r="P18" s="127">
        <v>0.13888888888888901</v>
      </c>
      <c r="Q18" s="13">
        <v>0.7</v>
      </c>
      <c r="R18" s="13">
        <v>0.58333333333333304</v>
      </c>
      <c r="S18" s="15">
        <v>1.2833333333333301</v>
      </c>
      <c r="T18" s="128" cm="1">
        <f t="array" ref="T18">O18/(D18-(F18+N18))</f>
        <v>0.33333333333333331</v>
      </c>
      <c r="U18" s="17" cm="1">
        <f t="array" ref="U18">RANK(R18,$R$4:$R$23)</f>
        <v>2</v>
      </c>
      <c r="V18" s="18" cm="1">
        <f t="array" ref="V18">RANK(S18,$S$4:$S$23)</f>
        <v>3</v>
      </c>
      <c r="W18" s="10">
        <v>0</v>
      </c>
      <c r="X18" s="129" cm="1">
        <f t="array" ref="X18">RANK(C18,$C$4:$C$23)</f>
        <v>3</v>
      </c>
    </row>
    <row r="19" spans="1:24" ht="19.5" customHeight="1">
      <c r="A19" s="8" t="s">
        <v>39</v>
      </c>
      <c r="B19" s="10">
        <v>9</v>
      </c>
      <c r="C19" s="98">
        <v>0.35</v>
      </c>
      <c r="D19" s="10">
        <v>22</v>
      </c>
      <c r="E19" s="10">
        <v>20</v>
      </c>
      <c r="F19" s="10">
        <v>7</v>
      </c>
      <c r="G19" s="10">
        <v>7</v>
      </c>
      <c r="H19" s="10">
        <v>0</v>
      </c>
      <c r="I19" s="10">
        <v>0</v>
      </c>
      <c r="J19" s="10">
        <v>0</v>
      </c>
      <c r="K19" s="10">
        <v>4</v>
      </c>
      <c r="L19" s="10">
        <v>4</v>
      </c>
      <c r="M19" s="10">
        <v>4</v>
      </c>
      <c r="N19" s="10">
        <v>1</v>
      </c>
      <c r="O19" s="10">
        <v>2</v>
      </c>
      <c r="P19" s="127">
        <v>9.0909090909090898E-2</v>
      </c>
      <c r="Q19" s="13">
        <v>0.35</v>
      </c>
      <c r="R19" s="13">
        <v>0.36363636363636398</v>
      </c>
      <c r="S19" s="15">
        <v>0.71363636363636396</v>
      </c>
      <c r="T19" s="132" cm="1">
        <f t="array" ref="T19">O19/(D19-(F19+N19))</f>
        <v>0.14285714285714285</v>
      </c>
      <c r="U19" s="17" cm="1">
        <f t="array" ref="U19">RANK(R19,$R$4:$R$23)</f>
        <v>13</v>
      </c>
      <c r="V19" s="18" cm="1">
        <f t="array" ref="V19">RANK(S19,$S$4:$S$23)</f>
        <v>12</v>
      </c>
      <c r="W19" s="10">
        <v>3</v>
      </c>
      <c r="X19" s="129" cm="1">
        <f t="array" ref="X19">RANK(C19,$C$4:$C$23)</f>
        <v>5</v>
      </c>
    </row>
    <row r="20" spans="1:24" ht="19.5" customHeight="1">
      <c r="A20" s="8" t="s">
        <v>40</v>
      </c>
      <c r="B20" s="10">
        <v>16</v>
      </c>
      <c r="C20" s="98">
        <v>9.5238095238095205E-2</v>
      </c>
      <c r="D20" s="10">
        <v>29</v>
      </c>
      <c r="E20" s="10">
        <v>21</v>
      </c>
      <c r="F20" s="10">
        <v>2</v>
      </c>
      <c r="G20" s="10">
        <v>2</v>
      </c>
      <c r="H20" s="10">
        <v>0</v>
      </c>
      <c r="I20" s="10">
        <v>0</v>
      </c>
      <c r="J20" s="10">
        <v>0</v>
      </c>
      <c r="K20" s="10">
        <v>5</v>
      </c>
      <c r="L20" s="10">
        <v>6</v>
      </c>
      <c r="M20" s="10">
        <v>6</v>
      </c>
      <c r="N20" s="10">
        <v>8</v>
      </c>
      <c r="O20" s="10">
        <v>15</v>
      </c>
      <c r="P20" s="12">
        <v>0.51724137931034497</v>
      </c>
      <c r="Q20" s="13">
        <v>9.5238095238095205E-2</v>
      </c>
      <c r="R20" s="13">
        <v>0.34482758620689702</v>
      </c>
      <c r="S20" s="15">
        <v>0.44006568144499197</v>
      </c>
      <c r="T20" s="128" cm="1">
        <f t="array" ref="T20">O20/(D20-(F20+N20))</f>
        <v>0.78947368421052633</v>
      </c>
      <c r="U20" s="17" cm="1">
        <f t="array" ref="U20">RANK(R20,$R$4:$R$23)</f>
        <v>15</v>
      </c>
      <c r="V20" s="18" cm="1">
        <f t="array" ref="V20">RANK(S20,$S$4:$S$23)</f>
        <v>16</v>
      </c>
      <c r="W20" s="10">
        <v>5</v>
      </c>
      <c r="X20" s="129" cm="1">
        <f t="array" ref="X20">RANK(C20,$C$4:$C$23)</f>
        <v>17</v>
      </c>
    </row>
    <row r="21" spans="1:24" ht="19.5" customHeight="1">
      <c r="A21" s="8" t="s">
        <v>41</v>
      </c>
      <c r="B21" s="10">
        <v>19</v>
      </c>
      <c r="C21" s="98">
        <v>0.34210526315789502</v>
      </c>
      <c r="D21" s="10">
        <v>44</v>
      </c>
      <c r="E21" s="10">
        <v>38</v>
      </c>
      <c r="F21" s="10">
        <v>13</v>
      </c>
      <c r="G21" s="10">
        <v>9</v>
      </c>
      <c r="H21" s="10">
        <v>3</v>
      </c>
      <c r="I21" s="10">
        <v>0</v>
      </c>
      <c r="J21" s="10">
        <v>1</v>
      </c>
      <c r="K21" s="10">
        <v>17</v>
      </c>
      <c r="L21" s="10">
        <v>8</v>
      </c>
      <c r="M21" s="10">
        <v>9</v>
      </c>
      <c r="N21" s="10">
        <v>6</v>
      </c>
      <c r="O21" s="10">
        <v>8</v>
      </c>
      <c r="P21" s="127">
        <v>0.18181818181818199</v>
      </c>
      <c r="Q21" s="13">
        <v>0.5</v>
      </c>
      <c r="R21" s="13">
        <v>0.43181818181818199</v>
      </c>
      <c r="S21" s="15">
        <v>0.93181818181818199</v>
      </c>
      <c r="T21" s="132" cm="1">
        <f t="array" ref="T21">O21/(D21-(F21+N21))</f>
        <v>0.32</v>
      </c>
      <c r="U21" s="17" cm="1">
        <f t="array" ref="U21">RANK(R21,$R$4:$R$23)</f>
        <v>8</v>
      </c>
      <c r="V21" s="18" cm="1">
        <f t="array" ref="V21">RANK(S21,$S$4:$S$23)</f>
        <v>7</v>
      </c>
      <c r="W21" s="10">
        <v>0</v>
      </c>
      <c r="X21" s="129" cm="1">
        <f t="array" ref="X21">RANK(C21,$C$4:$C$23)</f>
        <v>6</v>
      </c>
    </row>
    <row r="22" spans="1:24" ht="19.5" customHeight="1">
      <c r="A22" s="8" t="s">
        <v>42</v>
      </c>
      <c r="B22" s="10">
        <v>10</v>
      </c>
      <c r="C22" s="98">
        <v>0.33333333333333298</v>
      </c>
      <c r="D22" s="10">
        <v>18</v>
      </c>
      <c r="E22" s="10">
        <v>15</v>
      </c>
      <c r="F22" s="10">
        <v>5</v>
      </c>
      <c r="G22" s="10">
        <v>5</v>
      </c>
      <c r="H22" s="10">
        <v>0</v>
      </c>
      <c r="I22" s="10">
        <v>0</v>
      </c>
      <c r="J22" s="10">
        <v>0</v>
      </c>
      <c r="K22" s="10">
        <v>5</v>
      </c>
      <c r="L22" s="10">
        <v>1</v>
      </c>
      <c r="M22" s="10">
        <v>6</v>
      </c>
      <c r="N22" s="10">
        <v>2</v>
      </c>
      <c r="O22" s="10">
        <v>4</v>
      </c>
      <c r="P22" s="127">
        <v>0.22222222222222199</v>
      </c>
      <c r="Q22" s="13">
        <v>0.33333333333333298</v>
      </c>
      <c r="R22" s="13">
        <v>0.38888888888888901</v>
      </c>
      <c r="S22" s="15">
        <v>0.72222222222222199</v>
      </c>
      <c r="T22" s="128" cm="1">
        <f t="array" ref="T22">O22/(D22-(F22+N22))</f>
        <v>0.36363636363636365</v>
      </c>
      <c r="U22" s="17" cm="1">
        <f t="array" ref="U22">RANK(R22,$R$4:$R$23)</f>
        <v>11</v>
      </c>
      <c r="V22" s="18" cm="1">
        <f t="array" ref="V22">RANK(S22,$S$4:$S$23)</f>
        <v>11</v>
      </c>
      <c r="W22" s="10">
        <v>2</v>
      </c>
      <c r="X22" s="129" cm="1">
        <f t="array" ref="X22">RANK(C22,$C$4:$C$23)</f>
        <v>7</v>
      </c>
    </row>
    <row r="23" spans="1:24" ht="19.5" customHeight="1">
      <c r="A23" s="8" t="s">
        <v>43</v>
      </c>
      <c r="B23" s="10">
        <v>14</v>
      </c>
      <c r="C23" s="98">
        <v>0.266666666666667</v>
      </c>
      <c r="D23" s="10">
        <v>38</v>
      </c>
      <c r="E23" s="10">
        <v>30</v>
      </c>
      <c r="F23" s="10">
        <v>8</v>
      </c>
      <c r="G23" s="10">
        <v>6</v>
      </c>
      <c r="H23" s="10">
        <v>2</v>
      </c>
      <c r="I23" s="10">
        <v>0</v>
      </c>
      <c r="J23" s="10">
        <v>0</v>
      </c>
      <c r="K23" s="10">
        <v>6</v>
      </c>
      <c r="L23" s="10">
        <v>7</v>
      </c>
      <c r="M23" s="10">
        <v>5</v>
      </c>
      <c r="N23" s="10">
        <v>8</v>
      </c>
      <c r="O23" s="10">
        <v>9</v>
      </c>
      <c r="P23" s="127">
        <v>0.23684210526315799</v>
      </c>
      <c r="Q23" s="13">
        <v>0.33333333333333298</v>
      </c>
      <c r="R23" s="13">
        <v>0.42105263157894701</v>
      </c>
      <c r="S23" s="15">
        <v>0.75438596491228105</v>
      </c>
      <c r="T23" s="185" cm="1">
        <f t="array" ref="T23">O23/(D23-(F23+N23))</f>
        <v>0.40909090909090912</v>
      </c>
      <c r="U23" s="17" cm="1">
        <f t="array" ref="U23">RANK(R23,$R$4:$R$23)</f>
        <v>9</v>
      </c>
      <c r="V23" s="18" cm="1">
        <f t="array" ref="V23">RANK(S23,$S$4:$S$23)</f>
        <v>10</v>
      </c>
      <c r="W23" s="10">
        <v>1</v>
      </c>
      <c r="X23" s="129" cm="1">
        <f t="array" ref="X23">RANK(C23,$C$4:$C$23)</f>
        <v>12</v>
      </c>
    </row>
    <row r="24" spans="1:24" ht="19.5" customHeight="1">
      <c r="A24" s="8" t="s">
        <v>44</v>
      </c>
      <c r="B24" s="10">
        <v>7</v>
      </c>
      <c r="C24" s="98">
        <v>9.0909090909090898E-2</v>
      </c>
      <c r="D24" s="10">
        <v>16</v>
      </c>
      <c r="E24" s="10">
        <v>11</v>
      </c>
      <c r="F24" s="10">
        <v>1</v>
      </c>
      <c r="G24" s="10">
        <v>1</v>
      </c>
      <c r="H24" s="10">
        <v>0</v>
      </c>
      <c r="I24" s="10">
        <v>0</v>
      </c>
      <c r="J24" s="10">
        <v>0</v>
      </c>
      <c r="K24" s="10">
        <v>3</v>
      </c>
      <c r="L24" s="10">
        <v>0</v>
      </c>
      <c r="M24" s="10">
        <v>2</v>
      </c>
      <c r="N24" s="10">
        <v>2</v>
      </c>
      <c r="O24" s="10">
        <v>3</v>
      </c>
      <c r="P24" s="127">
        <v>0.1875</v>
      </c>
      <c r="Q24" s="13">
        <v>9.0909090909090898E-2</v>
      </c>
      <c r="R24" s="13">
        <v>0.1875</v>
      </c>
      <c r="S24" s="15">
        <v>0.27840909090909099</v>
      </c>
      <c r="T24" s="31"/>
      <c r="U24" s="31"/>
      <c r="V24" s="31"/>
      <c r="W24" s="49" cm="1">
        <f t="array" ref="W24">SUM(W4:W23)</f>
        <v>49</v>
      </c>
      <c r="X24" s="31"/>
    </row>
    <row r="25" spans="1:24" ht="19.5" customHeight="1">
      <c r="A25" s="29" t="s">
        <v>45</v>
      </c>
      <c r="B25" s="103"/>
      <c r="C25" s="105" cm="1">
        <f t="array" ref="C25">F25/E25</f>
        <v>0.35570469798657717</v>
      </c>
      <c r="D25" s="49" cm="1">
        <f t="array" ref="D25">SUM(D4:D24)</f>
        <v>565</v>
      </c>
      <c r="E25" s="49" cm="1">
        <f t="array" ref="E25">SUM(E4:E24)</f>
        <v>447</v>
      </c>
      <c r="F25" s="49" cm="1">
        <f t="array" ref="F25">SUM(F4:F24)</f>
        <v>159</v>
      </c>
      <c r="G25" s="49" cm="1">
        <f t="array" ref="G25">SUM(G4:G24)</f>
        <v>118</v>
      </c>
      <c r="H25" s="49" cm="1">
        <f t="array" ref="H25">SUM(H4:H24)</f>
        <v>30</v>
      </c>
      <c r="I25" s="49" cm="1">
        <f t="array" ref="I25">SUM(I4:I24)</f>
        <v>8</v>
      </c>
      <c r="J25" s="49" cm="1">
        <f t="array" ref="J25">SUM(J4:J24)</f>
        <v>3</v>
      </c>
      <c r="K25" s="49" cm="1">
        <f t="array" ref="K25">SUM(K4:K24)</f>
        <v>163</v>
      </c>
      <c r="L25" s="49" cm="1">
        <f t="array" ref="L25">SUM(L4:L24)</f>
        <v>134</v>
      </c>
      <c r="M25" s="49" cm="1">
        <f t="array" ref="M25">SUM(M4:M24)</f>
        <v>129</v>
      </c>
      <c r="N25" s="49" cm="1">
        <f t="array" ref="N25">SUM(N4:N24)</f>
        <v>99</v>
      </c>
      <c r="O25" s="49" cm="1">
        <f t="array" ref="O25">SUM(O4:O24)</f>
        <v>106</v>
      </c>
      <c r="P25" s="33" cm="1">
        <f t="array" ref="P25">O25/D25</f>
        <v>0.18761061946902655</v>
      </c>
      <c r="Q25" s="105"/>
      <c r="R25" s="105"/>
      <c r="S25" s="100"/>
      <c r="T25" s="31"/>
      <c r="U25" s="31"/>
      <c r="V25" s="186"/>
      <c r="W25" s="34"/>
      <c r="X25" s="34"/>
    </row>
    <row r="26" spans="1:24" ht="16.5" customHeight="1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"/>
      <c r="W26" s="3"/>
      <c r="X26" s="3"/>
    </row>
    <row r="27" spans="1:24" ht="17.25" customHeight="1">
      <c r="A27" s="5" t="s">
        <v>46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6"/>
      <c r="S27" s="6"/>
      <c r="T27" s="6"/>
      <c r="U27" s="6"/>
      <c r="V27" s="6"/>
      <c r="W27" s="3"/>
      <c r="X27" s="3"/>
    </row>
    <row r="28" spans="1:24" ht="51.75" customHeight="1">
      <c r="A28" s="8" t="s">
        <v>2</v>
      </c>
      <c r="B28" s="8" t="s">
        <v>3</v>
      </c>
      <c r="C28" s="8" t="s">
        <v>47</v>
      </c>
      <c r="D28" s="8" t="s">
        <v>48</v>
      </c>
      <c r="E28" s="8" t="s">
        <v>49</v>
      </c>
      <c r="F28" s="8" t="s">
        <v>50</v>
      </c>
      <c r="G28" s="8" t="s">
        <v>6</v>
      </c>
      <c r="H28" s="8" t="s">
        <v>51</v>
      </c>
      <c r="I28" s="8" t="s">
        <v>52</v>
      </c>
      <c r="J28" s="8" t="s">
        <v>53</v>
      </c>
      <c r="K28" s="8" t="s">
        <v>54</v>
      </c>
      <c r="L28" s="8" t="s">
        <v>55</v>
      </c>
      <c r="M28" s="8" t="s">
        <v>56</v>
      </c>
      <c r="N28" s="8" t="s">
        <v>57</v>
      </c>
      <c r="O28" s="8" t="s">
        <v>58</v>
      </c>
      <c r="P28" s="8" t="s">
        <v>59</v>
      </c>
      <c r="Q28" s="8" t="s">
        <v>60</v>
      </c>
      <c r="R28" s="8" t="s">
        <v>61</v>
      </c>
      <c r="S28" s="8" t="s">
        <v>116</v>
      </c>
      <c r="T28" s="8" t="s">
        <v>63</v>
      </c>
      <c r="U28" s="8" t="s">
        <v>64</v>
      </c>
      <c r="V28" s="8" t="s">
        <v>65</v>
      </c>
      <c r="W28" s="9"/>
      <c r="X28" s="3"/>
    </row>
    <row r="29" spans="1:24" ht="19.5" customHeight="1">
      <c r="A29" s="8" t="s">
        <v>24</v>
      </c>
      <c r="B29" s="10">
        <v>10</v>
      </c>
      <c r="C29" s="10">
        <v>1</v>
      </c>
      <c r="D29" s="10">
        <v>2</v>
      </c>
      <c r="E29" s="10">
        <v>0</v>
      </c>
      <c r="F29" s="10">
        <v>71</v>
      </c>
      <c r="G29" s="10">
        <v>40</v>
      </c>
      <c r="H29" s="39">
        <v>6.3333266659999996</v>
      </c>
      <c r="I29" s="10">
        <v>15</v>
      </c>
      <c r="J29" s="10">
        <v>0</v>
      </c>
      <c r="K29" s="10">
        <v>27</v>
      </c>
      <c r="L29" s="10">
        <v>4</v>
      </c>
      <c r="M29" s="10">
        <v>4</v>
      </c>
      <c r="N29" s="10">
        <v>33</v>
      </c>
      <c r="O29" s="10">
        <v>19</v>
      </c>
      <c r="P29" s="40" cm="1">
        <f t="array" ref="P29">O29*9/H29</f>
        <v>27.000028423924661</v>
      </c>
      <c r="Q29" s="41" cm="1">
        <f t="array" ref="Q29">(K29+L29)/H29</f>
        <v>4.8947419949804942</v>
      </c>
      <c r="R29" s="42" cm="1">
        <f t="array" ref="R29">I29/H29</f>
        <v>2.3684235459583038</v>
      </c>
      <c r="S29" s="42" cm="1">
        <f t="array" ref="S29">H29/B29</f>
        <v>0.63333266659999998</v>
      </c>
      <c r="T29" s="41" cm="1">
        <f t="array" ref="T29">M29/H29</f>
        <v>0.6315796122555476</v>
      </c>
      <c r="U29" s="44" cm="1">
        <f t="array" ref="U29">O29/N29</f>
        <v>0.5757575757575758</v>
      </c>
      <c r="V29" s="41" cm="1">
        <f t="array" ref="V29">(I29+K29+L29)/H29</f>
        <v>7.2631655409387976</v>
      </c>
      <c r="W29" s="9"/>
      <c r="X29" s="184" cm="1">
        <f t="array" ref="X29">(L29+K29)/F29*100</f>
        <v>43.661971830985912</v>
      </c>
    </row>
    <row r="30" spans="1:24" ht="19.5" customHeight="1">
      <c r="A30" s="8" t="s">
        <v>27</v>
      </c>
      <c r="B30" s="10">
        <v>0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39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40"/>
      <c r="Q30" s="41"/>
      <c r="R30" s="42"/>
      <c r="S30" s="42"/>
      <c r="T30" s="41"/>
      <c r="U30" s="44"/>
      <c r="V30" s="41"/>
      <c r="W30" s="9"/>
      <c r="X30" s="184"/>
    </row>
    <row r="31" spans="1:24" ht="19.5" customHeight="1">
      <c r="A31" s="8" t="s">
        <v>29</v>
      </c>
      <c r="B31" s="10">
        <v>9</v>
      </c>
      <c r="C31" s="10">
        <v>1</v>
      </c>
      <c r="D31" s="10">
        <v>2</v>
      </c>
      <c r="E31" s="10">
        <v>0</v>
      </c>
      <c r="F31" s="10">
        <v>113</v>
      </c>
      <c r="G31" s="10">
        <v>85</v>
      </c>
      <c r="H31" s="39">
        <v>12.66663333</v>
      </c>
      <c r="I31" s="10">
        <v>33</v>
      </c>
      <c r="J31" s="10">
        <v>3</v>
      </c>
      <c r="K31" s="10">
        <v>23</v>
      </c>
      <c r="L31" s="10">
        <v>5</v>
      </c>
      <c r="M31" s="10">
        <v>11</v>
      </c>
      <c r="N31" s="10">
        <v>48</v>
      </c>
      <c r="O31" s="10">
        <v>32</v>
      </c>
      <c r="P31" s="40" cm="1">
        <f t="array" ref="P31">O31*9/H31</f>
        <v>22.73690194519904</v>
      </c>
      <c r="Q31" s="41" cm="1">
        <f t="array" ref="Q31">(K31+L31)/H31</f>
        <v>2.210532133561018</v>
      </c>
      <c r="R31" s="42" cm="1">
        <f t="array" ref="R31">I31/H31</f>
        <v>2.6052700145540566</v>
      </c>
      <c r="S31" s="42" cm="1">
        <f t="array" ref="S31">H31/B31</f>
        <v>1.4074037033333333</v>
      </c>
      <c r="T31" s="41" cm="1">
        <f t="array" ref="T31">M31/H31</f>
        <v>0.86842333818468553</v>
      </c>
      <c r="U31" s="44" cm="1">
        <f t="array" ref="U31">O31/N31</f>
        <v>0.66666666666666663</v>
      </c>
      <c r="V31" s="41" cm="1">
        <f t="array" ref="V31">(I31+K31+L31)/H31</f>
        <v>4.8158021481150746</v>
      </c>
      <c r="W31" s="9"/>
      <c r="X31" s="184" cm="1">
        <f t="array" ref="X31">(L31+K31)/F31*100</f>
        <v>24.778761061946902</v>
      </c>
    </row>
    <row r="32" spans="1:24" ht="19.5" customHeight="1">
      <c r="A32" s="8" t="s">
        <v>33</v>
      </c>
      <c r="B32" s="10">
        <v>15</v>
      </c>
      <c r="C32" s="10">
        <v>1</v>
      </c>
      <c r="D32" s="10">
        <v>3</v>
      </c>
      <c r="E32" s="10">
        <v>1</v>
      </c>
      <c r="F32" s="10">
        <v>115</v>
      </c>
      <c r="G32" s="10">
        <v>97</v>
      </c>
      <c r="H32" s="39">
        <v>19.999933333329999</v>
      </c>
      <c r="I32" s="73">
        <v>29</v>
      </c>
      <c r="J32" s="73">
        <v>0</v>
      </c>
      <c r="K32" s="73">
        <v>14</v>
      </c>
      <c r="L32" s="73">
        <v>4</v>
      </c>
      <c r="M32" s="73">
        <v>34</v>
      </c>
      <c r="N32" s="73">
        <v>29</v>
      </c>
      <c r="O32" s="73">
        <v>16</v>
      </c>
      <c r="P32" s="40" cm="1">
        <f t="array" ref="P32">O32*9/H32</f>
        <v>7.2000240000812008</v>
      </c>
      <c r="Q32" s="41" cm="1">
        <f t="array" ref="Q32">(K32+L32)/H32</f>
        <v>0.9000030000101501</v>
      </c>
      <c r="R32" s="42" cm="1">
        <f t="array" ref="R32">I32/H32</f>
        <v>1.4500048333496862</v>
      </c>
      <c r="S32" s="42" cm="1">
        <f t="array" ref="S32">H32/B32</f>
        <v>1.3333288888886665</v>
      </c>
      <c r="T32" s="41" cm="1">
        <f t="array" ref="T32">M32/H32</f>
        <v>1.700005666685839</v>
      </c>
      <c r="U32" s="44" cm="1">
        <f t="array" ref="U32">O32/N32</f>
        <v>0.55172413793103448</v>
      </c>
      <c r="V32" s="41" cm="1">
        <f t="array" ref="V32">(I32+K32+L32)/H32</f>
        <v>2.3500078333598364</v>
      </c>
      <c r="W32" s="9"/>
      <c r="X32" s="184" cm="1">
        <f t="array" ref="X32">(L32+K32)/F32*100</f>
        <v>15.65217391304348</v>
      </c>
    </row>
    <row r="33" spans="1:24" ht="19.5" customHeight="1">
      <c r="A33" s="8" t="s">
        <v>36</v>
      </c>
      <c r="B33" s="10">
        <v>9</v>
      </c>
      <c r="C33" s="10">
        <v>0</v>
      </c>
      <c r="D33" s="10">
        <v>3</v>
      </c>
      <c r="E33" s="10">
        <v>0</v>
      </c>
      <c r="F33" s="10">
        <v>127</v>
      </c>
      <c r="G33" s="10">
        <v>92</v>
      </c>
      <c r="H33" s="39">
        <v>16.3332666666</v>
      </c>
      <c r="I33" s="10">
        <v>37</v>
      </c>
      <c r="J33" s="10">
        <v>2</v>
      </c>
      <c r="K33" s="10">
        <v>32</v>
      </c>
      <c r="L33" s="10">
        <v>3</v>
      </c>
      <c r="M33" s="10">
        <v>19</v>
      </c>
      <c r="N33" s="10">
        <v>52</v>
      </c>
      <c r="O33" s="10">
        <v>36</v>
      </c>
      <c r="P33" s="40" cm="1">
        <f t="array" ref="P33">O33*9/H33</f>
        <v>19.83681566055305</v>
      </c>
      <c r="Q33" s="41" cm="1">
        <f t="array" ref="Q33">(K33+L33)/H33</f>
        <v>2.1428658892572741</v>
      </c>
      <c r="R33" s="42" cm="1">
        <f t="array" ref="R33">I33/H33</f>
        <v>2.265315368643404</v>
      </c>
      <c r="S33" s="42" cm="1">
        <f t="array" ref="S33">H33/B33</f>
        <v>1.8148074074</v>
      </c>
      <c r="T33" s="41" cm="1">
        <f t="array" ref="T33">M33/H33</f>
        <v>1.1632700541682344</v>
      </c>
      <c r="U33" s="44" cm="1">
        <f t="array" ref="U33">O33/N33</f>
        <v>0.69230769230769229</v>
      </c>
      <c r="V33" s="41" cm="1">
        <f t="array" ref="V33">(I33+K33+L33)/H33</f>
        <v>4.4081812579006776</v>
      </c>
      <c r="W33" s="9"/>
      <c r="X33" s="184" cm="1">
        <f t="array" ref="X33">(L33+K33)/F33*100</f>
        <v>27.559055118110237</v>
      </c>
    </row>
    <row r="34" spans="1:24" ht="19.5" customHeight="1">
      <c r="A34" s="8" t="s">
        <v>37</v>
      </c>
      <c r="B34" s="10">
        <v>1</v>
      </c>
      <c r="C34" s="10">
        <v>0</v>
      </c>
      <c r="D34" s="10">
        <v>0</v>
      </c>
      <c r="E34" s="10">
        <v>0</v>
      </c>
      <c r="F34" s="10">
        <v>3</v>
      </c>
      <c r="G34" s="10">
        <v>2</v>
      </c>
      <c r="H34" s="39">
        <v>0.3333333</v>
      </c>
      <c r="I34" s="10">
        <v>1</v>
      </c>
      <c r="J34" s="10">
        <v>0</v>
      </c>
      <c r="K34" s="10">
        <v>1</v>
      </c>
      <c r="L34" s="10">
        <v>0</v>
      </c>
      <c r="M34" s="10">
        <v>1</v>
      </c>
      <c r="N34" s="10">
        <v>0</v>
      </c>
      <c r="O34" s="10">
        <v>0</v>
      </c>
      <c r="P34" s="40" cm="1">
        <f t="array" ref="P34">O34*9/H34</f>
        <v>0</v>
      </c>
      <c r="Q34" s="41" cm="1">
        <f t="array" ref="Q34">(K34+L34)/H34</f>
        <v>3.0000003000000302</v>
      </c>
      <c r="R34" s="42" cm="1">
        <f t="array" ref="R34">I34/H34</f>
        <v>3.0000003000000302</v>
      </c>
      <c r="S34" s="42" cm="1">
        <f t="array" ref="S34">H34/B34</f>
        <v>0.3333333</v>
      </c>
      <c r="T34" s="41" cm="1">
        <f t="array" ref="T34">M34/H34</f>
        <v>3.0000003000000302</v>
      </c>
      <c r="U34" s="44"/>
      <c r="V34" s="41" cm="1">
        <f t="array" ref="V34">(I34+K34+L34)/H34</f>
        <v>6.0000006000000603</v>
      </c>
      <c r="W34" s="9"/>
      <c r="X34" s="184" cm="1">
        <f t="array" ref="X34">(L34+K34)/F34*100</f>
        <v>33.333333333333329</v>
      </c>
    </row>
    <row r="35" spans="1:24" ht="19.5" customHeight="1">
      <c r="A35" s="8" t="s">
        <v>42</v>
      </c>
      <c r="B35" s="10">
        <v>3</v>
      </c>
      <c r="C35" s="10">
        <v>0</v>
      </c>
      <c r="D35" s="10">
        <v>2</v>
      </c>
      <c r="E35" s="10">
        <v>0</v>
      </c>
      <c r="F35" s="10">
        <v>53</v>
      </c>
      <c r="G35" s="10">
        <v>27</v>
      </c>
      <c r="H35" s="39">
        <v>5.9999666665999998</v>
      </c>
      <c r="I35" s="10">
        <v>7</v>
      </c>
      <c r="J35" s="10">
        <v>1</v>
      </c>
      <c r="K35" s="10">
        <v>26</v>
      </c>
      <c r="L35" s="10">
        <v>0</v>
      </c>
      <c r="M35" s="10">
        <v>3</v>
      </c>
      <c r="N35" s="10">
        <v>25</v>
      </c>
      <c r="O35" s="10">
        <v>13</v>
      </c>
      <c r="P35" s="40" cm="1">
        <f t="array" ref="P35">O35*9/H35</f>
        <v>19.500108334151857</v>
      </c>
      <c r="Q35" s="41" cm="1">
        <f t="array" ref="Q35">(K35+L35)/H35</f>
        <v>4.3333574075893022</v>
      </c>
      <c r="R35" s="42" cm="1">
        <f t="array" ref="R35">I35/H35</f>
        <v>1.1666731481971198</v>
      </c>
      <c r="S35" s="42" cm="1">
        <f t="array" ref="S35">H35/B35</f>
        <v>1.9999888888666666</v>
      </c>
      <c r="T35" s="41" cm="1">
        <f t="array" ref="T35">M35/H35</f>
        <v>0.50000277779876556</v>
      </c>
      <c r="U35" s="44" cm="1">
        <f t="array" ref="U35">O35/N35</f>
        <v>0.52</v>
      </c>
      <c r="V35" s="41" cm="1">
        <f t="array" ref="V35">(I35+K35+L35)/H35</f>
        <v>5.500030555786422</v>
      </c>
      <c r="W35" s="9"/>
      <c r="X35" s="184" cm="1">
        <f t="array" ref="X35">(L35+K35)/F35*100</f>
        <v>49.056603773584904</v>
      </c>
    </row>
    <row r="36" spans="1:24" ht="19.5" customHeight="1">
      <c r="A36" s="8" t="s">
        <v>43</v>
      </c>
      <c r="B36" s="10">
        <v>15</v>
      </c>
      <c r="C36" s="10">
        <v>3</v>
      </c>
      <c r="D36" s="10">
        <v>4</v>
      </c>
      <c r="E36" s="10">
        <v>2</v>
      </c>
      <c r="F36" s="10">
        <v>210</v>
      </c>
      <c r="G36" s="10">
        <v>158</v>
      </c>
      <c r="H36" s="39">
        <v>28.999966662999999</v>
      </c>
      <c r="I36" s="10">
        <v>62</v>
      </c>
      <c r="J36" s="10">
        <v>1</v>
      </c>
      <c r="K36" s="10">
        <v>44</v>
      </c>
      <c r="L36" s="10">
        <v>8</v>
      </c>
      <c r="M36" s="10">
        <v>31</v>
      </c>
      <c r="N36" s="10">
        <v>83</v>
      </c>
      <c r="O36" s="10">
        <v>70</v>
      </c>
      <c r="P36" s="40" cm="1">
        <f t="array" ref="P36">O36*9/H36</f>
        <v>21.724162904083407</v>
      </c>
      <c r="Q36" s="41" cm="1">
        <f t="array" ref="Q36">(K36+L36)/H36</f>
        <v>1.7931055095433923</v>
      </c>
      <c r="R36" s="42" cm="1">
        <f t="array" ref="R36">I36/H36</f>
        <v>2.1379334921478907</v>
      </c>
      <c r="S36" s="42" cm="1">
        <f t="array" ref="S36">H36/B36</f>
        <v>1.9333311108666666</v>
      </c>
      <c r="T36" s="41" cm="1">
        <f t="array" ref="T36">M36/H36</f>
        <v>1.0689667460739454</v>
      </c>
      <c r="U36" s="44" cm="1">
        <f t="array" ref="U36">O36/N36</f>
        <v>0.84337349397590367</v>
      </c>
      <c r="V36" s="41" cm="1">
        <f t="array" ref="V36">(I36+K36+L36)/H36</f>
        <v>3.9310390016912828</v>
      </c>
      <c r="W36" s="9"/>
      <c r="X36" s="184" cm="1">
        <f t="array" ref="X36">(L36+K36)/F36*100</f>
        <v>24.761904761904763</v>
      </c>
    </row>
    <row r="37" spans="1:24" ht="19.5" customHeight="1">
      <c r="A37" s="29" t="s">
        <v>45</v>
      </c>
      <c r="B37" s="103"/>
      <c r="C37" s="49" cm="1">
        <f t="array" ref="C37">SUM(C29:C36)</f>
        <v>6</v>
      </c>
      <c r="D37" s="49" cm="1">
        <f t="array" ref="D37">SUM(D29:D36)</f>
        <v>16</v>
      </c>
      <c r="E37" s="49" cm="1">
        <f t="array" ref="E37">SUM(E29:E36)</f>
        <v>3</v>
      </c>
      <c r="F37" s="49" cm="1">
        <f t="array" ref="F37">SUM(F29:F36)</f>
        <v>692</v>
      </c>
      <c r="G37" s="49" cm="1">
        <f t="array" ref="G37">SUM(G29:G36)</f>
        <v>501</v>
      </c>
      <c r="H37" s="50" cm="1">
        <f t="array" ref="H37">SUM(H29:H36)</f>
        <v>90.666426625530008</v>
      </c>
      <c r="I37" s="49" cm="1">
        <f t="array" ref="I37">SUM(I29:I36)</f>
        <v>184</v>
      </c>
      <c r="J37" s="49" cm="1">
        <f t="array" ref="J37">SUM(J29:J36)</f>
        <v>7</v>
      </c>
      <c r="K37" s="49" cm="1">
        <f t="array" ref="K37">SUM(K29:K36)</f>
        <v>167</v>
      </c>
      <c r="L37" s="49" cm="1">
        <f t="array" ref="L37">SUM(L29:L36)</f>
        <v>24</v>
      </c>
      <c r="M37" s="49" cm="1">
        <f t="array" ref="M37">SUM(M29:M36)</f>
        <v>103</v>
      </c>
      <c r="N37" s="49" cm="1">
        <f t="array" ref="N37">SUM(N29:N36)</f>
        <v>270</v>
      </c>
      <c r="O37" s="49" cm="1">
        <f t="array" ref="O37">SUM(O29:O36)</f>
        <v>186</v>
      </c>
      <c r="P37" s="51" cm="1">
        <f t="array" ref="P37">O37*9/H37</f>
        <v>18.463284175893971</v>
      </c>
      <c r="Q37" s="52" cm="1">
        <f t="array" ref="Q37">(K37+L37)/H37</f>
        <v>2.1066232243702201</v>
      </c>
      <c r="R37" s="53" cm="1">
        <f t="array" ref="R37">I37/H37</f>
        <v>2.0294171376131964</v>
      </c>
      <c r="S37" s="53">
        <v>0</v>
      </c>
      <c r="T37" s="52" cm="1">
        <f t="array" ref="T37">M37/H37</f>
        <v>1.1360324194247784</v>
      </c>
      <c r="U37" s="55" cm="1">
        <f t="array" ref="U37">O37/N37</f>
        <v>0.68888888888888888</v>
      </c>
      <c r="V37" s="52" cm="1">
        <f t="array" ref="V37">(I37+K37+L37)/H37</f>
        <v>4.1360403619834161</v>
      </c>
      <c r="W37" s="9"/>
      <c r="X37" s="3"/>
    </row>
  </sheetData>
  <phoneticPr fontId="21" type="noConversion"/>
  <pageMargins left="0.69972199999999996" right="0.69972199999999996" top="0.75" bottom="0.75" header="0.3" footer="0.3"/>
  <pageSetup orientation="portrait"/>
  <headerFooter>
    <oddFooter>&amp;C&amp;"Helvetica Neue,Regular"&amp;12&amp;K000000&amp;P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A41"/>
  <sheetViews>
    <sheetView showGridLines="0" workbookViewId="0"/>
  </sheetViews>
  <sheetFormatPr defaultColWidth="9" defaultRowHeight="16.5" customHeight="1"/>
  <cols>
    <col min="1" max="18" width="8.875" style="1" customWidth="1"/>
    <col min="19" max="19" width="10.875" style="1" customWidth="1"/>
    <col min="20" max="22" width="9" style="1" customWidth="1"/>
    <col min="23" max="23" width="9" style="1" hidden="1" customWidth="1"/>
    <col min="24" max="24" width="11.375" style="1" customWidth="1"/>
    <col min="25" max="25" width="2.625" style="1" customWidth="1"/>
    <col min="26" max="27" width="12.625" style="1" customWidth="1"/>
    <col min="28" max="28" width="9" style="1" customWidth="1"/>
    <col min="29" max="16384" width="9" style="1"/>
  </cols>
  <sheetData>
    <row r="1" spans="1:27" ht="26.25" customHeight="1">
      <c r="A1" s="118" t="s">
        <v>171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87"/>
      <c r="AA1" s="188"/>
    </row>
    <row r="2" spans="1:27" ht="17.25" customHeight="1">
      <c r="A2" s="121" t="s">
        <v>1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3"/>
      <c r="Z2" s="189"/>
      <c r="AA2" s="190"/>
    </row>
    <row r="3" spans="1:27" ht="34.5" customHeight="1">
      <c r="A3" s="8" t="s">
        <v>2</v>
      </c>
      <c r="B3" s="8" t="s">
        <v>3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10</v>
      </c>
      <c r="J3" s="8" t="s">
        <v>11</v>
      </c>
      <c r="K3" s="8" t="s">
        <v>12</v>
      </c>
      <c r="L3" s="8" t="s">
        <v>13</v>
      </c>
      <c r="M3" s="8" t="s">
        <v>14</v>
      </c>
      <c r="N3" s="8" t="s">
        <v>15</v>
      </c>
      <c r="O3" s="8" t="s">
        <v>16</v>
      </c>
      <c r="P3" s="8" t="s">
        <v>109</v>
      </c>
      <c r="Q3" s="8" t="s">
        <v>18</v>
      </c>
      <c r="R3" s="8" t="s">
        <v>19</v>
      </c>
      <c r="S3" s="8" t="s">
        <v>20</v>
      </c>
      <c r="T3" s="8" t="s">
        <v>110</v>
      </c>
      <c r="U3" s="8" t="s">
        <v>22</v>
      </c>
      <c r="V3" s="8" t="s">
        <v>23</v>
      </c>
      <c r="W3" s="8" t="s">
        <v>114</v>
      </c>
      <c r="X3" s="8" t="s">
        <v>111</v>
      </c>
      <c r="Y3" s="142"/>
      <c r="Z3" s="189"/>
      <c r="AA3" s="191"/>
    </row>
    <row r="4" spans="1:27" ht="19.5" customHeight="1">
      <c r="A4" s="8" t="s">
        <v>24</v>
      </c>
      <c r="B4" s="10">
        <v>14</v>
      </c>
      <c r="C4" s="126" cm="1">
        <f t="array" ref="C4">F4/E4</f>
        <v>0.15</v>
      </c>
      <c r="D4" s="10">
        <v>24</v>
      </c>
      <c r="E4" s="10">
        <v>20</v>
      </c>
      <c r="F4" s="10">
        <v>3</v>
      </c>
      <c r="G4" s="10">
        <v>2</v>
      </c>
      <c r="H4" s="10">
        <v>0</v>
      </c>
      <c r="I4" s="10">
        <v>1</v>
      </c>
      <c r="J4" s="10">
        <v>0</v>
      </c>
      <c r="K4" s="10">
        <v>8</v>
      </c>
      <c r="L4" s="10">
        <v>4</v>
      </c>
      <c r="M4" s="10">
        <v>9</v>
      </c>
      <c r="N4" s="10">
        <v>4</v>
      </c>
      <c r="O4" s="10">
        <v>10</v>
      </c>
      <c r="P4" s="131" cm="1">
        <f t="array" ref="P4">O4/D4</f>
        <v>0.41666666666666669</v>
      </c>
      <c r="Q4" s="13" cm="1">
        <f t="array" ref="Q4">(G4*1+H4*2+I4*3+J4*4)/E4</f>
        <v>0.25</v>
      </c>
      <c r="R4" s="13" cm="1">
        <f t="array" ref="R4">(F4+N4)/D4</f>
        <v>0.29166666666666669</v>
      </c>
      <c r="S4" s="15" cm="1">
        <f t="array" ref="S4">R4+Q4</f>
        <v>0.54166666666666674</v>
      </c>
      <c r="T4" s="132" cm="1">
        <f t="array" ref="T4">O4/(D4-(F4+N4))</f>
        <v>0.58823529411764708</v>
      </c>
      <c r="U4" s="17" cm="1">
        <f t="array" ref="U4">RANK(R4,$R$4:$R$23)</f>
        <v>20</v>
      </c>
      <c r="V4" s="18" cm="1">
        <f t="array" ref="V4">RANK(S4,$S$4:$S$23)</f>
        <v>20</v>
      </c>
      <c r="W4" s="10">
        <v>1</v>
      </c>
      <c r="X4" s="129" cm="1">
        <f t="array" ref="X4">RANK(C4,$C$4:$C$23)</f>
        <v>17</v>
      </c>
      <c r="Y4" s="192"/>
      <c r="Z4" s="193" cm="1">
        <f t="array" ref="Z4">N4/D4</f>
        <v>0.16666666666666666</v>
      </c>
      <c r="AA4" s="18" cm="1">
        <f t="array" ref="AA4">RANK(Z4,$Z$4:$Z$23)</f>
        <v>13</v>
      </c>
    </row>
    <row r="5" spans="1:27" ht="19.5" customHeight="1">
      <c r="A5" s="8" t="s">
        <v>25</v>
      </c>
      <c r="B5" s="10">
        <v>10</v>
      </c>
      <c r="C5" s="126" cm="1">
        <f t="array" ref="C5">F5/E5</f>
        <v>0.14285714285714285</v>
      </c>
      <c r="D5" s="10">
        <v>21</v>
      </c>
      <c r="E5" s="10">
        <v>14</v>
      </c>
      <c r="F5" s="10">
        <v>2</v>
      </c>
      <c r="G5" s="10">
        <v>0</v>
      </c>
      <c r="H5" s="10">
        <v>2</v>
      </c>
      <c r="I5" s="10">
        <v>0</v>
      </c>
      <c r="J5" s="10">
        <v>0</v>
      </c>
      <c r="K5" s="10">
        <v>6</v>
      </c>
      <c r="L5" s="10">
        <v>2</v>
      </c>
      <c r="M5" s="10">
        <v>3</v>
      </c>
      <c r="N5" s="10">
        <v>7</v>
      </c>
      <c r="O5" s="10">
        <v>10</v>
      </c>
      <c r="P5" s="131" cm="1">
        <f t="array" ref="P5">O5/D5</f>
        <v>0.47619047619047616</v>
      </c>
      <c r="Q5" s="13" cm="1">
        <f t="array" ref="Q5">(G5*1+H5*2+I5*3+J5*4)/E5</f>
        <v>0.2857142857142857</v>
      </c>
      <c r="R5" s="13" cm="1">
        <f t="array" ref="R5">(F5+N5)/D5</f>
        <v>0.42857142857142855</v>
      </c>
      <c r="S5" s="15" cm="1">
        <f t="array" ref="S5">R5+Q5</f>
        <v>0.71428571428571419</v>
      </c>
      <c r="T5" s="132" cm="1">
        <f t="array" ref="T5">O5/(D5-(F5+N5))</f>
        <v>0.83333333333333337</v>
      </c>
      <c r="U5" s="17" cm="1">
        <f t="array" ref="U5">RANK(R5,$R$4:$R$23)</f>
        <v>16</v>
      </c>
      <c r="V5" s="18" cm="1">
        <f t="array" ref="V5">RANK(S5,$S$4:$S$23)</f>
        <v>15</v>
      </c>
      <c r="W5" s="10">
        <v>1</v>
      </c>
      <c r="X5" s="129" cm="1">
        <f t="array" ref="X5">RANK(C5,$C$4:$C$23)</f>
        <v>18</v>
      </c>
      <c r="Y5" s="192"/>
      <c r="Z5" s="193" cm="1">
        <f t="array" ref="Z5">N5/D5</f>
        <v>0.33333333333333331</v>
      </c>
      <c r="AA5" s="18" cm="1">
        <f t="array" ref="AA5">RANK(Z5,$Z$4:$Z$23)</f>
        <v>3</v>
      </c>
    </row>
    <row r="6" spans="1:27" ht="19.5" customHeight="1">
      <c r="A6" s="8" t="s">
        <v>26</v>
      </c>
      <c r="B6" s="10">
        <v>23</v>
      </c>
      <c r="C6" s="126" cm="1">
        <f t="array" ref="C6">F6/E6</f>
        <v>0.5714285714285714</v>
      </c>
      <c r="D6" s="10">
        <v>72</v>
      </c>
      <c r="E6" s="10">
        <v>63</v>
      </c>
      <c r="F6" s="10">
        <v>36</v>
      </c>
      <c r="G6" s="10">
        <v>26</v>
      </c>
      <c r="H6" s="10">
        <v>7</v>
      </c>
      <c r="I6" s="10">
        <v>2</v>
      </c>
      <c r="J6" s="10">
        <v>1</v>
      </c>
      <c r="K6" s="10">
        <v>22</v>
      </c>
      <c r="L6" s="10">
        <v>32</v>
      </c>
      <c r="M6" s="10">
        <v>15</v>
      </c>
      <c r="N6" s="10">
        <v>9</v>
      </c>
      <c r="O6" s="10">
        <v>4</v>
      </c>
      <c r="P6" s="127" cm="1">
        <f t="array" ref="P6">O6/D6</f>
        <v>5.5555555555555552E-2</v>
      </c>
      <c r="Q6" s="13" cm="1">
        <f t="array" ref="Q6">(G6*1+H6*2+I6*3+J6*4)/E6</f>
        <v>0.79365079365079361</v>
      </c>
      <c r="R6" s="13" cm="1">
        <f t="array" ref="R6">(F6+N6)/D6</f>
        <v>0.625</v>
      </c>
      <c r="S6" s="15" cm="1">
        <f t="array" ref="S6">R6+Q6</f>
        <v>1.4186507936507935</v>
      </c>
      <c r="T6" s="128" cm="1">
        <f t="array" ref="T6">O6/(D6-(F6+N6))</f>
        <v>0.14814814814814814</v>
      </c>
      <c r="U6" s="17" cm="1">
        <f t="array" ref="U6">RANK(R6,$R$4:$R$23)</f>
        <v>1</v>
      </c>
      <c r="V6" s="18" cm="1">
        <f t="array" ref="V6">RANK(S6,$S$4:$S$23)</f>
        <v>1</v>
      </c>
      <c r="W6" s="10">
        <v>5</v>
      </c>
      <c r="X6" s="129" cm="1">
        <f t="array" ref="X6">RANK(C6,$C$4:$C$23)</f>
        <v>1</v>
      </c>
      <c r="Y6" s="192"/>
      <c r="Z6" s="193" cm="1">
        <f t="array" ref="Z6">N6/D6</f>
        <v>0.125</v>
      </c>
      <c r="AA6" s="18" cm="1">
        <f t="array" ref="AA6">RANK(Z6,$Z$4:$Z$23)</f>
        <v>15</v>
      </c>
    </row>
    <row r="7" spans="1:27" ht="19.5" customHeight="1">
      <c r="A7" s="8" t="s">
        <v>27</v>
      </c>
      <c r="B7" s="10">
        <v>3</v>
      </c>
      <c r="C7" s="126" cm="1">
        <f t="array" ref="C7">F7/E7</f>
        <v>0</v>
      </c>
      <c r="D7" s="10">
        <v>7</v>
      </c>
      <c r="E7" s="10">
        <v>3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4</v>
      </c>
      <c r="L7" s="10">
        <v>3</v>
      </c>
      <c r="M7" s="10">
        <v>1</v>
      </c>
      <c r="N7" s="10">
        <v>4</v>
      </c>
      <c r="O7" s="10">
        <v>2</v>
      </c>
      <c r="P7" s="127" cm="1">
        <f t="array" ref="P7">O7/D7</f>
        <v>0.2857142857142857</v>
      </c>
      <c r="Q7" s="13" cm="1">
        <f t="array" ref="Q7">(G7*1+H7*2+I7*3+J7*4)/E7</f>
        <v>0</v>
      </c>
      <c r="R7" s="13" cm="1">
        <f t="array" ref="R7">(F7+N7)/D7</f>
        <v>0.5714285714285714</v>
      </c>
      <c r="S7" s="15" cm="1">
        <f t="array" ref="S7">R7+Q7</f>
        <v>0.5714285714285714</v>
      </c>
      <c r="T7" s="132" cm="1">
        <f t="array" ref="T7">O7/(D7-(F7+N7))</f>
        <v>0.66666666666666663</v>
      </c>
      <c r="U7" s="17" cm="1">
        <f t="array" ref="U7">RANK(R7,$R$4:$R$23)</f>
        <v>5</v>
      </c>
      <c r="V7" s="18" cm="1">
        <f t="array" ref="V7">RANK(S7,$S$4:$S$23)</f>
        <v>18</v>
      </c>
      <c r="W7" s="10">
        <v>0</v>
      </c>
      <c r="X7" s="129" cm="1">
        <f t="array" ref="X7">RANK(C7,$C$4:$C$23)</f>
        <v>20</v>
      </c>
      <c r="Y7" s="192"/>
      <c r="Z7" s="193" cm="1">
        <f t="array" ref="Z7">N7/D7</f>
        <v>0.5714285714285714</v>
      </c>
      <c r="AA7" s="18" cm="1">
        <f t="array" ref="AA7">RANK(Z7,$Z$4:$Z$23)</f>
        <v>1</v>
      </c>
    </row>
    <row r="8" spans="1:27" ht="19.5" customHeight="1">
      <c r="A8" s="8" t="s">
        <v>28</v>
      </c>
      <c r="B8" s="10">
        <v>14</v>
      </c>
      <c r="C8" s="126" cm="1">
        <f t="array" ref="C8">F8/E8</f>
        <v>0.36</v>
      </c>
      <c r="D8" s="10">
        <v>37</v>
      </c>
      <c r="E8" s="10">
        <v>25</v>
      </c>
      <c r="F8" s="10">
        <v>9</v>
      </c>
      <c r="G8" s="10">
        <v>6</v>
      </c>
      <c r="H8" s="10">
        <v>2</v>
      </c>
      <c r="I8" s="10">
        <v>0</v>
      </c>
      <c r="J8" s="10">
        <v>1</v>
      </c>
      <c r="K8" s="10">
        <v>13</v>
      </c>
      <c r="L8" s="10">
        <v>9</v>
      </c>
      <c r="M8" s="10">
        <v>6</v>
      </c>
      <c r="N8" s="10">
        <v>12</v>
      </c>
      <c r="O8" s="10">
        <v>9</v>
      </c>
      <c r="P8" s="127" cm="1">
        <f t="array" ref="P8">O8/D8</f>
        <v>0.24324324324324326</v>
      </c>
      <c r="Q8" s="13" cm="1">
        <f t="array" ref="Q8">(G8*1+H8*2+I8*3+J8*4)/E8</f>
        <v>0.56000000000000005</v>
      </c>
      <c r="R8" s="13" cm="1">
        <f t="array" ref="R8">(F8+N8)/D8</f>
        <v>0.56756756756756754</v>
      </c>
      <c r="S8" s="15" cm="1">
        <f t="array" ref="S8">R8+Q8</f>
        <v>1.1275675675675676</v>
      </c>
      <c r="T8" s="132" cm="1">
        <f t="array" ref="T8">O8/(D8-(F8+N8))</f>
        <v>0.5625</v>
      </c>
      <c r="U8" s="17" cm="1">
        <f t="array" ref="U8">RANK(R8,$R$4:$R$23)</f>
        <v>6</v>
      </c>
      <c r="V8" s="18" cm="1">
        <f t="array" ref="V8">RANK(S8,$S$4:$S$23)</f>
        <v>5</v>
      </c>
      <c r="W8" s="10">
        <v>0</v>
      </c>
      <c r="X8" s="129" cm="1">
        <f t="array" ref="X8">RANK(C8,$C$4:$C$23)</f>
        <v>7</v>
      </c>
      <c r="Y8" s="192"/>
      <c r="Z8" s="193" cm="1">
        <f t="array" ref="Z8">N8/D8</f>
        <v>0.32432432432432434</v>
      </c>
      <c r="AA8" s="18" cm="1">
        <f t="array" ref="AA8">RANK(Z8,$Z$4:$Z$23)</f>
        <v>4</v>
      </c>
    </row>
    <row r="9" spans="1:27" ht="19.5" customHeight="1">
      <c r="A9" s="8" t="s">
        <v>29</v>
      </c>
      <c r="B9" s="10">
        <v>5</v>
      </c>
      <c r="C9" s="126" cm="1">
        <f t="array" ref="C9">F9/E9</f>
        <v>0.25</v>
      </c>
      <c r="D9" s="10">
        <v>10</v>
      </c>
      <c r="E9" s="10">
        <v>16</v>
      </c>
      <c r="F9" s="10">
        <v>4</v>
      </c>
      <c r="G9" s="10">
        <v>4</v>
      </c>
      <c r="H9" s="10">
        <v>0</v>
      </c>
      <c r="I9" s="10">
        <v>0</v>
      </c>
      <c r="J9" s="10">
        <v>0</v>
      </c>
      <c r="K9" s="10">
        <v>3</v>
      </c>
      <c r="L9" s="10">
        <v>2</v>
      </c>
      <c r="M9" s="10">
        <v>1</v>
      </c>
      <c r="N9" s="10">
        <v>-1</v>
      </c>
      <c r="O9" s="10">
        <v>1</v>
      </c>
      <c r="P9" s="127" cm="1">
        <f t="array" ref="P9">O9/D9</f>
        <v>0.1</v>
      </c>
      <c r="Q9" s="13" cm="1">
        <f t="array" ref="Q9">(G9*1+H9*2+I9*3+J9*4)/E9</f>
        <v>0.25</v>
      </c>
      <c r="R9" s="13" cm="1">
        <f t="array" ref="R9">(F9+N9)/D9</f>
        <v>0.3</v>
      </c>
      <c r="S9" s="15" cm="1">
        <f t="array" ref="S9">R9+Q9</f>
        <v>0.55000000000000004</v>
      </c>
      <c r="T9" s="128" cm="1">
        <f t="array" ref="T9">O9/(D9-(F9+N9))</f>
        <v>0.14285714285714285</v>
      </c>
      <c r="U9" s="17" cm="1">
        <f t="array" ref="U9">RANK(R9,$R$4:$R$23)</f>
        <v>19</v>
      </c>
      <c r="V9" s="18" cm="1">
        <f t="array" ref="V9">RANK(S9,$S$4:$S$23)</f>
        <v>19</v>
      </c>
      <c r="W9" s="10">
        <v>2</v>
      </c>
      <c r="X9" s="129" cm="1">
        <f t="array" ref="X9">RANK(C9,$C$4:$C$23)</f>
        <v>15</v>
      </c>
      <c r="Y9" s="192"/>
      <c r="Z9" s="193" cm="1">
        <f t="array" ref="Z9">N9/D9</f>
        <v>-0.1</v>
      </c>
      <c r="AA9" s="18" cm="1">
        <f t="array" ref="AA9">RANK(Z9,$Z$4:$Z$23)</f>
        <v>20</v>
      </c>
    </row>
    <row r="10" spans="1:27" ht="19.5" customHeight="1">
      <c r="A10" s="8" t="s">
        <v>30</v>
      </c>
      <c r="B10" s="10">
        <v>25</v>
      </c>
      <c r="C10" s="126" cm="1">
        <f t="array" ref="C10">F10/E10</f>
        <v>0.55384615384615388</v>
      </c>
      <c r="D10" s="10">
        <v>74</v>
      </c>
      <c r="E10" s="10">
        <v>65</v>
      </c>
      <c r="F10" s="10">
        <v>36</v>
      </c>
      <c r="G10" s="10">
        <v>26</v>
      </c>
      <c r="H10" s="10">
        <v>5</v>
      </c>
      <c r="I10" s="10">
        <v>5</v>
      </c>
      <c r="J10" s="10">
        <v>0</v>
      </c>
      <c r="K10" s="10">
        <v>29</v>
      </c>
      <c r="L10" s="10">
        <v>23</v>
      </c>
      <c r="M10" s="10">
        <v>32</v>
      </c>
      <c r="N10" s="10">
        <v>6</v>
      </c>
      <c r="O10" s="10">
        <v>4</v>
      </c>
      <c r="P10" s="127" cm="1">
        <f t="array" ref="P10">O10/D10</f>
        <v>5.4054054054054057E-2</v>
      </c>
      <c r="Q10" s="13" cm="1">
        <f t="array" ref="Q10">(G10*1+H10*2+I10*3+J10*4)/E10</f>
        <v>0.7846153846153846</v>
      </c>
      <c r="R10" s="13" cm="1">
        <f t="array" ref="R10">(F10+N10)/D10</f>
        <v>0.56756756756756754</v>
      </c>
      <c r="S10" s="15" cm="1">
        <f t="array" ref="S10">R10+Q10</f>
        <v>1.352182952182952</v>
      </c>
      <c r="T10" s="128" cm="1">
        <f t="array" ref="T10">O10/(D10-(F10+N10))</f>
        <v>0.125</v>
      </c>
      <c r="U10" s="17" cm="1">
        <f t="array" ref="U10">RANK(R10,$R$4:$R$23)</f>
        <v>6</v>
      </c>
      <c r="V10" s="18" cm="1">
        <f t="array" ref="V10">RANK(S10,$S$4:$S$23)</f>
        <v>3</v>
      </c>
      <c r="W10" s="10">
        <v>2</v>
      </c>
      <c r="X10" s="129" cm="1">
        <f t="array" ref="X10">RANK(C10,$C$4:$C$23)</f>
        <v>2</v>
      </c>
      <c r="Y10" s="192"/>
      <c r="Z10" s="193" cm="1">
        <f t="array" ref="Z10">N10/D10</f>
        <v>8.1081081081081086E-2</v>
      </c>
      <c r="AA10" s="18" cm="1">
        <f t="array" ref="AA10">RANK(Z10,$Z$4:$Z$23)</f>
        <v>18</v>
      </c>
    </row>
    <row r="11" spans="1:27" ht="19.5" customHeight="1">
      <c r="A11" s="8" t="s">
        <v>31</v>
      </c>
      <c r="B11" s="10">
        <v>18</v>
      </c>
      <c r="C11" s="126" cm="1">
        <f t="array" ref="C11">F11/E11</f>
        <v>0.27586206896551724</v>
      </c>
      <c r="D11" s="10">
        <v>33</v>
      </c>
      <c r="E11" s="10">
        <v>29</v>
      </c>
      <c r="F11" s="10">
        <v>8</v>
      </c>
      <c r="G11" s="10">
        <v>7</v>
      </c>
      <c r="H11" s="10">
        <v>1</v>
      </c>
      <c r="I11" s="10">
        <v>0</v>
      </c>
      <c r="J11" s="10">
        <v>0</v>
      </c>
      <c r="K11" s="10">
        <v>10</v>
      </c>
      <c r="L11" s="10">
        <v>6</v>
      </c>
      <c r="M11" s="10">
        <v>7</v>
      </c>
      <c r="N11" s="10">
        <v>4</v>
      </c>
      <c r="O11" s="10">
        <v>6</v>
      </c>
      <c r="P11" s="127" cm="1">
        <f t="array" ref="P11">O11/D11</f>
        <v>0.18181818181818182</v>
      </c>
      <c r="Q11" s="13" cm="1">
        <f t="array" ref="Q11">(G11*1+H11*2+I11*3+J11*4)/E11</f>
        <v>0.31034482758620691</v>
      </c>
      <c r="R11" s="13" cm="1">
        <f t="array" ref="R11">(F11+N11)/D11</f>
        <v>0.36363636363636365</v>
      </c>
      <c r="S11" s="15" cm="1">
        <f t="array" ref="S11">R11+Q11</f>
        <v>0.67398119122257061</v>
      </c>
      <c r="T11" s="128" cm="1">
        <f t="array" ref="T11">O11/(D11-(F11+N11))</f>
        <v>0.2857142857142857</v>
      </c>
      <c r="U11" s="17" cm="1">
        <f t="array" ref="U11">RANK(R11,$R$4:$R$23)</f>
        <v>17</v>
      </c>
      <c r="V11" s="18" cm="1">
        <f t="array" ref="V11">RANK(S11,$S$4:$S$23)</f>
        <v>17</v>
      </c>
      <c r="W11" s="10">
        <v>2</v>
      </c>
      <c r="X11" s="129" cm="1">
        <f t="array" ref="X11">RANK(C11,$C$4:$C$23)</f>
        <v>14</v>
      </c>
      <c r="Y11" s="192"/>
      <c r="Z11" s="193" cm="1">
        <f t="array" ref="Z11">N11/D11</f>
        <v>0.12121212121212122</v>
      </c>
      <c r="AA11" s="18" cm="1">
        <f t="array" ref="AA11">RANK(Z11,$Z$4:$Z$23)</f>
        <v>16</v>
      </c>
    </row>
    <row r="12" spans="1:27" ht="19.5" customHeight="1">
      <c r="A12" s="8" t="s">
        <v>32</v>
      </c>
      <c r="B12" s="10">
        <v>15</v>
      </c>
      <c r="C12" s="126" cm="1">
        <f t="array" ref="C12">F12/E12</f>
        <v>0.35</v>
      </c>
      <c r="D12" s="10">
        <v>32</v>
      </c>
      <c r="E12" s="10">
        <v>20</v>
      </c>
      <c r="F12" s="10">
        <v>7</v>
      </c>
      <c r="G12" s="10">
        <v>6</v>
      </c>
      <c r="H12" s="10">
        <v>1</v>
      </c>
      <c r="I12" s="10">
        <v>0</v>
      </c>
      <c r="J12" s="10">
        <v>0</v>
      </c>
      <c r="K12" s="10">
        <v>15</v>
      </c>
      <c r="L12" s="10">
        <v>4</v>
      </c>
      <c r="M12" s="10">
        <v>10</v>
      </c>
      <c r="N12" s="10">
        <v>8</v>
      </c>
      <c r="O12" s="10">
        <v>1</v>
      </c>
      <c r="P12" s="127" cm="1">
        <f t="array" ref="P12">O12/D12</f>
        <v>3.125E-2</v>
      </c>
      <c r="Q12" s="13" cm="1">
        <f t="array" ref="Q12">(G12*1+H12*2+I12*3+J12*4)/E12</f>
        <v>0.4</v>
      </c>
      <c r="R12" s="13" cm="1">
        <f t="array" ref="R12">(F12+N12)/D12</f>
        <v>0.46875</v>
      </c>
      <c r="S12" s="15" cm="1">
        <f t="array" ref="S12">R12+Q12</f>
        <v>0.86875000000000002</v>
      </c>
      <c r="T12" s="128" cm="1">
        <f t="array" ref="T12">O12/(D12-(F12+N12))</f>
        <v>5.8823529411764705E-2</v>
      </c>
      <c r="U12" s="17" cm="1">
        <f t="array" ref="U12">RANK(R12,$R$4:$R$23)</f>
        <v>11</v>
      </c>
      <c r="V12" s="18" cm="1">
        <f t="array" ref="V12">RANK(S12,$S$4:$S$23)</f>
        <v>11</v>
      </c>
      <c r="W12" s="10">
        <v>1</v>
      </c>
      <c r="X12" s="129" cm="1">
        <f t="array" ref="X12">RANK(C12,$C$4:$C$23)</f>
        <v>9</v>
      </c>
      <c r="Y12" s="192"/>
      <c r="Z12" s="193" cm="1">
        <f t="array" ref="Z12">N12/D12</f>
        <v>0.25</v>
      </c>
      <c r="AA12" s="18" cm="1">
        <f t="array" ref="AA12">RANK(Z12,$Z$4:$Z$23)</f>
        <v>7</v>
      </c>
    </row>
    <row r="13" spans="1:27" ht="19.5" customHeight="1">
      <c r="A13" s="8" t="s">
        <v>33</v>
      </c>
      <c r="B13" s="10">
        <v>23</v>
      </c>
      <c r="C13" s="126" cm="1">
        <f t="array" ref="C13">F13/E13</f>
        <v>0.48076923076923078</v>
      </c>
      <c r="D13" s="10">
        <v>67</v>
      </c>
      <c r="E13" s="10">
        <v>52</v>
      </c>
      <c r="F13" s="10">
        <v>25</v>
      </c>
      <c r="G13" s="10">
        <v>17</v>
      </c>
      <c r="H13" s="10">
        <v>7</v>
      </c>
      <c r="I13" s="10">
        <v>1</v>
      </c>
      <c r="J13" s="10">
        <v>0</v>
      </c>
      <c r="K13" s="10">
        <v>22</v>
      </c>
      <c r="L13" s="10">
        <v>19</v>
      </c>
      <c r="M13" s="10">
        <v>11</v>
      </c>
      <c r="N13" s="10">
        <v>15</v>
      </c>
      <c r="O13" s="10">
        <v>0</v>
      </c>
      <c r="P13" s="127" cm="1">
        <f t="array" ref="P13">O13/D13</f>
        <v>0</v>
      </c>
      <c r="Q13" s="13" cm="1">
        <f t="array" ref="Q13">(G13*1+H13*2+I13*3+J13*4)/E13</f>
        <v>0.65384615384615385</v>
      </c>
      <c r="R13" s="13" cm="1">
        <f t="array" ref="R13">(F13+N13)/D13</f>
        <v>0.59701492537313428</v>
      </c>
      <c r="S13" s="15" cm="1">
        <f t="array" ref="S13">R13+Q13</f>
        <v>1.250861079219288</v>
      </c>
      <c r="T13" s="128" cm="1">
        <f t="array" ref="T13">O13/(D13-(F13+N13))</f>
        <v>0</v>
      </c>
      <c r="U13" s="17" cm="1">
        <f t="array" ref="U13">RANK(R13,$R$4:$R$23)</f>
        <v>3</v>
      </c>
      <c r="V13" s="18" cm="1">
        <f t="array" ref="V13">RANK(S13,$S$4:$S$23)</f>
        <v>4</v>
      </c>
      <c r="W13" s="10">
        <v>3</v>
      </c>
      <c r="X13" s="129" cm="1">
        <f t="array" ref="X13">RANK(C13,$C$4:$C$23)</f>
        <v>4</v>
      </c>
      <c r="Y13" s="192"/>
      <c r="Z13" s="193" cm="1">
        <f t="array" ref="Z13">N13/D13</f>
        <v>0.22388059701492538</v>
      </c>
      <c r="AA13" s="18" cm="1">
        <f t="array" ref="AA13">RANK(Z13,$Z$4:$Z$23)</f>
        <v>9</v>
      </c>
    </row>
    <row r="14" spans="1:27" ht="19.5" customHeight="1">
      <c r="A14" s="8" t="s">
        <v>35</v>
      </c>
      <c r="B14" s="10">
        <v>27</v>
      </c>
      <c r="C14" s="126" cm="1">
        <f t="array" ref="C14">F14/E14</f>
        <v>0.23404255319148937</v>
      </c>
      <c r="D14" s="10">
        <v>66</v>
      </c>
      <c r="E14" s="10">
        <v>47</v>
      </c>
      <c r="F14" s="10">
        <v>11</v>
      </c>
      <c r="G14" s="10">
        <v>8</v>
      </c>
      <c r="H14" s="10">
        <v>3</v>
      </c>
      <c r="I14" s="10">
        <v>0</v>
      </c>
      <c r="J14" s="10">
        <v>0</v>
      </c>
      <c r="K14" s="10">
        <v>15</v>
      </c>
      <c r="L14" s="10">
        <v>13</v>
      </c>
      <c r="M14" s="10">
        <v>13</v>
      </c>
      <c r="N14" s="10">
        <v>18</v>
      </c>
      <c r="O14" s="10">
        <v>25</v>
      </c>
      <c r="P14" s="131" cm="1">
        <f t="array" ref="P14">O14/D14</f>
        <v>0.37878787878787878</v>
      </c>
      <c r="Q14" s="13" cm="1">
        <f t="array" ref="Q14">(G14*1+H14*2+I14*3+J14*4)/E14</f>
        <v>0.2978723404255319</v>
      </c>
      <c r="R14" s="13" cm="1">
        <f t="array" ref="R14">(F14+N14)/D14</f>
        <v>0.43939393939393939</v>
      </c>
      <c r="S14" s="15" cm="1">
        <f t="array" ref="S14">R14+Q14</f>
        <v>0.73726627981947135</v>
      </c>
      <c r="T14" s="132" cm="1">
        <f t="array" ref="T14">O14/(D14-(F14+N14))</f>
        <v>0.67567567567567566</v>
      </c>
      <c r="U14" s="17" cm="1">
        <f t="array" ref="U14">RANK(R14,$R$4:$R$23)</f>
        <v>13</v>
      </c>
      <c r="V14" s="18" cm="1">
        <f t="array" ref="V14">RANK(S14,$S$4:$S$23)</f>
        <v>14</v>
      </c>
      <c r="W14" s="10">
        <v>10</v>
      </c>
      <c r="X14" s="129" cm="1">
        <f t="array" ref="X14">RANK(C14,$C$4:$C$23)</f>
        <v>16</v>
      </c>
      <c r="Y14" s="192"/>
      <c r="Z14" s="193" cm="1">
        <f t="array" ref="Z14">N14/D14</f>
        <v>0.27272727272727271</v>
      </c>
      <c r="AA14" s="18" cm="1">
        <f t="array" ref="AA14">RANK(Z14,$Z$4:$Z$23)</f>
        <v>6</v>
      </c>
    </row>
    <row r="15" spans="1:27" ht="19.5" customHeight="1">
      <c r="A15" s="8" t="s">
        <v>36</v>
      </c>
      <c r="B15" s="10">
        <v>22</v>
      </c>
      <c r="C15" s="126" cm="1">
        <f t="array" ref="C15">F15/E15</f>
        <v>0.34090909090909088</v>
      </c>
      <c r="D15" s="10">
        <v>47</v>
      </c>
      <c r="E15" s="10">
        <v>44</v>
      </c>
      <c r="F15" s="10">
        <v>15</v>
      </c>
      <c r="G15" s="10">
        <v>12</v>
      </c>
      <c r="H15" s="10">
        <v>3</v>
      </c>
      <c r="I15" s="10">
        <v>0</v>
      </c>
      <c r="J15" s="10">
        <v>0</v>
      </c>
      <c r="K15" s="10">
        <v>13</v>
      </c>
      <c r="L15" s="10">
        <v>16</v>
      </c>
      <c r="M15" s="10">
        <v>8</v>
      </c>
      <c r="N15" s="10">
        <v>2</v>
      </c>
      <c r="O15" s="10">
        <v>10</v>
      </c>
      <c r="P15" s="127" cm="1">
        <f t="array" ref="P15">O15/D15</f>
        <v>0.21276595744680851</v>
      </c>
      <c r="Q15" s="13" cm="1">
        <f t="array" ref="Q15">(G15*1+H15*2+I15*3+J15*4)/E15</f>
        <v>0.40909090909090912</v>
      </c>
      <c r="R15" s="13" cm="1">
        <f t="array" ref="R15">(F15+N15)/D15</f>
        <v>0.36170212765957449</v>
      </c>
      <c r="S15" s="15" cm="1">
        <f t="array" ref="S15">R15+Q15</f>
        <v>0.77079303675048361</v>
      </c>
      <c r="T15" s="128" cm="1">
        <f t="array" ref="T15">O15/(D15-(F15+N15))</f>
        <v>0.33333333333333331</v>
      </c>
      <c r="U15" s="17" cm="1">
        <f t="array" ref="U15">RANK(R15,$R$4:$R$23)</f>
        <v>18</v>
      </c>
      <c r="V15" s="18" cm="1">
        <f t="array" ref="V15">RANK(S15,$S$4:$S$23)</f>
        <v>13</v>
      </c>
      <c r="W15" s="10">
        <v>1</v>
      </c>
      <c r="X15" s="129" cm="1">
        <f t="array" ref="X15">RANK(C15,$C$4:$C$23)</f>
        <v>10</v>
      </c>
      <c r="Y15" s="192"/>
      <c r="Z15" s="193" cm="1">
        <f t="array" ref="Z15">N15/D15</f>
        <v>4.2553191489361701E-2</v>
      </c>
      <c r="AA15" s="18" cm="1">
        <f t="array" ref="AA15">RANK(Z15,$Z$4:$Z$23)</f>
        <v>19</v>
      </c>
    </row>
    <row r="16" spans="1:27" ht="19.5" customHeight="1">
      <c r="A16" s="8" t="s">
        <v>37</v>
      </c>
      <c r="B16" s="10">
        <v>24</v>
      </c>
      <c r="C16" s="126" cm="1">
        <f t="array" ref="C16">F16/E16</f>
        <v>0.39655172413793105</v>
      </c>
      <c r="D16" s="10">
        <v>76</v>
      </c>
      <c r="E16" s="10">
        <v>58</v>
      </c>
      <c r="F16" s="10">
        <v>23</v>
      </c>
      <c r="G16" s="10">
        <v>17</v>
      </c>
      <c r="H16" s="10">
        <v>2</v>
      </c>
      <c r="I16" s="10">
        <v>4</v>
      </c>
      <c r="J16" s="10">
        <v>0</v>
      </c>
      <c r="K16" s="10">
        <v>24</v>
      </c>
      <c r="L16" s="10">
        <v>12</v>
      </c>
      <c r="M16" s="10">
        <v>23</v>
      </c>
      <c r="N16" s="10">
        <v>17</v>
      </c>
      <c r="O16" s="10">
        <v>9</v>
      </c>
      <c r="P16" s="127" cm="1">
        <f t="array" ref="P16">O16/D16</f>
        <v>0.11842105263157894</v>
      </c>
      <c r="Q16" s="13" cm="1">
        <f t="array" ref="Q16">(G16*1+H16*2+I16*3+J16*4)/E16</f>
        <v>0.56896551724137934</v>
      </c>
      <c r="R16" s="13" cm="1">
        <f t="array" ref="R16">(F16+N16)/D16</f>
        <v>0.52631578947368418</v>
      </c>
      <c r="S16" s="15" cm="1">
        <f t="array" ref="S16">R16+Q16</f>
        <v>1.0952813067150635</v>
      </c>
      <c r="T16" s="128" cm="1">
        <f t="array" ref="T16">O16/(D16-(F16+N16))</f>
        <v>0.25</v>
      </c>
      <c r="U16" s="17" cm="1">
        <f t="array" ref="U16">RANK(R16,$R$4:$R$23)</f>
        <v>8</v>
      </c>
      <c r="V16" s="18" cm="1">
        <f t="array" ref="V16">RANK(S16,$S$4:$S$23)</f>
        <v>6</v>
      </c>
      <c r="W16" s="10">
        <v>5</v>
      </c>
      <c r="X16" s="129" cm="1">
        <f t="array" ref="X16">RANK(C16,$C$4:$C$23)</f>
        <v>5</v>
      </c>
      <c r="Y16" s="192"/>
      <c r="Z16" s="193" cm="1">
        <f t="array" ref="Z16">N16/D16</f>
        <v>0.22368421052631579</v>
      </c>
      <c r="AA16" s="18" cm="1">
        <f t="array" ref="AA16">RANK(Z16,$Z$4:$Z$23)</f>
        <v>10</v>
      </c>
    </row>
    <row r="17" spans="1:27" ht="19.5" customHeight="1">
      <c r="A17" s="8" t="s">
        <v>38</v>
      </c>
      <c r="B17" s="10">
        <v>25</v>
      </c>
      <c r="C17" s="126" cm="1">
        <f t="array" ref="C17">F17/E17</f>
        <v>0.36956521739130432</v>
      </c>
      <c r="D17" s="10">
        <v>53</v>
      </c>
      <c r="E17" s="10">
        <v>46</v>
      </c>
      <c r="F17" s="10">
        <v>17</v>
      </c>
      <c r="G17" s="10">
        <v>12</v>
      </c>
      <c r="H17" s="10">
        <v>5</v>
      </c>
      <c r="I17" s="10">
        <v>0</v>
      </c>
      <c r="J17" s="10">
        <v>0</v>
      </c>
      <c r="K17" s="10">
        <v>13</v>
      </c>
      <c r="L17" s="10">
        <v>8</v>
      </c>
      <c r="M17" s="10">
        <v>6</v>
      </c>
      <c r="N17" s="10">
        <v>6</v>
      </c>
      <c r="O17" s="10">
        <v>7</v>
      </c>
      <c r="P17" s="127" cm="1">
        <f t="array" ref="P17">O17/D17</f>
        <v>0.13207547169811321</v>
      </c>
      <c r="Q17" s="13" cm="1">
        <f t="array" ref="Q17">(G17*1+H17*2+I17*3+J17*4)/E17</f>
        <v>0.47826086956521741</v>
      </c>
      <c r="R17" s="13" cm="1">
        <f t="array" ref="R17">(F17+N17)/D17</f>
        <v>0.43396226415094341</v>
      </c>
      <c r="S17" s="15" cm="1">
        <f t="array" ref="S17">R17+Q17</f>
        <v>0.91222313371616082</v>
      </c>
      <c r="T17" s="128" cm="1">
        <f t="array" ref="T17">O17/(D17-(F17+N17))</f>
        <v>0.23333333333333334</v>
      </c>
      <c r="U17" s="17" cm="1">
        <f t="array" ref="U17">RANK(R17,$R$4:$R$23)</f>
        <v>14</v>
      </c>
      <c r="V17" s="18" cm="1">
        <f t="array" ref="V17">RANK(S17,$S$4:$S$23)</f>
        <v>8</v>
      </c>
      <c r="W17" s="10">
        <v>5</v>
      </c>
      <c r="X17" s="129" cm="1">
        <f t="array" ref="X17">RANK(C17,$C$4:$C$23)</f>
        <v>6</v>
      </c>
      <c r="Y17" s="192"/>
      <c r="Z17" s="193" cm="1">
        <f t="array" ref="Z17">N17/D17</f>
        <v>0.11320754716981132</v>
      </c>
      <c r="AA17" s="18" cm="1">
        <f t="array" ref="AA17">RANK(Z17,$Z$4:$Z$23)</f>
        <v>17</v>
      </c>
    </row>
    <row r="18" spans="1:27" ht="19.5" customHeight="1">
      <c r="A18" s="8" t="s">
        <v>39</v>
      </c>
      <c r="B18" s="10">
        <v>15</v>
      </c>
      <c r="C18" s="126" cm="1">
        <f t="array" ref="C18">F18/E18</f>
        <v>0.32258064516129031</v>
      </c>
      <c r="D18" s="10">
        <v>40</v>
      </c>
      <c r="E18" s="10">
        <v>31</v>
      </c>
      <c r="F18" s="10">
        <v>10</v>
      </c>
      <c r="G18" s="10">
        <v>9</v>
      </c>
      <c r="H18" s="10">
        <v>0</v>
      </c>
      <c r="I18" s="10">
        <v>0</v>
      </c>
      <c r="J18" s="10">
        <v>1</v>
      </c>
      <c r="K18" s="10">
        <v>9</v>
      </c>
      <c r="L18" s="10">
        <v>11</v>
      </c>
      <c r="M18" s="10">
        <v>0</v>
      </c>
      <c r="N18" s="10">
        <v>8</v>
      </c>
      <c r="O18" s="10">
        <v>6</v>
      </c>
      <c r="P18" s="127" cm="1">
        <f t="array" ref="P18">O18/D18</f>
        <v>0.15</v>
      </c>
      <c r="Q18" s="13" cm="1">
        <f t="array" ref="Q18">(G18*1+H18*2+I18*3+J18*4)/E18</f>
        <v>0.41935483870967744</v>
      </c>
      <c r="R18" s="13" cm="1">
        <f t="array" ref="R18">(F18+N18)/D18</f>
        <v>0.45</v>
      </c>
      <c r="S18" s="15" cm="1">
        <f t="array" ref="S18">R18+Q18</f>
        <v>0.86935483870967745</v>
      </c>
      <c r="T18" s="128" cm="1">
        <f t="array" ref="T18">O18/(D18-(F18+N18))</f>
        <v>0.27272727272727271</v>
      </c>
      <c r="U18" s="17" cm="1">
        <f t="array" ref="U18">RANK(R18,$R$4:$R$23)</f>
        <v>12</v>
      </c>
      <c r="V18" s="18" cm="1">
        <f t="array" ref="V18">RANK(S18,$S$4:$S$23)</f>
        <v>10</v>
      </c>
      <c r="W18" s="10">
        <v>0</v>
      </c>
      <c r="X18" s="129" cm="1">
        <f t="array" ref="X18">RANK(C18,$C$4:$C$23)</f>
        <v>11</v>
      </c>
      <c r="Y18" s="192"/>
      <c r="Z18" s="193" cm="1">
        <f t="array" ref="Z18">N18/D18</f>
        <v>0.2</v>
      </c>
      <c r="AA18" s="18" cm="1">
        <f t="array" ref="AA18">RANK(Z18,$Z$4:$Z$23)</f>
        <v>11</v>
      </c>
    </row>
    <row r="19" spans="1:27" ht="19.5" customHeight="1">
      <c r="A19" s="8" t="s">
        <v>40</v>
      </c>
      <c r="B19" s="10">
        <v>9</v>
      </c>
      <c r="C19" s="126" cm="1">
        <f t="array" ref="C19">F19/E19</f>
        <v>0.125</v>
      </c>
      <c r="D19" s="10">
        <v>17</v>
      </c>
      <c r="E19" s="10">
        <v>8</v>
      </c>
      <c r="F19" s="10">
        <v>1</v>
      </c>
      <c r="G19" s="10">
        <v>1</v>
      </c>
      <c r="H19" s="10">
        <v>0</v>
      </c>
      <c r="I19" s="10">
        <v>0</v>
      </c>
      <c r="J19" s="10">
        <v>0</v>
      </c>
      <c r="K19" s="10">
        <v>7</v>
      </c>
      <c r="L19" s="10">
        <v>2</v>
      </c>
      <c r="M19" s="10">
        <v>5</v>
      </c>
      <c r="N19" s="10">
        <v>9</v>
      </c>
      <c r="O19" s="10">
        <v>1</v>
      </c>
      <c r="P19" s="127" cm="1">
        <f t="array" ref="P19">O19/D19</f>
        <v>5.8823529411764705E-2</v>
      </c>
      <c r="Q19" s="13" cm="1">
        <f t="array" ref="Q19">(G19*1+H19*2+I19*3+J19*4)/E19</f>
        <v>0.125</v>
      </c>
      <c r="R19" s="13" cm="1">
        <f t="array" ref="R19">(F19+N19)/D19</f>
        <v>0.58823529411764708</v>
      </c>
      <c r="S19" s="15" cm="1">
        <f t="array" ref="S19">R19+Q19</f>
        <v>0.71323529411764708</v>
      </c>
      <c r="T19" s="128" cm="1">
        <f t="array" ref="T19">O19/(D19-(F19+N19))</f>
        <v>0.14285714285714285</v>
      </c>
      <c r="U19" s="17" cm="1">
        <f t="array" ref="U19">RANK(R19,$R$4:$R$23)</f>
        <v>4</v>
      </c>
      <c r="V19" s="18" cm="1">
        <f t="array" ref="V19">RANK(S19,$S$4:$S$23)</f>
        <v>16</v>
      </c>
      <c r="W19" s="10">
        <v>3</v>
      </c>
      <c r="X19" s="129" cm="1">
        <f t="array" ref="X19">RANK(C19,$C$4:$C$23)</f>
        <v>19</v>
      </c>
      <c r="Y19" s="192"/>
      <c r="Z19" s="193" cm="1">
        <f t="array" ref="Z19">N19/D19</f>
        <v>0.52941176470588236</v>
      </c>
      <c r="AA19" s="18" cm="1">
        <f t="array" ref="AA19">RANK(Z19,$Z$4:$Z$23)</f>
        <v>2</v>
      </c>
    </row>
    <row r="20" spans="1:27" ht="19.5" customHeight="1">
      <c r="A20" s="8" t="s">
        <v>41</v>
      </c>
      <c r="B20" s="10">
        <v>26</v>
      </c>
      <c r="C20" s="126" cm="1">
        <f t="array" ref="C20">F20/E20</f>
        <v>0.53703703703703709</v>
      </c>
      <c r="D20" s="10">
        <v>63</v>
      </c>
      <c r="E20" s="10">
        <v>54</v>
      </c>
      <c r="F20" s="10">
        <v>29</v>
      </c>
      <c r="G20" s="10">
        <v>19</v>
      </c>
      <c r="H20" s="10">
        <v>9</v>
      </c>
      <c r="I20" s="10">
        <v>0</v>
      </c>
      <c r="J20" s="10">
        <v>1</v>
      </c>
      <c r="K20" s="10">
        <v>25</v>
      </c>
      <c r="L20" s="10">
        <v>26</v>
      </c>
      <c r="M20" s="10">
        <v>7</v>
      </c>
      <c r="N20" s="10">
        <v>9</v>
      </c>
      <c r="O20" s="10">
        <v>4</v>
      </c>
      <c r="P20" s="127" cm="1">
        <f t="array" ref="P20">O20/D20</f>
        <v>6.3492063492063489E-2</v>
      </c>
      <c r="Q20" s="13" cm="1">
        <f t="array" ref="Q20">(G20*1+H20*2+I20*3+J20*4)/E20</f>
        <v>0.7592592592592593</v>
      </c>
      <c r="R20" s="13" cm="1">
        <f t="array" ref="R20">(F20+N20)/D20</f>
        <v>0.60317460317460314</v>
      </c>
      <c r="S20" s="15" cm="1">
        <f t="array" ref="S20">R20+Q20</f>
        <v>1.3624338624338623</v>
      </c>
      <c r="T20" s="128" cm="1">
        <f t="array" ref="T20">O20/(D20-(F20+N20))</f>
        <v>0.16</v>
      </c>
      <c r="U20" s="17" cm="1">
        <f t="array" ref="U20">RANK(R20,$R$4:$R$23)</f>
        <v>2</v>
      </c>
      <c r="V20" s="18" cm="1">
        <f t="array" ref="V20">RANK(S20,$S$4:$S$23)</f>
        <v>2</v>
      </c>
      <c r="W20" s="10">
        <v>5</v>
      </c>
      <c r="X20" s="129" cm="1">
        <f t="array" ref="X20">RANK(C20,$C$4:$C$23)</f>
        <v>3</v>
      </c>
      <c r="Y20" s="192"/>
      <c r="Z20" s="193" cm="1">
        <f t="array" ref="Z20">N20/D20</f>
        <v>0.14285714285714285</v>
      </c>
      <c r="AA20" s="18" cm="1">
        <f t="array" ref="AA20">RANK(Z20,$Z$4:$Z$23)</f>
        <v>14</v>
      </c>
    </row>
    <row r="21" spans="1:27" ht="19.5" customHeight="1">
      <c r="A21" s="8" t="s">
        <v>42</v>
      </c>
      <c r="B21" s="10">
        <v>21</v>
      </c>
      <c r="C21" s="126" cm="1">
        <f t="array" ref="C21">F21/E21</f>
        <v>0.35135135135135137</v>
      </c>
      <c r="D21" s="10">
        <v>50</v>
      </c>
      <c r="E21" s="10">
        <v>37</v>
      </c>
      <c r="F21" s="10">
        <v>13</v>
      </c>
      <c r="G21" s="10">
        <v>9</v>
      </c>
      <c r="H21" s="10">
        <v>4</v>
      </c>
      <c r="I21" s="10">
        <v>0</v>
      </c>
      <c r="J21" s="10">
        <v>0</v>
      </c>
      <c r="K21" s="10">
        <v>12</v>
      </c>
      <c r="L21" s="10">
        <v>15</v>
      </c>
      <c r="M21" s="10">
        <v>6</v>
      </c>
      <c r="N21" s="10">
        <v>12</v>
      </c>
      <c r="O21" s="10">
        <v>13</v>
      </c>
      <c r="P21" s="127" cm="1">
        <f t="array" ref="P21">O21/D21</f>
        <v>0.26</v>
      </c>
      <c r="Q21" s="13" cm="1">
        <f t="array" ref="Q21">(G21*1+H21*2+I21*3+J21*4)/E21</f>
        <v>0.45945945945945948</v>
      </c>
      <c r="R21" s="13" cm="1">
        <f t="array" ref="R21">(F21+N21)/D21</f>
        <v>0.5</v>
      </c>
      <c r="S21" s="15" cm="1">
        <f t="array" ref="S21">R21+Q21</f>
        <v>0.95945945945945943</v>
      </c>
      <c r="T21" s="132" cm="1">
        <f t="array" ref="T21">O21/(D21-(F21+N21))</f>
        <v>0.52</v>
      </c>
      <c r="U21" s="17" cm="1">
        <f t="array" ref="U21">RANK(R21,$R$4:$R$23)</f>
        <v>9</v>
      </c>
      <c r="V21" s="18" cm="1">
        <f t="array" ref="V21">RANK(S21,$S$4:$S$23)</f>
        <v>7</v>
      </c>
      <c r="W21" s="10">
        <v>0</v>
      </c>
      <c r="X21" s="129" cm="1">
        <f t="array" ref="X21">RANK(C21,$C$4:$C$23)</f>
        <v>8</v>
      </c>
      <c r="Y21" s="192"/>
      <c r="Z21" s="193" cm="1">
        <f t="array" ref="Z21">N21/D21</f>
        <v>0.24</v>
      </c>
      <c r="AA21" s="18" cm="1">
        <f t="array" ref="AA21">RANK(Z21,$Z$4:$Z$23)</f>
        <v>8</v>
      </c>
    </row>
    <row r="22" spans="1:27" ht="19.5" customHeight="1">
      <c r="A22" s="8" t="s">
        <v>43</v>
      </c>
      <c r="B22" s="10">
        <v>21</v>
      </c>
      <c r="C22" s="126" cm="1">
        <f t="array" ref="C22">F22/E22</f>
        <v>0.30952380952380953</v>
      </c>
      <c r="D22" s="10">
        <v>53</v>
      </c>
      <c r="E22" s="10">
        <v>42</v>
      </c>
      <c r="F22" s="10">
        <v>13</v>
      </c>
      <c r="G22" s="10">
        <v>8</v>
      </c>
      <c r="H22" s="10">
        <v>4</v>
      </c>
      <c r="I22" s="10">
        <v>1</v>
      </c>
      <c r="J22" s="10">
        <v>0</v>
      </c>
      <c r="K22" s="10">
        <v>13</v>
      </c>
      <c r="L22" s="10">
        <v>12</v>
      </c>
      <c r="M22" s="10">
        <v>9</v>
      </c>
      <c r="N22" s="10">
        <v>10</v>
      </c>
      <c r="O22" s="10">
        <v>8</v>
      </c>
      <c r="P22" s="127" cm="1">
        <f t="array" ref="P22">O22/D22</f>
        <v>0.15094339622641509</v>
      </c>
      <c r="Q22" s="13" cm="1">
        <f t="array" ref="Q22">(G22*1+H22*2+I22*3+J22*4)/E22</f>
        <v>0.45238095238095238</v>
      </c>
      <c r="R22" s="13" cm="1">
        <f t="array" ref="R22">(F22+N22)/D22</f>
        <v>0.43396226415094341</v>
      </c>
      <c r="S22" s="15" cm="1">
        <f t="array" ref="S22">R22+Q22</f>
        <v>0.88634321653189585</v>
      </c>
      <c r="T22" s="128" cm="1">
        <f t="array" ref="T22">O22/(D22-(F22+N22))</f>
        <v>0.26666666666666666</v>
      </c>
      <c r="U22" s="17" cm="1">
        <f t="array" ref="U22">RANK(R22,$R$4:$R$23)</f>
        <v>14</v>
      </c>
      <c r="V22" s="18" cm="1">
        <f t="array" ref="V22">RANK(S22,$S$4:$S$23)</f>
        <v>9</v>
      </c>
      <c r="W22" s="10">
        <v>2</v>
      </c>
      <c r="X22" s="129" cm="1">
        <f t="array" ref="X22">RANK(C22,$C$4:$C$23)</f>
        <v>13</v>
      </c>
      <c r="Y22" s="192"/>
      <c r="Z22" s="193" cm="1">
        <f t="array" ref="Z22">N22/D22</f>
        <v>0.18867924528301888</v>
      </c>
      <c r="AA22" s="18" cm="1">
        <f t="array" ref="AA22">RANK(Z22,$Z$4:$Z$23)</f>
        <v>12</v>
      </c>
    </row>
    <row r="23" spans="1:27" ht="19.5" customHeight="1">
      <c r="A23" s="8" t="s">
        <v>44</v>
      </c>
      <c r="B23" s="10">
        <v>13</v>
      </c>
      <c r="C23" s="126" cm="1">
        <f t="array" ref="C23">F23/E23</f>
        <v>0.31818181818181818</v>
      </c>
      <c r="D23" s="10">
        <v>36</v>
      </c>
      <c r="E23" s="10">
        <v>22</v>
      </c>
      <c r="F23" s="10">
        <v>7</v>
      </c>
      <c r="G23" s="10">
        <v>7</v>
      </c>
      <c r="H23" s="10">
        <v>0</v>
      </c>
      <c r="I23" s="10">
        <v>0</v>
      </c>
      <c r="J23" s="10">
        <v>0</v>
      </c>
      <c r="K23" s="10">
        <v>13</v>
      </c>
      <c r="L23" s="10">
        <v>5</v>
      </c>
      <c r="M23" s="10">
        <v>2</v>
      </c>
      <c r="N23" s="10">
        <v>10</v>
      </c>
      <c r="O23" s="10">
        <v>6</v>
      </c>
      <c r="P23" s="127" cm="1">
        <f t="array" ref="P23">O23/D23</f>
        <v>0.16666666666666666</v>
      </c>
      <c r="Q23" s="13" cm="1">
        <f t="array" ref="Q23">(G23*1+H23*2+I23*3+J23*4)/E23</f>
        <v>0.31818181818181818</v>
      </c>
      <c r="R23" s="13" cm="1">
        <f t="array" ref="R23">(F23+N23)/D23</f>
        <v>0.47222222222222221</v>
      </c>
      <c r="S23" s="15" cm="1">
        <f t="array" ref="S23">R23+Q23</f>
        <v>0.79040404040404044</v>
      </c>
      <c r="T23" s="128" cm="1">
        <f t="array" ref="T23">O23/(D23-(F23+N23))</f>
        <v>0.31578947368421051</v>
      </c>
      <c r="U23" s="17" cm="1">
        <f t="array" ref="U23">RANK(R23,$R$4:$R$23)</f>
        <v>10</v>
      </c>
      <c r="V23" s="18" cm="1">
        <f t="array" ref="V23">RANK(S23,$S$4:$S$23)</f>
        <v>12</v>
      </c>
      <c r="W23" s="10">
        <v>1</v>
      </c>
      <c r="X23" s="129" cm="1">
        <f t="array" ref="X23">RANK(C23,$C$4:$C$23)</f>
        <v>12</v>
      </c>
      <c r="Y23" s="192"/>
      <c r="Z23" s="193" cm="1">
        <f t="array" ref="Z23">N23/D23</f>
        <v>0.27777777777777779</v>
      </c>
      <c r="AA23" s="18" cm="1">
        <f t="array" ref="AA23">RANK(Z23,$Z$4:$Z$23)</f>
        <v>5</v>
      </c>
    </row>
    <row r="24" spans="1:27" ht="19.5" customHeight="1">
      <c r="A24" s="29" t="s">
        <v>45</v>
      </c>
      <c r="B24" s="103"/>
      <c r="C24" s="105" cm="1">
        <f t="array" ref="C24">F24/E24</f>
        <v>0.3864942528735632</v>
      </c>
      <c r="D24" s="49" cm="1">
        <f t="array" ref="D24">SUM(D4:D23)</f>
        <v>878</v>
      </c>
      <c r="E24" s="49" cm="1">
        <f t="array" ref="E24">SUM(E4:E23)</f>
        <v>696</v>
      </c>
      <c r="F24" s="49" cm="1">
        <f t="array" ref="F24">SUM(F4:F23)</f>
        <v>269</v>
      </c>
      <c r="G24" s="49" cm="1">
        <f t="array" ref="G24">SUM(G4:G23)</f>
        <v>196</v>
      </c>
      <c r="H24" s="49" cm="1">
        <f t="array" ref="H24">SUM(H4:H23)</f>
        <v>55</v>
      </c>
      <c r="I24" s="49" cm="1">
        <f t="array" ref="I24">SUM(I4:I23)</f>
        <v>14</v>
      </c>
      <c r="J24" s="49" cm="1">
        <f t="array" ref="J24">SUM(J4:J23)</f>
        <v>4</v>
      </c>
      <c r="K24" s="49" cm="1">
        <f t="array" ref="K24">SUM(K4:K23)</f>
        <v>276</v>
      </c>
      <c r="L24" s="49" cm="1">
        <f t="array" ref="L24">SUM(L4:L23)</f>
        <v>224</v>
      </c>
      <c r="M24" s="49" cm="1">
        <f t="array" ref="M24">SUM(M4:M23)</f>
        <v>174</v>
      </c>
      <c r="N24" s="49" cm="1">
        <f t="array" ref="N24">SUM(N4:N23)</f>
        <v>169</v>
      </c>
      <c r="O24" s="49" cm="1">
        <f t="array" ref="O24">SUM(O4:O23)</f>
        <v>136</v>
      </c>
      <c r="P24" s="33" cm="1">
        <f t="array" ref="P24">O24/D24</f>
        <v>0.15489749430523919</v>
      </c>
      <c r="Q24" s="105"/>
      <c r="R24" s="105"/>
      <c r="S24" s="100"/>
      <c r="T24" s="31"/>
      <c r="U24" s="31"/>
      <c r="V24" s="31"/>
      <c r="W24" s="49" cm="1">
        <f t="array" ref="W24">SUM(W4:W23)</f>
        <v>49</v>
      </c>
      <c r="X24" s="31"/>
      <c r="Y24" s="142"/>
      <c r="Z24" s="194"/>
      <c r="AA24" s="195"/>
    </row>
    <row r="25" spans="1:27" ht="16.5" customHeight="1">
      <c r="A25" s="137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23"/>
      <c r="Z25" s="194"/>
      <c r="AA25" s="190"/>
    </row>
    <row r="26" spans="1:27" ht="17.25" customHeight="1">
      <c r="A26" s="121" t="s">
        <v>46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22"/>
      <c r="S26" s="122"/>
      <c r="T26" s="122"/>
      <c r="U26" s="122"/>
      <c r="V26" s="122"/>
      <c r="W26" s="123"/>
      <c r="X26" s="122"/>
      <c r="Y26" s="123"/>
      <c r="Z26" s="194"/>
      <c r="AA26" s="190"/>
    </row>
    <row r="27" spans="1:27" ht="34.5" customHeight="1">
      <c r="A27" s="8" t="s">
        <v>2</v>
      </c>
      <c r="B27" s="8" t="s">
        <v>3</v>
      </c>
      <c r="C27" s="8" t="s">
        <v>47</v>
      </c>
      <c r="D27" s="8" t="s">
        <v>48</v>
      </c>
      <c r="E27" s="8" t="s">
        <v>49</v>
      </c>
      <c r="F27" s="8" t="s">
        <v>50</v>
      </c>
      <c r="G27" s="8" t="s">
        <v>6</v>
      </c>
      <c r="H27" s="8" t="s">
        <v>51</v>
      </c>
      <c r="I27" s="8" t="s">
        <v>52</v>
      </c>
      <c r="J27" s="8" t="s">
        <v>53</v>
      </c>
      <c r="K27" s="8" t="s">
        <v>54</v>
      </c>
      <c r="L27" s="8" t="s">
        <v>55</v>
      </c>
      <c r="M27" s="8" t="s">
        <v>56</v>
      </c>
      <c r="N27" s="8" t="s">
        <v>57</v>
      </c>
      <c r="O27" s="8" t="s">
        <v>58</v>
      </c>
      <c r="P27" s="8" t="s">
        <v>59</v>
      </c>
      <c r="Q27" s="8" t="s">
        <v>60</v>
      </c>
      <c r="R27" s="8" t="s">
        <v>61</v>
      </c>
      <c r="S27" s="8" t="s">
        <v>116</v>
      </c>
      <c r="T27" s="8" t="s">
        <v>63</v>
      </c>
      <c r="U27" s="8" t="s">
        <v>64</v>
      </c>
      <c r="V27" s="8" t="s">
        <v>65</v>
      </c>
      <c r="W27" s="125"/>
      <c r="X27" s="8" t="s">
        <v>117</v>
      </c>
      <c r="Y27" s="142"/>
      <c r="Z27" s="189"/>
      <c r="AA27" s="190"/>
    </row>
    <row r="28" spans="1:27" ht="19.5" customHeight="1">
      <c r="A28" s="8" t="s">
        <v>24</v>
      </c>
      <c r="B28" s="10">
        <v>3</v>
      </c>
      <c r="C28" s="10">
        <v>0</v>
      </c>
      <c r="D28" s="10">
        <v>0</v>
      </c>
      <c r="E28" s="10">
        <v>0</v>
      </c>
      <c r="F28" s="10">
        <v>32</v>
      </c>
      <c r="G28" s="10">
        <v>12</v>
      </c>
      <c r="H28" s="39">
        <v>2.6663333333299999</v>
      </c>
      <c r="I28" s="196">
        <v>4</v>
      </c>
      <c r="J28" s="10">
        <v>0</v>
      </c>
      <c r="K28" s="143">
        <v>19</v>
      </c>
      <c r="L28" s="143">
        <v>0</v>
      </c>
      <c r="M28" s="196">
        <v>1</v>
      </c>
      <c r="N28" s="10">
        <v>22</v>
      </c>
      <c r="O28" s="10">
        <v>17</v>
      </c>
      <c r="P28" s="144" cm="1">
        <f t="array" ref="P28">O28*9/H28</f>
        <v>57.382172771668188</v>
      </c>
      <c r="Q28" s="41" cm="1">
        <f t="array" ref="Q28">(K28+L28)/H28</f>
        <v>7.1258907363509518</v>
      </c>
      <c r="R28" s="42" cm="1">
        <f t="array" ref="R28">I28/H28</f>
        <v>1.5001875234423057</v>
      </c>
      <c r="S28" s="42" cm="1">
        <f t="array" ref="S28">H28/B28</f>
        <v>0.88877777777666667</v>
      </c>
      <c r="T28" s="41" cm="1">
        <f t="array" ref="T28">M28/H28</f>
        <v>0.37504688086057641</v>
      </c>
      <c r="U28" s="44" cm="1">
        <f t="array" ref="U28">O28/N28</f>
        <v>0.77272727272727271</v>
      </c>
      <c r="V28" s="41" cm="1">
        <f t="array" ref="V28">(I28+K28+L28)/H28</f>
        <v>8.6260782597932568</v>
      </c>
      <c r="W28" s="125"/>
      <c r="X28" s="145" cm="1">
        <f t="array" ref="X28">(L28+K28)/F28*100</f>
        <v>59.375</v>
      </c>
      <c r="Y28" s="197"/>
      <c r="Z28" s="189"/>
      <c r="AA28" s="190"/>
    </row>
    <row r="29" spans="1:27" ht="19.5" customHeight="1">
      <c r="A29" s="8" t="s">
        <v>27</v>
      </c>
      <c r="B29" s="10">
        <v>0</v>
      </c>
      <c r="C29" s="10">
        <v>0</v>
      </c>
      <c r="D29" s="10">
        <v>0</v>
      </c>
      <c r="E29" s="10">
        <v>0</v>
      </c>
      <c r="F29" s="10">
        <v>0</v>
      </c>
      <c r="G29" s="10">
        <v>0</v>
      </c>
      <c r="H29" s="39">
        <v>0</v>
      </c>
      <c r="I29" s="196">
        <v>0</v>
      </c>
      <c r="J29" s="10">
        <v>0</v>
      </c>
      <c r="K29" s="143">
        <v>0</v>
      </c>
      <c r="L29" s="143">
        <v>0</v>
      </c>
      <c r="M29" s="196">
        <v>0</v>
      </c>
      <c r="N29" s="10">
        <v>0</v>
      </c>
      <c r="O29" s="10">
        <v>0</v>
      </c>
      <c r="P29" s="144">
        <v>0</v>
      </c>
      <c r="Q29" s="198" t="e" cm="1">
        <f t="array" ref="Q29">(K29+L29)/H29</f>
        <v>#DIV/0!</v>
      </c>
      <c r="R29" s="199" t="e" cm="1">
        <f t="array" ref="R29">I29/H29</f>
        <v>#DIV/0!</v>
      </c>
      <c r="S29" s="199" t="e" cm="1">
        <f t="array" ref="S29">H29/B29</f>
        <v>#DIV/0!</v>
      </c>
      <c r="T29" s="198" t="e" cm="1">
        <f t="array" ref="T29">M29/H29</f>
        <v>#DIV/0!</v>
      </c>
      <c r="U29" s="200" t="e" cm="1">
        <f t="array" ref="U29">O29/N29</f>
        <v>#DIV/0!</v>
      </c>
      <c r="V29" s="198" t="e" cm="1">
        <f t="array" ref="V29">(I29+K29+L29)/H29</f>
        <v>#DIV/0!</v>
      </c>
      <c r="W29" s="125"/>
      <c r="X29" s="172"/>
      <c r="Y29" s="197"/>
      <c r="Z29" s="189"/>
      <c r="AA29" s="190"/>
    </row>
    <row r="30" spans="1:27" ht="19.5" customHeight="1">
      <c r="A30" s="8" t="s">
        <v>29</v>
      </c>
      <c r="B30" s="10">
        <v>3</v>
      </c>
      <c r="C30" s="10">
        <v>1</v>
      </c>
      <c r="D30" s="10">
        <v>0</v>
      </c>
      <c r="E30" s="10">
        <v>0</v>
      </c>
      <c r="F30" s="10">
        <v>15</v>
      </c>
      <c r="G30" s="10">
        <v>11</v>
      </c>
      <c r="H30" s="39">
        <v>1.3333330000000001</v>
      </c>
      <c r="I30" s="196">
        <v>4</v>
      </c>
      <c r="J30" s="10">
        <v>0</v>
      </c>
      <c r="K30" s="143">
        <v>4</v>
      </c>
      <c r="L30" s="143">
        <v>0</v>
      </c>
      <c r="M30" s="196">
        <v>2</v>
      </c>
      <c r="N30" s="10">
        <v>7</v>
      </c>
      <c r="O30" s="10">
        <v>1</v>
      </c>
      <c r="P30" s="144" cm="1">
        <f t="array" ref="P30">O30*9/H30</f>
        <v>6.7500016875004212</v>
      </c>
      <c r="Q30" s="41" cm="1">
        <f t="array" ref="Q30">(K30+L30)/H30</f>
        <v>3.0000007500001873</v>
      </c>
      <c r="R30" s="42" cm="1">
        <f t="array" ref="R30">I30/H30</f>
        <v>3.0000007500001873</v>
      </c>
      <c r="S30" s="42" cm="1">
        <f t="array" ref="S30">H30/B30</f>
        <v>0.44444433333333339</v>
      </c>
      <c r="T30" s="41" cm="1">
        <f t="array" ref="T30">M30/H30</f>
        <v>1.5000003750000936</v>
      </c>
      <c r="U30" s="44" cm="1">
        <f t="array" ref="U30">O30/N30</f>
        <v>0.14285714285714285</v>
      </c>
      <c r="V30" s="41" cm="1">
        <f t="array" ref="V30">(I30+K30+L30)/H30</f>
        <v>6.0000015000003746</v>
      </c>
      <c r="W30" s="125"/>
      <c r="X30" s="145" cm="1">
        <f t="array" ref="X30">(L30+K30)/F30*100</f>
        <v>26.666666666666668</v>
      </c>
      <c r="Y30" s="197"/>
      <c r="Z30" s="189"/>
      <c r="AA30" s="190"/>
    </row>
    <row r="31" spans="1:27" ht="19.5" customHeight="1">
      <c r="A31" s="8" t="s">
        <v>33</v>
      </c>
      <c r="B31" s="10">
        <v>16</v>
      </c>
      <c r="C31" s="10">
        <v>8</v>
      </c>
      <c r="D31" s="10">
        <v>4</v>
      </c>
      <c r="E31" s="10">
        <v>1</v>
      </c>
      <c r="F31" s="10">
        <v>324</v>
      </c>
      <c r="G31" s="10">
        <v>276</v>
      </c>
      <c r="H31" s="39">
        <v>61</v>
      </c>
      <c r="I31" s="196">
        <v>71</v>
      </c>
      <c r="J31" s="10">
        <v>1</v>
      </c>
      <c r="K31" s="143">
        <v>45</v>
      </c>
      <c r="L31" s="143">
        <v>10</v>
      </c>
      <c r="M31" s="196">
        <v>82</v>
      </c>
      <c r="N31" s="10">
        <v>79</v>
      </c>
      <c r="O31" s="10">
        <v>50</v>
      </c>
      <c r="P31" s="144" cm="1">
        <f t="array" ref="P31">O31*9/H31</f>
        <v>7.3770491803278686</v>
      </c>
      <c r="Q31" s="41" cm="1">
        <f t="array" ref="Q31">(K31+L31)/H31</f>
        <v>0.90163934426229508</v>
      </c>
      <c r="R31" s="42" cm="1">
        <f t="array" ref="R31">I31/H31</f>
        <v>1.1639344262295082</v>
      </c>
      <c r="S31" s="42" cm="1">
        <f t="array" ref="S31">H31/B31</f>
        <v>3.8125</v>
      </c>
      <c r="T31" s="41" cm="1">
        <f t="array" ref="T31">M31/H31</f>
        <v>1.3442622950819672</v>
      </c>
      <c r="U31" s="44" cm="1">
        <f t="array" ref="U31">O31/N31</f>
        <v>0.63291139240506333</v>
      </c>
      <c r="V31" s="41" cm="1">
        <f t="array" ref="V31">(I31+K31+L31)/H31</f>
        <v>2.0655737704918034</v>
      </c>
      <c r="W31" s="125"/>
      <c r="X31" s="145" cm="1">
        <f t="array" ref="X31">(L31+K31)/F31*100</f>
        <v>16.97530864197531</v>
      </c>
      <c r="Y31" s="197"/>
      <c r="Z31" s="189"/>
      <c r="AA31" s="190"/>
    </row>
    <row r="32" spans="1:27" ht="19.5" customHeight="1">
      <c r="A32" s="8" t="s">
        <v>35</v>
      </c>
      <c r="B32" s="10">
        <v>1</v>
      </c>
      <c r="C32" s="10">
        <v>0</v>
      </c>
      <c r="D32" s="10">
        <v>0</v>
      </c>
      <c r="E32" s="10">
        <v>0</v>
      </c>
      <c r="F32" s="10">
        <v>3</v>
      </c>
      <c r="G32" s="10">
        <v>1</v>
      </c>
      <c r="H32" s="39">
        <v>0.3333333</v>
      </c>
      <c r="I32" s="196">
        <v>0</v>
      </c>
      <c r="J32" s="10">
        <v>0</v>
      </c>
      <c r="K32" s="143">
        <v>2</v>
      </c>
      <c r="L32" s="143">
        <v>0</v>
      </c>
      <c r="M32" s="196">
        <v>0</v>
      </c>
      <c r="N32" s="10">
        <v>0</v>
      </c>
      <c r="O32" s="10">
        <v>0</v>
      </c>
      <c r="P32" s="144" cm="1">
        <f t="array" ref="P32">O32*9/H32</f>
        <v>0</v>
      </c>
      <c r="Q32" s="41"/>
      <c r="R32" s="42"/>
      <c r="S32" s="42"/>
      <c r="T32" s="41"/>
      <c r="U32" s="44"/>
      <c r="V32" s="41"/>
      <c r="W32" s="125"/>
      <c r="X32" s="145" cm="1">
        <f t="array" ref="X32">(L32+K32)/F32*100</f>
        <v>66.666666666666657</v>
      </c>
      <c r="Y32" s="197"/>
      <c r="Z32" s="189"/>
      <c r="AA32" s="190"/>
    </row>
    <row r="33" spans="1:27" ht="19.5" customHeight="1">
      <c r="A33" s="8" t="s">
        <v>36</v>
      </c>
      <c r="B33" s="10">
        <v>7</v>
      </c>
      <c r="C33" s="10">
        <v>2</v>
      </c>
      <c r="D33" s="10">
        <v>2</v>
      </c>
      <c r="E33" s="10">
        <v>0</v>
      </c>
      <c r="F33" s="10">
        <v>64</v>
      </c>
      <c r="G33" s="10">
        <v>42</v>
      </c>
      <c r="H33" s="39">
        <v>7.6666600000000003</v>
      </c>
      <c r="I33" s="196">
        <v>17</v>
      </c>
      <c r="J33" s="10">
        <v>0</v>
      </c>
      <c r="K33" s="143">
        <v>23</v>
      </c>
      <c r="L33" s="143">
        <v>1</v>
      </c>
      <c r="M33" s="196">
        <v>6</v>
      </c>
      <c r="N33" s="10">
        <v>29</v>
      </c>
      <c r="O33" s="10">
        <v>27</v>
      </c>
      <c r="P33" s="144" cm="1">
        <f t="array" ref="P33">O33*9/H33</f>
        <v>31.69567973537368</v>
      </c>
      <c r="Q33" s="41" cm="1">
        <f t="array" ref="Q33">(K33+L33)/H33</f>
        <v>3.1304375047282651</v>
      </c>
      <c r="R33" s="42" cm="1">
        <f t="array" ref="R33">I33/H33</f>
        <v>2.2173932325158541</v>
      </c>
      <c r="S33" s="42" cm="1">
        <f t="array" ref="S33">H33/B33</f>
        <v>1.0952371428571428</v>
      </c>
      <c r="T33" s="41" cm="1">
        <f t="array" ref="T33">M33/H33</f>
        <v>0.78260937618206627</v>
      </c>
      <c r="U33" s="44" cm="1">
        <f t="array" ref="U33">O33/N33</f>
        <v>0.93103448275862066</v>
      </c>
      <c r="V33" s="41" cm="1">
        <f t="array" ref="V33">(I33+K33+L33)/H33</f>
        <v>5.3478307372441192</v>
      </c>
      <c r="W33" s="125"/>
      <c r="X33" s="145" cm="1">
        <f t="array" ref="X33">(L33+K33)/F33*100</f>
        <v>37.5</v>
      </c>
      <c r="Y33" s="197"/>
      <c r="Z33" s="189"/>
      <c r="AA33" s="190"/>
    </row>
    <row r="34" spans="1:27" ht="19.5" customHeight="1">
      <c r="A34" s="8" t="s">
        <v>37</v>
      </c>
      <c r="B34" s="10">
        <v>10</v>
      </c>
      <c r="C34" s="10">
        <v>2</v>
      </c>
      <c r="D34" s="10">
        <v>3</v>
      </c>
      <c r="E34" s="10">
        <v>0</v>
      </c>
      <c r="F34" s="10">
        <v>170</v>
      </c>
      <c r="G34" s="10">
        <v>125</v>
      </c>
      <c r="H34" s="39">
        <v>22.999966000000001</v>
      </c>
      <c r="I34" s="196">
        <v>65</v>
      </c>
      <c r="J34" s="10">
        <v>1</v>
      </c>
      <c r="K34" s="143">
        <v>32</v>
      </c>
      <c r="L34" s="143">
        <v>9</v>
      </c>
      <c r="M34" s="196">
        <v>26</v>
      </c>
      <c r="N34" s="10">
        <v>74</v>
      </c>
      <c r="O34" s="10">
        <v>62</v>
      </c>
      <c r="P34" s="144" cm="1">
        <f t="array" ref="P34">O34*9/H34</f>
        <v>24.260905429164549</v>
      </c>
      <c r="Q34" s="41" cm="1">
        <f t="array" ref="Q34">(K34+L34)/H34</f>
        <v>1.7826113308167499</v>
      </c>
      <c r="R34" s="42" cm="1">
        <f t="array" ref="R34">I34/H34</f>
        <v>2.8260911342216768</v>
      </c>
      <c r="S34" s="42" cm="1">
        <f t="array" ref="S34">H34/B34</f>
        <v>2.2999966000000001</v>
      </c>
      <c r="T34" s="41" cm="1">
        <f t="array" ref="T34">M34/H34</f>
        <v>1.1304364536886706</v>
      </c>
      <c r="U34" s="44" cm="1">
        <f t="array" ref="U34">O34/N34</f>
        <v>0.83783783783783783</v>
      </c>
      <c r="V34" s="41" cm="1">
        <f t="array" ref="V34">(I34+K34+L34)/H34</f>
        <v>4.6087024650384265</v>
      </c>
      <c r="W34" s="125"/>
      <c r="X34" s="145" cm="1">
        <f t="array" ref="X34">(L34+K34)/F34*100</f>
        <v>24.117647058823529</v>
      </c>
      <c r="Y34" s="197"/>
      <c r="Z34" s="189"/>
      <c r="AA34" s="190"/>
    </row>
    <row r="35" spans="1:27" ht="19.5" customHeight="1">
      <c r="A35" s="8" t="s">
        <v>40</v>
      </c>
      <c r="B35" s="10">
        <v>4</v>
      </c>
      <c r="C35" s="10">
        <v>0</v>
      </c>
      <c r="D35" s="10">
        <v>2</v>
      </c>
      <c r="E35" s="10">
        <v>0</v>
      </c>
      <c r="F35" s="10">
        <v>50</v>
      </c>
      <c r="G35" s="10">
        <v>41</v>
      </c>
      <c r="H35" s="39">
        <v>4.6666666666600003</v>
      </c>
      <c r="I35" s="196">
        <v>25</v>
      </c>
      <c r="J35" s="10">
        <v>2</v>
      </c>
      <c r="K35" s="143">
        <v>7</v>
      </c>
      <c r="L35" s="143">
        <v>2</v>
      </c>
      <c r="M35" s="196">
        <v>5</v>
      </c>
      <c r="N35" s="10">
        <v>31</v>
      </c>
      <c r="O35" s="10">
        <v>23</v>
      </c>
      <c r="P35" s="144" cm="1">
        <f t="array" ref="P35">O35*9/H35</f>
        <v>44.35714285720622</v>
      </c>
      <c r="Q35" s="41" cm="1">
        <f t="array" ref="Q35">(K35+L35)/H35</f>
        <v>1.9285714285741835</v>
      </c>
      <c r="R35" s="42" cm="1">
        <f t="array" ref="R35">I35/H35</f>
        <v>5.3571428571505102</v>
      </c>
      <c r="S35" s="42" cm="1">
        <f t="array" ref="S35">H35/B35</f>
        <v>1.1666666666650001</v>
      </c>
      <c r="T35" s="41" cm="1">
        <f t="array" ref="T35">M35/H35</f>
        <v>1.071428571430102</v>
      </c>
      <c r="U35" s="44" cm="1">
        <f t="array" ref="U35">O35/N35</f>
        <v>0.74193548387096775</v>
      </c>
      <c r="V35" s="41" cm="1">
        <f t="array" ref="V35">(I35+K35+L35)/H35</f>
        <v>7.2857142857246933</v>
      </c>
      <c r="W35" s="125"/>
      <c r="X35" s="145" cm="1">
        <f t="array" ref="X35">(L35+K35)/F35*100</f>
        <v>18</v>
      </c>
      <c r="Y35" s="197"/>
      <c r="Z35" s="189"/>
      <c r="AA35" s="190"/>
    </row>
    <row r="36" spans="1:27" ht="19.5" customHeight="1">
      <c r="A36" s="8" t="s">
        <v>42</v>
      </c>
      <c r="B36" s="10">
        <v>2</v>
      </c>
      <c r="C36" s="10">
        <v>0</v>
      </c>
      <c r="D36" s="10">
        <v>0</v>
      </c>
      <c r="E36" s="10">
        <v>1</v>
      </c>
      <c r="F36" s="10">
        <v>5</v>
      </c>
      <c r="G36" s="10">
        <v>2</v>
      </c>
      <c r="H36" s="39">
        <v>0.66666666333299995</v>
      </c>
      <c r="I36" s="196">
        <v>0</v>
      </c>
      <c r="J36" s="10">
        <v>0</v>
      </c>
      <c r="K36" s="143">
        <v>2</v>
      </c>
      <c r="L36" s="143">
        <v>1</v>
      </c>
      <c r="M36" s="196">
        <v>0</v>
      </c>
      <c r="N36" s="10">
        <v>1</v>
      </c>
      <c r="O36" s="10">
        <v>0</v>
      </c>
      <c r="P36" s="144" cm="1">
        <f t="array" ref="P36">O36*9/H36</f>
        <v>0</v>
      </c>
      <c r="Q36" s="41" cm="1">
        <f t="array" ref="Q36">(K36+L36)/H36</f>
        <v>4.5000000225022507</v>
      </c>
      <c r="R36" s="42" cm="1">
        <f t="array" ref="R36">I36/H36</f>
        <v>0</v>
      </c>
      <c r="S36" s="42" cm="1">
        <f t="array" ref="S36">H36/B36</f>
        <v>0.33333333166649998</v>
      </c>
      <c r="T36" s="41" cm="1">
        <f t="array" ref="T36">M36/H36</f>
        <v>0</v>
      </c>
      <c r="U36" s="44" cm="1">
        <f t="array" ref="U36">O36/N36</f>
        <v>0</v>
      </c>
      <c r="V36" s="41" cm="1">
        <f t="array" ref="V36">(I36+K36+L36)/H36</f>
        <v>4.5000000225022507</v>
      </c>
      <c r="W36" s="125"/>
      <c r="X36" s="145" cm="1">
        <f t="array" ref="X36">(L36+K36)/F36*100</f>
        <v>60</v>
      </c>
      <c r="Y36" s="197"/>
      <c r="Z36" s="189"/>
      <c r="AA36" s="190"/>
    </row>
    <row r="37" spans="1:27" ht="19.5" customHeight="1">
      <c r="A37" s="8" t="s">
        <v>43</v>
      </c>
      <c r="B37" s="10">
        <v>14</v>
      </c>
      <c r="C37" s="10">
        <v>3</v>
      </c>
      <c r="D37" s="10">
        <v>3</v>
      </c>
      <c r="E37" s="10">
        <v>0</v>
      </c>
      <c r="F37" s="10">
        <v>160</v>
      </c>
      <c r="G37" s="10">
        <v>113</v>
      </c>
      <c r="H37" s="39">
        <v>26.666666320000001</v>
      </c>
      <c r="I37" s="196">
        <v>31</v>
      </c>
      <c r="J37" s="10">
        <v>0</v>
      </c>
      <c r="K37" s="143">
        <v>33</v>
      </c>
      <c r="L37" s="143">
        <v>10</v>
      </c>
      <c r="M37" s="196">
        <v>45</v>
      </c>
      <c r="N37" s="10">
        <v>42</v>
      </c>
      <c r="O37" s="10">
        <v>35</v>
      </c>
      <c r="P37" s="144" cm="1">
        <f t="array" ref="P37">O37*9/H37</f>
        <v>11.812500153562501</v>
      </c>
      <c r="Q37" s="41" cm="1">
        <f t="array" ref="Q37">(K37+L37)/H37</f>
        <v>1.6125000209625002</v>
      </c>
      <c r="R37" s="42" cm="1">
        <f t="array" ref="R37">I37/H37</f>
        <v>1.1625000151125002</v>
      </c>
      <c r="S37" s="42" cm="1">
        <f t="array" ref="S37">H37/B37</f>
        <v>1.9047618800000001</v>
      </c>
      <c r="T37" s="41" cm="1">
        <f t="array" ref="T37">M37/H37</f>
        <v>1.6875000219375003</v>
      </c>
      <c r="U37" s="44" cm="1">
        <f t="array" ref="U37">O37/N37</f>
        <v>0.83333333333333337</v>
      </c>
      <c r="V37" s="41" cm="1">
        <f t="array" ref="V37">(I37+K37+L37)/H37</f>
        <v>2.7750000360750002</v>
      </c>
      <c r="W37" s="125"/>
      <c r="X37" s="145" cm="1">
        <f t="array" ref="X37">(L37+K37)/F37*100</f>
        <v>26.875</v>
      </c>
      <c r="Y37" s="197"/>
      <c r="Z37" s="189"/>
      <c r="AA37" s="190"/>
    </row>
    <row r="38" spans="1:27" ht="19.5" customHeight="1">
      <c r="A38" s="29" t="s">
        <v>45</v>
      </c>
      <c r="B38" s="103"/>
      <c r="C38" s="49" cm="1">
        <f t="array" ref="C38">SUM(C28:C37)</f>
        <v>16</v>
      </c>
      <c r="D38" s="49" cm="1">
        <f t="array" ref="D38">SUM(D28:D37)</f>
        <v>14</v>
      </c>
      <c r="E38" s="49" cm="1">
        <f t="array" ref="E38">SUM(E28:E37)</f>
        <v>2</v>
      </c>
      <c r="F38" s="49" cm="1">
        <f t="array" ref="F38">SUM(F28:F37)</f>
        <v>823</v>
      </c>
      <c r="G38" s="49" cm="1">
        <f t="array" ref="G38">SUM(G28:G37)</f>
        <v>623</v>
      </c>
      <c r="H38" s="50" cm="1">
        <f t="array" ref="H38">SUM(H28:H37)</f>
        <v>127.99962528332301</v>
      </c>
      <c r="I38" s="49" cm="1">
        <f t="array" ref="I38">SUM(I28:I37)</f>
        <v>217</v>
      </c>
      <c r="J38" s="49" cm="1">
        <f t="array" ref="J38">SUM(J28:J37)</f>
        <v>4</v>
      </c>
      <c r="K38" s="49" cm="1">
        <f t="array" ref="K38">SUM(K28:K37)</f>
        <v>167</v>
      </c>
      <c r="L38" s="49" cm="1">
        <f t="array" ref="L38">SUM(L28:L37)</f>
        <v>33</v>
      </c>
      <c r="M38" s="49" cm="1">
        <f t="array" ref="M38">SUM(M28:M37)</f>
        <v>167</v>
      </c>
      <c r="N38" s="49" cm="1">
        <f t="array" ref="N38">SUM(N28:N37)</f>
        <v>285</v>
      </c>
      <c r="O38" s="49" cm="1">
        <f t="array" ref="O38">SUM(O28:O37)</f>
        <v>215</v>
      </c>
      <c r="P38" s="51" cm="1">
        <f t="array" ref="P38">O38*9/H38</f>
        <v>15.117231755303505</v>
      </c>
      <c r="Q38" s="52" cm="1">
        <f t="array" ref="Q38">(K38+L38)/H38</f>
        <v>1.5625045741915766</v>
      </c>
      <c r="R38" s="53" cm="1">
        <f t="array" ref="R38">I38/H38</f>
        <v>1.6953174629978607</v>
      </c>
      <c r="S38" s="53"/>
      <c r="T38" s="52" cm="1">
        <f t="array" ref="T38">M38/H38</f>
        <v>1.3046913194499665</v>
      </c>
      <c r="U38" s="55" cm="1">
        <f t="array" ref="U38">O38/N38</f>
        <v>0.75438596491228072</v>
      </c>
      <c r="V38" s="52" cm="1">
        <f t="array" ref="V38">(I38+K38+L38)/H38</f>
        <v>3.2578220371894373</v>
      </c>
      <c r="W38" s="125"/>
      <c r="X38" s="52"/>
      <c r="Y38" s="197"/>
      <c r="Z38" s="189"/>
      <c r="AA38" s="190"/>
    </row>
    <row r="39" spans="1:27" ht="16.5" customHeight="1">
      <c r="A39" s="137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23"/>
      <c r="X39" s="138"/>
      <c r="Y39" s="123"/>
      <c r="Z39" s="189"/>
      <c r="AA39" s="190"/>
    </row>
    <row r="40" spans="1:27" ht="16.5" customHeight="1">
      <c r="A40" s="15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89"/>
      <c r="AA40" s="190"/>
    </row>
    <row r="41" spans="1:27" ht="16.5" customHeight="1">
      <c r="A41" s="154"/>
      <c r="B41" s="155"/>
      <c r="C41" s="155"/>
      <c r="D41" s="155"/>
      <c r="E41" s="155"/>
      <c r="F41" s="155"/>
      <c r="G41" s="201" cm="1">
        <f t="array" ref="G41">(K38+L38)/F38</f>
        <v>0.24301336573511542</v>
      </c>
      <c r="H41" s="155"/>
      <c r="I41" s="155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5"/>
      <c r="U41" s="155"/>
      <c r="V41" s="155"/>
      <c r="W41" s="155"/>
      <c r="X41" s="155"/>
      <c r="Y41" s="155"/>
      <c r="Z41" s="202"/>
      <c r="AA41" s="203"/>
    </row>
  </sheetData>
  <phoneticPr fontId="21" type="noConversion"/>
  <pageMargins left="0.69972199999999996" right="0.69972199999999996" top="0.75" bottom="0.75" header="0.3" footer="0.3"/>
  <pageSetup orientation="portrait"/>
  <headerFooter>
    <oddFooter>&amp;C&amp;"Helvetica Neue,Regular"&amp;12&amp;K000000&amp;P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I48"/>
  <sheetViews>
    <sheetView showGridLines="0" workbookViewId="0"/>
  </sheetViews>
  <sheetFormatPr defaultColWidth="9" defaultRowHeight="16.5" customHeight="1"/>
  <cols>
    <col min="1" max="1" width="8.875" style="1" customWidth="1"/>
    <col min="2" max="2" width="15.625" style="1" customWidth="1"/>
    <col min="3" max="20" width="8.875" style="1" customWidth="1"/>
    <col min="21" max="36" width="9" style="1" customWidth="1"/>
    <col min="37" max="16384" width="9" style="1"/>
  </cols>
  <sheetData>
    <row r="1" spans="1:35" ht="26.25" customHeight="1">
      <c r="A1" s="118" t="s">
        <v>172</v>
      </c>
      <c r="B1" s="204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119"/>
      <c r="AD1" s="119"/>
      <c r="AE1" s="119"/>
      <c r="AF1" s="119"/>
      <c r="AG1" s="119"/>
      <c r="AH1" s="119"/>
      <c r="AI1" s="120"/>
    </row>
    <row r="2" spans="1:35" ht="17.25" customHeight="1">
      <c r="A2" s="121" t="s">
        <v>1</v>
      </c>
      <c r="B2" s="205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3"/>
      <c r="V2" s="123"/>
      <c r="W2" s="123"/>
      <c r="X2" s="123"/>
      <c r="Y2" s="123"/>
      <c r="Z2" s="123"/>
      <c r="AA2" s="123"/>
      <c r="AB2" s="123"/>
      <c r="AC2" s="123"/>
      <c r="AD2" s="123"/>
      <c r="AE2" s="123"/>
      <c r="AF2" s="123"/>
      <c r="AG2" s="123"/>
      <c r="AH2" s="123"/>
      <c r="AI2" s="141"/>
    </row>
    <row r="3" spans="1:35" ht="17.25" customHeight="1">
      <c r="A3" s="8" t="s">
        <v>2</v>
      </c>
      <c r="B3" s="8" t="s">
        <v>173</v>
      </c>
      <c r="C3" s="8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142"/>
      <c r="V3" s="123"/>
      <c r="W3" s="123"/>
      <c r="X3" s="123"/>
      <c r="Y3" s="123"/>
      <c r="Z3" s="123"/>
      <c r="AA3" s="123"/>
      <c r="AB3" s="123"/>
      <c r="AC3" s="123"/>
      <c r="AD3" s="123"/>
      <c r="AE3" s="123"/>
      <c r="AF3" s="123"/>
      <c r="AG3" s="123"/>
      <c r="AH3" s="123"/>
      <c r="AI3" s="141"/>
    </row>
    <row r="4" spans="1:35" ht="15" customHeight="1">
      <c r="A4" s="8" t="s">
        <v>24</v>
      </c>
      <c r="B4" s="206" t="s">
        <v>174</v>
      </c>
      <c r="C4" s="10">
        <v>52</v>
      </c>
      <c r="D4" s="62" cm="1">
        <f t="array" ref="D4">G4/F4</f>
        <v>0.52212389380530977</v>
      </c>
      <c r="E4" s="10">
        <v>137</v>
      </c>
      <c r="F4" s="10">
        <v>113</v>
      </c>
      <c r="G4" s="10">
        <v>59</v>
      </c>
      <c r="H4" s="10">
        <v>42</v>
      </c>
      <c r="I4" s="10">
        <v>8</v>
      </c>
      <c r="J4" s="10">
        <v>5</v>
      </c>
      <c r="K4" s="10">
        <v>4</v>
      </c>
      <c r="L4" s="10">
        <v>78</v>
      </c>
      <c r="M4" s="10">
        <v>48</v>
      </c>
      <c r="N4" s="10">
        <v>68</v>
      </c>
      <c r="O4" s="10">
        <v>18</v>
      </c>
      <c r="P4" s="10">
        <v>19</v>
      </c>
      <c r="Q4" s="19" cm="1">
        <f t="array" ref="Q4">P4/E4</f>
        <v>0.13868613138686131</v>
      </c>
      <c r="R4" s="13" cm="1">
        <f t="array" ref="R4">(H4*1+I4*2+J4*3+K4*4)/F4</f>
        <v>0.78761061946902655</v>
      </c>
      <c r="S4" s="14" cm="1">
        <f t="array" ref="S4">(G4+O4)/E4</f>
        <v>0.56204379562043794</v>
      </c>
      <c r="T4" s="15" cm="1">
        <f t="array" ref="T4">S4+R4</f>
        <v>1.3496544150894645</v>
      </c>
      <c r="U4" s="142"/>
      <c r="V4" s="123"/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3"/>
      <c r="AI4" s="141"/>
    </row>
    <row r="5" spans="1:35" ht="17.25" customHeight="1">
      <c r="A5" s="8" t="s">
        <v>25</v>
      </c>
      <c r="B5" s="206" t="s">
        <v>175</v>
      </c>
      <c r="C5" s="10">
        <v>63</v>
      </c>
      <c r="D5" s="62" cm="1">
        <f t="array" ref="D5">G5/F5</f>
        <v>0.44094488188976377</v>
      </c>
      <c r="E5" s="10">
        <v>171</v>
      </c>
      <c r="F5" s="10">
        <v>127</v>
      </c>
      <c r="G5" s="10">
        <v>56</v>
      </c>
      <c r="H5" s="10">
        <v>26</v>
      </c>
      <c r="I5" s="10">
        <v>24</v>
      </c>
      <c r="J5" s="10">
        <v>4</v>
      </c>
      <c r="K5" s="10">
        <v>2</v>
      </c>
      <c r="L5" s="10">
        <v>64</v>
      </c>
      <c r="M5" s="10">
        <v>56</v>
      </c>
      <c r="N5" s="10">
        <v>40</v>
      </c>
      <c r="O5" s="10">
        <v>37</v>
      </c>
      <c r="P5" s="10">
        <v>23</v>
      </c>
      <c r="Q5" s="19" cm="1">
        <f t="array" ref="Q5">P5/E5</f>
        <v>0.13450292397660818</v>
      </c>
      <c r="R5" s="13" cm="1">
        <f t="array" ref="R5">(H5*1+I5*2+J5*3+K5*4)/F5</f>
        <v>0.74015748031496065</v>
      </c>
      <c r="S5" s="14" cm="1">
        <f t="array" ref="S5">(G5+O5)/E5</f>
        <v>0.54385964912280704</v>
      </c>
      <c r="T5" s="15" cm="1">
        <f t="array" ref="T5">S5+R5</f>
        <v>1.2840171294377676</v>
      </c>
      <c r="U5" s="142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41"/>
    </row>
    <row r="6" spans="1:35" ht="17.25" customHeight="1">
      <c r="A6" s="8" t="s">
        <v>26</v>
      </c>
      <c r="B6" s="206" t="s">
        <v>176</v>
      </c>
      <c r="C6" s="10">
        <v>80</v>
      </c>
      <c r="D6" s="62" cm="1">
        <f t="array" ref="D6">G6/F6</f>
        <v>0.52763819095477382</v>
      </c>
      <c r="E6" s="10">
        <v>234</v>
      </c>
      <c r="F6" s="10">
        <v>199</v>
      </c>
      <c r="G6" s="10">
        <v>105</v>
      </c>
      <c r="H6" s="10">
        <v>68</v>
      </c>
      <c r="I6" s="10">
        <v>30</v>
      </c>
      <c r="J6" s="10">
        <v>6</v>
      </c>
      <c r="K6" s="10">
        <v>1</v>
      </c>
      <c r="L6" s="10">
        <v>93</v>
      </c>
      <c r="M6" s="10">
        <v>98</v>
      </c>
      <c r="N6" s="10">
        <v>61</v>
      </c>
      <c r="O6" s="10">
        <v>33</v>
      </c>
      <c r="P6" s="10">
        <v>15</v>
      </c>
      <c r="Q6" s="19" cm="1">
        <f t="array" ref="Q6">P6/E6</f>
        <v>6.4102564102564097E-2</v>
      </c>
      <c r="R6" s="13" cm="1">
        <f t="array" ref="R6">(H6*1+I6*2+J6*3+K6*4)/F6</f>
        <v>0.75376884422110557</v>
      </c>
      <c r="S6" s="14" cm="1">
        <f t="array" ref="S6">(G6+O6)/E6</f>
        <v>0.58974358974358976</v>
      </c>
      <c r="T6" s="15" cm="1">
        <f t="array" ref="T6">S6+R6</f>
        <v>1.3435124339646953</v>
      </c>
      <c r="U6" s="142"/>
      <c r="V6" s="123"/>
      <c r="W6" s="123"/>
      <c r="X6" s="123"/>
      <c r="Y6" s="123"/>
      <c r="Z6" s="123"/>
      <c r="AA6" s="123"/>
      <c r="AB6" s="123"/>
      <c r="AC6" s="123"/>
      <c r="AD6" s="123"/>
      <c r="AE6" s="123"/>
      <c r="AF6" s="123"/>
      <c r="AG6" s="123"/>
      <c r="AH6" s="123"/>
      <c r="AI6" s="141"/>
    </row>
    <row r="7" spans="1:35" ht="17.25" customHeight="1">
      <c r="A7" s="8" t="s">
        <v>28</v>
      </c>
      <c r="B7" s="206" t="s">
        <v>177</v>
      </c>
      <c r="C7" s="10">
        <v>62</v>
      </c>
      <c r="D7" s="62" cm="1">
        <f t="array" ref="D7">G7/F7</f>
        <v>0.38738738738738737</v>
      </c>
      <c r="E7" s="10">
        <v>144</v>
      </c>
      <c r="F7" s="10">
        <v>111</v>
      </c>
      <c r="G7" s="10">
        <v>43</v>
      </c>
      <c r="H7" s="10">
        <v>32</v>
      </c>
      <c r="I7" s="10">
        <v>7</v>
      </c>
      <c r="J7" s="10">
        <v>3</v>
      </c>
      <c r="K7" s="10">
        <v>1</v>
      </c>
      <c r="L7" s="10">
        <v>47</v>
      </c>
      <c r="M7" s="10">
        <v>39</v>
      </c>
      <c r="N7" s="10">
        <v>23</v>
      </c>
      <c r="O7" s="10">
        <v>30</v>
      </c>
      <c r="P7" s="10">
        <v>27</v>
      </c>
      <c r="Q7" s="19" cm="1">
        <f t="array" ref="Q7">P7/E7</f>
        <v>0.1875</v>
      </c>
      <c r="R7" s="13" cm="1">
        <f t="array" ref="R7">(H7*1+I7*2+J7*3+K7*4)/F7</f>
        <v>0.53153153153153154</v>
      </c>
      <c r="S7" s="14" cm="1">
        <f t="array" ref="S7">(G7+O7)/E7</f>
        <v>0.50694444444444442</v>
      </c>
      <c r="T7" s="15" cm="1">
        <f t="array" ref="T7">S7+R7</f>
        <v>1.0384759759759761</v>
      </c>
      <c r="U7" s="142"/>
      <c r="V7" s="123"/>
      <c r="W7" s="123"/>
      <c r="X7" s="123"/>
      <c r="Y7" s="123"/>
      <c r="Z7" s="123"/>
      <c r="AA7" s="123"/>
      <c r="AB7" s="123"/>
      <c r="AC7" s="123"/>
      <c r="AD7" s="123"/>
      <c r="AE7" s="123"/>
      <c r="AF7" s="123"/>
      <c r="AG7" s="123"/>
      <c r="AH7" s="123"/>
      <c r="AI7" s="141"/>
    </row>
    <row r="8" spans="1:35" ht="17.25" customHeight="1">
      <c r="A8" s="8" t="s">
        <v>29</v>
      </c>
      <c r="B8" s="206" t="s">
        <v>178</v>
      </c>
      <c r="C8" s="10">
        <v>48</v>
      </c>
      <c r="D8" s="62" cm="1">
        <f t="array" ref="D8">G8/F8</f>
        <v>0.33333333333333331</v>
      </c>
      <c r="E8" s="10">
        <v>108</v>
      </c>
      <c r="F8" s="10">
        <v>93</v>
      </c>
      <c r="G8" s="10">
        <v>31</v>
      </c>
      <c r="H8" s="10">
        <v>24</v>
      </c>
      <c r="I8" s="10">
        <v>7</v>
      </c>
      <c r="J8" s="10">
        <v>0</v>
      </c>
      <c r="K8" s="10">
        <v>0</v>
      </c>
      <c r="L8" s="10">
        <v>30</v>
      </c>
      <c r="M8" s="10">
        <v>20</v>
      </c>
      <c r="N8" s="10">
        <v>40</v>
      </c>
      <c r="O8" s="10">
        <v>18</v>
      </c>
      <c r="P8" s="10">
        <v>30</v>
      </c>
      <c r="Q8" s="19" cm="1">
        <f t="array" ref="Q8">P8/E8</f>
        <v>0.27777777777777779</v>
      </c>
      <c r="R8" s="13" cm="1">
        <f t="array" ref="R8">(H8*1+I8*2+J8*3+K8*4)/F8</f>
        <v>0.40860215053763443</v>
      </c>
      <c r="S8" s="14" cm="1">
        <f t="array" ref="S8">(G8+O8)/E8</f>
        <v>0.45370370370370372</v>
      </c>
      <c r="T8" s="15" cm="1">
        <f t="array" ref="T8">S8+R8</f>
        <v>0.86230585424133821</v>
      </c>
      <c r="U8" s="142"/>
      <c r="V8" s="123"/>
      <c r="W8" s="123"/>
      <c r="X8" s="123"/>
      <c r="Y8" s="123"/>
      <c r="Z8" s="123"/>
      <c r="AA8" s="123"/>
      <c r="AB8" s="123"/>
      <c r="AC8" s="123"/>
      <c r="AD8" s="123"/>
      <c r="AE8" s="123"/>
      <c r="AF8" s="123"/>
      <c r="AG8" s="123"/>
      <c r="AH8" s="123"/>
      <c r="AI8" s="141"/>
    </row>
    <row r="9" spans="1:35" ht="17.25" customHeight="1">
      <c r="A9" s="8" t="s">
        <v>69</v>
      </c>
      <c r="B9" s="206" t="s">
        <v>179</v>
      </c>
      <c r="C9" s="10">
        <v>22</v>
      </c>
      <c r="D9" s="62" cm="1">
        <f t="array" ref="D9">G9/F9</f>
        <v>0.43137254901960786</v>
      </c>
      <c r="E9" s="10">
        <v>62</v>
      </c>
      <c r="F9" s="10">
        <v>51</v>
      </c>
      <c r="G9" s="10">
        <v>22</v>
      </c>
      <c r="H9" s="10">
        <v>17</v>
      </c>
      <c r="I9" s="10">
        <v>5</v>
      </c>
      <c r="J9" s="10">
        <v>0</v>
      </c>
      <c r="K9" s="10">
        <v>0</v>
      </c>
      <c r="L9" s="10">
        <v>15</v>
      </c>
      <c r="M9" s="10">
        <v>19</v>
      </c>
      <c r="N9" s="10">
        <v>18</v>
      </c>
      <c r="O9" s="10">
        <v>11</v>
      </c>
      <c r="P9" s="10">
        <v>3</v>
      </c>
      <c r="Q9" s="19" cm="1">
        <f t="array" ref="Q9">P9/E9</f>
        <v>4.8387096774193547E-2</v>
      </c>
      <c r="R9" s="13" cm="1">
        <f t="array" ref="R9">(H9*1+I9*2+J9*3+K9*4)/F9</f>
        <v>0.52941176470588236</v>
      </c>
      <c r="S9" s="14" cm="1">
        <f t="array" ref="S9">(G9+O9)/E9</f>
        <v>0.532258064516129</v>
      </c>
      <c r="T9" s="15" cm="1">
        <f t="array" ref="T9">S9+R9</f>
        <v>1.0616698292220113</v>
      </c>
      <c r="U9" s="142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41"/>
    </row>
    <row r="10" spans="1:35" ht="17.25" customHeight="1">
      <c r="A10" s="8" t="s">
        <v>30</v>
      </c>
      <c r="B10" s="206" t="s">
        <v>180</v>
      </c>
      <c r="C10" s="10">
        <v>90</v>
      </c>
      <c r="D10" s="62" cm="1">
        <f t="array" ref="D10">G10/F10</f>
        <v>0.50819672131147542</v>
      </c>
      <c r="E10" s="10">
        <v>242</v>
      </c>
      <c r="F10" s="10">
        <v>183</v>
      </c>
      <c r="G10" s="10">
        <v>93</v>
      </c>
      <c r="H10" s="10">
        <v>72</v>
      </c>
      <c r="I10" s="10">
        <v>14</v>
      </c>
      <c r="J10" s="10">
        <v>10</v>
      </c>
      <c r="K10" s="10">
        <v>1</v>
      </c>
      <c r="L10" s="10">
        <v>101</v>
      </c>
      <c r="M10" s="10">
        <v>66</v>
      </c>
      <c r="N10" s="10">
        <v>111</v>
      </c>
      <c r="O10" s="10">
        <v>52</v>
      </c>
      <c r="P10" s="10">
        <v>22</v>
      </c>
      <c r="Q10" s="19" cm="1">
        <f t="array" ref="Q10">P10/E10</f>
        <v>9.0909090909090912E-2</v>
      </c>
      <c r="R10" s="13" cm="1">
        <f t="array" ref="R10">(H10*1+I10*2+J10*3+K10*4)/F10</f>
        <v>0.73224043715846998</v>
      </c>
      <c r="S10" s="14" cm="1">
        <f t="array" ref="S10">(G10+O10)/E10</f>
        <v>0.59917355371900827</v>
      </c>
      <c r="T10" s="15" cm="1">
        <f t="array" ref="T10">S10+R10</f>
        <v>1.3314139908774782</v>
      </c>
      <c r="U10" s="142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41"/>
    </row>
    <row r="11" spans="1:35" ht="17.25" customHeight="1">
      <c r="A11" s="8" t="s">
        <v>32</v>
      </c>
      <c r="B11" s="206" t="s">
        <v>181</v>
      </c>
      <c r="C11" s="10">
        <v>36</v>
      </c>
      <c r="D11" s="62" cm="1">
        <f t="array" ref="D11">G11/F11</f>
        <v>0.36</v>
      </c>
      <c r="E11" s="10">
        <v>71</v>
      </c>
      <c r="F11" s="10">
        <v>50</v>
      </c>
      <c r="G11" s="10">
        <v>18</v>
      </c>
      <c r="H11" s="10">
        <v>13</v>
      </c>
      <c r="I11" s="10">
        <v>3</v>
      </c>
      <c r="J11" s="10">
        <v>2</v>
      </c>
      <c r="K11" s="10">
        <v>0</v>
      </c>
      <c r="L11" s="10">
        <v>26</v>
      </c>
      <c r="M11" s="10">
        <v>17</v>
      </c>
      <c r="N11" s="10">
        <v>19</v>
      </c>
      <c r="O11" s="10">
        <v>14</v>
      </c>
      <c r="P11" s="10">
        <v>6</v>
      </c>
      <c r="Q11" s="19" cm="1">
        <f t="array" ref="Q11">P11/E11</f>
        <v>8.4507042253521125E-2</v>
      </c>
      <c r="R11" s="13" cm="1">
        <f t="array" ref="R11">(H11*1+I11*2+J11*3+K11*4)/F11</f>
        <v>0.5</v>
      </c>
      <c r="S11" s="14" cm="1">
        <f t="array" ref="S11">(G11+O11)/E11</f>
        <v>0.45070422535211269</v>
      </c>
      <c r="T11" s="15" cm="1">
        <f t="array" ref="T11">S11+R11</f>
        <v>0.95070422535211274</v>
      </c>
      <c r="U11" s="142"/>
      <c r="V11" s="123"/>
      <c r="W11" s="123"/>
      <c r="X11" s="123"/>
      <c r="Y11" s="207" t="s">
        <v>182</v>
      </c>
      <c r="Z11" s="122"/>
      <c r="AA11" s="122"/>
      <c r="AB11" s="122"/>
      <c r="AC11" s="122"/>
      <c r="AD11" s="123"/>
      <c r="AE11" s="207" t="s">
        <v>183</v>
      </c>
      <c r="AF11" s="122"/>
      <c r="AG11" s="122"/>
      <c r="AH11" s="122"/>
      <c r="AI11" s="124"/>
    </row>
    <row r="12" spans="1:35" ht="17.25" customHeight="1">
      <c r="A12" s="8" t="s">
        <v>33</v>
      </c>
      <c r="B12" s="206" t="s">
        <v>184</v>
      </c>
      <c r="C12" s="10">
        <v>61</v>
      </c>
      <c r="D12" s="62" cm="1">
        <f t="array" ref="D12">G12/F12</f>
        <v>0.47826086956521741</v>
      </c>
      <c r="E12" s="10">
        <v>165</v>
      </c>
      <c r="F12" s="10">
        <v>138</v>
      </c>
      <c r="G12" s="10">
        <v>66</v>
      </c>
      <c r="H12" s="10">
        <v>41</v>
      </c>
      <c r="I12" s="10">
        <v>22</v>
      </c>
      <c r="J12" s="10">
        <v>2</v>
      </c>
      <c r="K12" s="10">
        <v>1</v>
      </c>
      <c r="L12" s="10">
        <v>50</v>
      </c>
      <c r="M12" s="10">
        <v>60</v>
      </c>
      <c r="N12" s="10">
        <v>25</v>
      </c>
      <c r="O12" s="10">
        <v>26</v>
      </c>
      <c r="P12" s="10">
        <v>7</v>
      </c>
      <c r="Q12" s="19" cm="1">
        <f t="array" ref="Q12">P12/E12</f>
        <v>4.2424242424242427E-2</v>
      </c>
      <c r="R12" s="13" cm="1">
        <f t="array" ref="R12">(H12*1+I12*2+J12*3+K12*4)/F12</f>
        <v>0.68840579710144922</v>
      </c>
      <c r="S12" s="14" cm="1">
        <f t="array" ref="S12">(G12+O12)/E12</f>
        <v>0.55757575757575761</v>
      </c>
      <c r="T12" s="15" cm="1">
        <f t="array" ref="T12">S12+R12</f>
        <v>1.2459815546772068</v>
      </c>
      <c r="U12" s="142"/>
      <c r="V12" s="123"/>
      <c r="W12" s="123"/>
      <c r="X12" s="208"/>
      <c r="Y12" s="255" t="s">
        <v>185</v>
      </c>
      <c r="Z12" s="257" t="s">
        <v>186</v>
      </c>
      <c r="AA12" s="258"/>
      <c r="AB12" s="259" t="s">
        <v>187</v>
      </c>
      <c r="AC12" s="260"/>
      <c r="AD12" s="125"/>
      <c r="AE12" s="255" t="s">
        <v>185</v>
      </c>
      <c r="AF12" s="257" t="s">
        <v>186</v>
      </c>
      <c r="AG12" s="258"/>
      <c r="AH12" s="259" t="s">
        <v>187</v>
      </c>
      <c r="AI12" s="260"/>
    </row>
    <row r="13" spans="1:35" ht="17.25" customHeight="1">
      <c r="A13" s="8" t="s">
        <v>35</v>
      </c>
      <c r="B13" s="206" t="s">
        <v>188</v>
      </c>
      <c r="C13" s="10">
        <v>59</v>
      </c>
      <c r="D13" s="62" cm="1">
        <f t="array" ref="D13">G13/F13</f>
        <v>0.3</v>
      </c>
      <c r="E13" s="10">
        <v>144</v>
      </c>
      <c r="F13" s="10">
        <v>110</v>
      </c>
      <c r="G13" s="10">
        <v>33</v>
      </c>
      <c r="H13" s="10">
        <v>30</v>
      </c>
      <c r="I13" s="10">
        <v>3</v>
      </c>
      <c r="J13" s="10">
        <v>0</v>
      </c>
      <c r="K13" s="10">
        <v>0</v>
      </c>
      <c r="L13" s="10">
        <v>36</v>
      </c>
      <c r="M13" s="10">
        <v>31</v>
      </c>
      <c r="N13" s="10">
        <v>22</v>
      </c>
      <c r="O13" s="10">
        <v>28</v>
      </c>
      <c r="P13" s="10">
        <v>34</v>
      </c>
      <c r="Q13" s="19" cm="1">
        <f t="array" ref="Q13">P13/E13</f>
        <v>0.2361111111111111</v>
      </c>
      <c r="R13" s="13" cm="1">
        <f t="array" ref="R13">(H13*1+I13*2+J13*3+K13*4)/F13</f>
        <v>0.32727272727272727</v>
      </c>
      <c r="S13" s="14" cm="1">
        <f t="array" ref="S13">(G13+O13)/E13</f>
        <v>0.4236111111111111</v>
      </c>
      <c r="T13" s="15" cm="1">
        <f t="array" ref="T13">S13+R13</f>
        <v>0.75088383838383832</v>
      </c>
      <c r="U13" s="142"/>
      <c r="V13" s="123"/>
      <c r="W13" s="123"/>
      <c r="X13" s="208"/>
      <c r="Y13" s="256"/>
      <c r="Z13" s="209" t="s">
        <v>173</v>
      </c>
      <c r="AA13" s="209" t="s">
        <v>2</v>
      </c>
      <c r="AB13" s="209" t="s">
        <v>173</v>
      </c>
      <c r="AC13" s="209" t="s">
        <v>2</v>
      </c>
      <c r="AD13" s="125"/>
      <c r="AE13" s="256"/>
      <c r="AF13" s="209" t="s">
        <v>173</v>
      </c>
      <c r="AG13" s="209" t="s">
        <v>2</v>
      </c>
      <c r="AH13" s="209" t="s">
        <v>173</v>
      </c>
      <c r="AI13" s="209" t="s">
        <v>2</v>
      </c>
    </row>
    <row r="14" spans="1:35" ht="17.25" customHeight="1">
      <c r="A14" s="8" t="s">
        <v>38</v>
      </c>
      <c r="B14" s="206" t="s">
        <v>189</v>
      </c>
      <c r="C14" s="10">
        <v>71</v>
      </c>
      <c r="D14" s="62" cm="1">
        <f t="array" ref="D14">G14/F14</f>
        <v>0.38686131386861317</v>
      </c>
      <c r="E14" s="10">
        <v>162</v>
      </c>
      <c r="F14" s="10">
        <v>137</v>
      </c>
      <c r="G14" s="10">
        <v>53</v>
      </c>
      <c r="H14" s="10">
        <v>44</v>
      </c>
      <c r="I14" s="10">
        <v>7</v>
      </c>
      <c r="J14" s="10">
        <v>1</v>
      </c>
      <c r="K14" s="10">
        <v>1</v>
      </c>
      <c r="L14" s="10">
        <v>35</v>
      </c>
      <c r="M14" s="10">
        <v>29</v>
      </c>
      <c r="N14" s="10">
        <v>18</v>
      </c>
      <c r="O14" s="10">
        <v>19</v>
      </c>
      <c r="P14" s="10">
        <v>25</v>
      </c>
      <c r="Q14" s="19" cm="1">
        <f t="array" ref="Q14">P14/E14</f>
        <v>0.15432098765432098</v>
      </c>
      <c r="R14" s="13" cm="1">
        <f t="array" ref="R14">(H14*1+I14*2+J14*3+K14*4)/F14</f>
        <v>0.47445255474452552</v>
      </c>
      <c r="S14" s="14" cm="1">
        <f t="array" ref="S14">(G14+O14)/E14</f>
        <v>0.44444444444444442</v>
      </c>
      <c r="T14" s="15" cm="1">
        <f t="array" ref="T14">S14+R14</f>
        <v>0.91889699918896994</v>
      </c>
      <c r="U14" s="142"/>
      <c r="V14" s="123"/>
      <c r="W14" s="123"/>
      <c r="X14" s="208"/>
      <c r="Y14" s="210">
        <v>1</v>
      </c>
      <c r="Z14" s="211" t="s">
        <v>190</v>
      </c>
      <c r="AA14" s="211" t="s">
        <v>30</v>
      </c>
      <c r="AB14" s="211" t="s">
        <v>191</v>
      </c>
      <c r="AC14" s="211" t="s">
        <v>29</v>
      </c>
      <c r="AD14" s="125"/>
      <c r="AE14" s="212">
        <v>1</v>
      </c>
      <c r="AF14" s="45" t="s">
        <v>191</v>
      </c>
      <c r="AG14" s="45" t="s">
        <v>32</v>
      </c>
      <c r="AH14" s="45" t="s">
        <v>190</v>
      </c>
      <c r="AI14" s="45" t="s">
        <v>30</v>
      </c>
    </row>
    <row r="15" spans="1:35" ht="17.25" customHeight="1">
      <c r="A15" s="8" t="s">
        <v>39</v>
      </c>
      <c r="B15" s="206" t="s">
        <v>192</v>
      </c>
      <c r="C15" s="10">
        <v>47</v>
      </c>
      <c r="D15" s="62" cm="1">
        <f t="array" ref="D15">G15/F15</f>
        <v>0.33333333333333331</v>
      </c>
      <c r="E15" s="10">
        <v>130</v>
      </c>
      <c r="F15" s="10">
        <v>105</v>
      </c>
      <c r="G15" s="10">
        <v>35</v>
      </c>
      <c r="H15" s="10">
        <v>28</v>
      </c>
      <c r="I15" s="10">
        <v>2</v>
      </c>
      <c r="J15" s="10">
        <v>2</v>
      </c>
      <c r="K15" s="10">
        <v>3</v>
      </c>
      <c r="L15" s="10">
        <v>34</v>
      </c>
      <c r="M15" s="10">
        <v>42</v>
      </c>
      <c r="N15" s="10">
        <v>17</v>
      </c>
      <c r="O15" s="10">
        <v>19</v>
      </c>
      <c r="P15" s="10">
        <v>16</v>
      </c>
      <c r="Q15" s="19" cm="1">
        <f t="array" ref="Q15">P15/E15</f>
        <v>0.12307692307692308</v>
      </c>
      <c r="R15" s="13" cm="1">
        <f t="array" ref="R15">(H15*1+I15*2+J15*3+K15*4)/F15</f>
        <v>0.47619047619047616</v>
      </c>
      <c r="S15" s="14" cm="1">
        <f t="array" ref="S15">(G15+O15)/E15</f>
        <v>0.41538461538461541</v>
      </c>
      <c r="T15" s="15" cm="1">
        <f t="array" ref="T15">S15+R15</f>
        <v>0.89157509157509152</v>
      </c>
      <c r="U15" s="142"/>
      <c r="V15" s="123"/>
      <c r="W15" s="123"/>
      <c r="X15" s="208"/>
      <c r="Y15" s="210">
        <v>2</v>
      </c>
      <c r="Z15" s="211" t="s">
        <v>193</v>
      </c>
      <c r="AA15" s="211" t="s">
        <v>41</v>
      </c>
      <c r="AB15" s="211" t="s">
        <v>194</v>
      </c>
      <c r="AC15" s="211" t="s">
        <v>44</v>
      </c>
      <c r="AD15" s="125"/>
      <c r="AE15" s="212">
        <v>2</v>
      </c>
      <c r="AF15" s="45" t="s">
        <v>195</v>
      </c>
      <c r="AG15" s="45" t="s">
        <v>28</v>
      </c>
      <c r="AH15" s="45" t="s">
        <v>195</v>
      </c>
      <c r="AI15" s="45" t="s">
        <v>39</v>
      </c>
    </row>
    <row r="16" spans="1:35" ht="17.25" customHeight="1">
      <c r="A16" s="8" t="s">
        <v>70</v>
      </c>
      <c r="B16" s="206" t="s">
        <v>176</v>
      </c>
      <c r="C16" s="10">
        <v>9</v>
      </c>
      <c r="D16" s="62" cm="1">
        <f t="array" ref="D16">G16/F16</f>
        <v>0.29411764705882354</v>
      </c>
      <c r="E16" s="10">
        <v>20</v>
      </c>
      <c r="F16" s="10">
        <v>17</v>
      </c>
      <c r="G16" s="10">
        <v>5</v>
      </c>
      <c r="H16" s="10">
        <v>5</v>
      </c>
      <c r="I16" s="10">
        <v>0</v>
      </c>
      <c r="J16" s="10">
        <v>0</v>
      </c>
      <c r="K16" s="10">
        <v>0</v>
      </c>
      <c r="L16" s="10">
        <v>4</v>
      </c>
      <c r="M16" s="10">
        <v>2</v>
      </c>
      <c r="N16" s="10">
        <v>3</v>
      </c>
      <c r="O16" s="10">
        <v>2</v>
      </c>
      <c r="P16" s="10">
        <v>2</v>
      </c>
      <c r="Q16" s="19" cm="1">
        <f t="array" ref="Q16">P16/E16</f>
        <v>0.1</v>
      </c>
      <c r="R16" s="13" cm="1">
        <f t="array" ref="R16">(H16*1+I16*2+J16*3+K16*4)/F16</f>
        <v>0.29411764705882354</v>
      </c>
      <c r="S16" s="14" cm="1">
        <f t="array" ref="S16">(G16+O16)/E16</f>
        <v>0.35</v>
      </c>
      <c r="T16" s="15" cm="1">
        <f t="array" ref="T16">S16+R16</f>
        <v>0.64411764705882346</v>
      </c>
      <c r="U16" s="142"/>
      <c r="V16" s="123"/>
      <c r="W16" s="123"/>
      <c r="X16" s="208"/>
      <c r="Y16" s="210">
        <v>3</v>
      </c>
      <c r="Z16" s="211" t="s">
        <v>190</v>
      </c>
      <c r="AA16" s="211" t="s">
        <v>26</v>
      </c>
      <c r="AB16" s="211" t="s">
        <v>196</v>
      </c>
      <c r="AC16" s="211" t="s">
        <v>33</v>
      </c>
      <c r="AD16" s="125"/>
      <c r="AE16" s="212">
        <v>3</v>
      </c>
      <c r="AF16" s="45" t="s">
        <v>197</v>
      </c>
      <c r="AG16" s="45" t="s">
        <v>26</v>
      </c>
      <c r="AH16" s="45" t="s">
        <v>196</v>
      </c>
      <c r="AI16" s="45" t="s">
        <v>33</v>
      </c>
    </row>
    <row r="17" spans="1:35" ht="17.25" customHeight="1">
      <c r="A17" s="8" t="s">
        <v>41</v>
      </c>
      <c r="B17" s="206" t="s">
        <v>177</v>
      </c>
      <c r="C17" s="10">
        <v>70</v>
      </c>
      <c r="D17" s="62" cm="1">
        <f t="array" ref="D17">G17/F17</f>
        <v>0.4460431654676259</v>
      </c>
      <c r="E17" s="10">
        <v>166</v>
      </c>
      <c r="F17" s="10">
        <v>139</v>
      </c>
      <c r="G17" s="10">
        <v>62</v>
      </c>
      <c r="H17" s="10">
        <v>47</v>
      </c>
      <c r="I17" s="10">
        <v>13</v>
      </c>
      <c r="J17" s="10">
        <v>0</v>
      </c>
      <c r="K17" s="10">
        <v>2</v>
      </c>
      <c r="L17" s="10">
        <v>55</v>
      </c>
      <c r="M17" s="10">
        <v>51</v>
      </c>
      <c r="N17" s="10">
        <v>32</v>
      </c>
      <c r="O17" s="10">
        <v>27</v>
      </c>
      <c r="P17" s="10">
        <v>24</v>
      </c>
      <c r="Q17" s="19" cm="1">
        <f t="array" ref="Q17">P17/E17</f>
        <v>0.14457831325301204</v>
      </c>
      <c r="R17" s="13" cm="1">
        <f t="array" ref="R17">(H17*1+I17*2+J17*3+K17*4)/F17</f>
        <v>0.58273381294964033</v>
      </c>
      <c r="S17" s="14" cm="1">
        <f t="array" ref="S17">(G17+O17)/E17</f>
        <v>0.53614457831325302</v>
      </c>
      <c r="T17" s="15" cm="1">
        <f t="array" ref="T17">S17+R17</f>
        <v>1.1188783912628932</v>
      </c>
      <c r="U17" s="142"/>
      <c r="V17" s="123"/>
      <c r="W17" s="123"/>
      <c r="X17" s="208"/>
      <c r="Y17" s="210">
        <v>4</v>
      </c>
      <c r="Z17" s="211" t="s">
        <v>198</v>
      </c>
      <c r="AA17" s="211" t="s">
        <v>43</v>
      </c>
      <c r="AB17" s="211" t="s">
        <v>195</v>
      </c>
      <c r="AC17" s="211" t="s">
        <v>39</v>
      </c>
      <c r="AD17" s="125"/>
      <c r="AE17" s="212">
        <v>4</v>
      </c>
      <c r="AF17" s="45" t="s">
        <v>196</v>
      </c>
      <c r="AG17" s="45" t="s">
        <v>43</v>
      </c>
      <c r="AH17" s="45" t="s">
        <v>197</v>
      </c>
      <c r="AI17" s="45" t="s">
        <v>70</v>
      </c>
    </row>
    <row r="18" spans="1:35" ht="17.25" customHeight="1">
      <c r="A18" s="8" t="s">
        <v>42</v>
      </c>
      <c r="B18" s="206" t="s">
        <v>199</v>
      </c>
      <c r="C18" s="10">
        <v>46</v>
      </c>
      <c r="D18" s="62" cm="1">
        <f t="array" ref="D18">G18/F18</f>
        <v>0.30263157894736842</v>
      </c>
      <c r="E18" s="10">
        <v>104</v>
      </c>
      <c r="F18" s="10">
        <v>76</v>
      </c>
      <c r="G18" s="10">
        <v>23</v>
      </c>
      <c r="H18" s="10">
        <v>17</v>
      </c>
      <c r="I18" s="10">
        <v>6</v>
      </c>
      <c r="J18" s="10">
        <v>0</v>
      </c>
      <c r="K18" s="10">
        <v>0</v>
      </c>
      <c r="L18" s="10">
        <v>26</v>
      </c>
      <c r="M18" s="10">
        <v>17</v>
      </c>
      <c r="N18" s="10">
        <v>18</v>
      </c>
      <c r="O18" s="10">
        <v>26</v>
      </c>
      <c r="P18" s="10">
        <v>26</v>
      </c>
      <c r="Q18" s="19" cm="1">
        <f t="array" ref="Q18">P18/E18</f>
        <v>0.25</v>
      </c>
      <c r="R18" s="13" cm="1">
        <f t="array" ref="R18">(H18*1+I18*2+J18*3+K18*4)/F18</f>
        <v>0.38157894736842107</v>
      </c>
      <c r="S18" s="14" cm="1">
        <f t="array" ref="S18">(G18+O18)/E18</f>
        <v>0.47115384615384615</v>
      </c>
      <c r="T18" s="15" cm="1">
        <f t="array" ref="T18">S18+R18</f>
        <v>0.85273279352226727</v>
      </c>
      <c r="U18" s="142"/>
      <c r="V18" s="123"/>
      <c r="W18" s="123"/>
      <c r="X18" s="208"/>
      <c r="Y18" s="210">
        <v>5</v>
      </c>
      <c r="Z18" s="211" t="s">
        <v>196</v>
      </c>
      <c r="AA18" s="211" t="s">
        <v>42</v>
      </c>
      <c r="AB18" s="211" t="s">
        <v>198</v>
      </c>
      <c r="AC18" s="211" t="s">
        <v>38</v>
      </c>
      <c r="AD18" s="125"/>
      <c r="AE18" s="212">
        <v>5</v>
      </c>
      <c r="AF18" s="45" t="s">
        <v>198</v>
      </c>
      <c r="AG18" s="45" t="s">
        <v>29</v>
      </c>
      <c r="AH18" s="45" t="s">
        <v>198</v>
      </c>
      <c r="AI18" s="45" t="s">
        <v>38</v>
      </c>
    </row>
    <row r="19" spans="1:35" ht="17.25" customHeight="1">
      <c r="A19" s="8" t="s">
        <v>43</v>
      </c>
      <c r="B19" s="206" t="s">
        <v>200</v>
      </c>
      <c r="C19" s="10">
        <v>60</v>
      </c>
      <c r="D19" s="62" cm="1">
        <f t="array" ref="D19">G19/F19</f>
        <v>0.30357142857142855</v>
      </c>
      <c r="E19" s="10">
        <v>147</v>
      </c>
      <c r="F19" s="10">
        <v>112</v>
      </c>
      <c r="G19" s="10">
        <v>34</v>
      </c>
      <c r="H19" s="10">
        <v>22</v>
      </c>
      <c r="I19" s="10">
        <v>10</v>
      </c>
      <c r="J19" s="10">
        <v>2</v>
      </c>
      <c r="K19" s="10">
        <v>0</v>
      </c>
      <c r="L19" s="10">
        <v>34</v>
      </c>
      <c r="M19" s="10">
        <v>27</v>
      </c>
      <c r="N19" s="10">
        <v>19</v>
      </c>
      <c r="O19" s="10">
        <v>34</v>
      </c>
      <c r="P19" s="10">
        <v>32</v>
      </c>
      <c r="Q19" s="19" cm="1">
        <f t="array" ref="Q19">P19/E19</f>
        <v>0.21768707482993196</v>
      </c>
      <c r="R19" s="13" cm="1">
        <f t="array" ref="R19">(H19*1+I19*2+J19*3+K19*4)/F19</f>
        <v>0.42857142857142855</v>
      </c>
      <c r="S19" s="14" cm="1">
        <f t="array" ref="S19">(G19+O19)/E19</f>
        <v>0.46258503401360546</v>
      </c>
      <c r="T19" s="15" cm="1">
        <f t="array" ref="T19">S19+R19</f>
        <v>0.891156462585034</v>
      </c>
      <c r="U19" s="142"/>
      <c r="V19" s="123"/>
      <c r="W19" s="123"/>
      <c r="X19" s="208"/>
      <c r="Y19" s="210">
        <v>6</v>
      </c>
      <c r="Z19" s="211" t="s">
        <v>195</v>
      </c>
      <c r="AA19" s="211" t="s">
        <v>24</v>
      </c>
      <c r="AB19" s="211" t="s">
        <v>197</v>
      </c>
      <c r="AC19" s="211" t="s">
        <v>70</v>
      </c>
      <c r="AD19" s="125"/>
      <c r="AE19" s="212">
        <v>6</v>
      </c>
      <c r="AF19" s="45" t="s">
        <v>194</v>
      </c>
      <c r="AG19" s="45" t="s">
        <v>44</v>
      </c>
      <c r="AH19" s="45" t="s">
        <v>193</v>
      </c>
      <c r="AI19" s="45" t="s">
        <v>42</v>
      </c>
    </row>
    <row r="20" spans="1:35" ht="17.25" customHeight="1">
      <c r="A20" s="8" t="s">
        <v>71</v>
      </c>
      <c r="B20" s="206" t="s">
        <v>201</v>
      </c>
      <c r="C20" s="10">
        <v>1</v>
      </c>
      <c r="D20" s="62" cm="1">
        <f t="array" ref="D20">G20/F20</f>
        <v>0</v>
      </c>
      <c r="E20" s="10">
        <v>2</v>
      </c>
      <c r="F20" s="10">
        <v>2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>
        <v>0</v>
      </c>
      <c r="O20" s="10">
        <v>0</v>
      </c>
      <c r="P20" s="10">
        <v>1</v>
      </c>
      <c r="Q20" s="19" cm="1">
        <f t="array" ref="Q20">P20/E20</f>
        <v>0.5</v>
      </c>
      <c r="R20" s="13" cm="1">
        <f t="array" ref="R20">(H20*1+I20*2+J20*3+K20*4)/F20</f>
        <v>0</v>
      </c>
      <c r="S20" s="14" cm="1">
        <f t="array" ref="S20">(G20+O20)/E20</f>
        <v>0</v>
      </c>
      <c r="T20" s="15" cm="1">
        <f t="array" ref="T20">S20+R20</f>
        <v>0</v>
      </c>
      <c r="U20" s="142"/>
      <c r="V20" s="123"/>
      <c r="W20" s="123"/>
      <c r="X20" s="208"/>
      <c r="Y20" s="210">
        <v>7</v>
      </c>
      <c r="Z20" s="211" t="s">
        <v>194</v>
      </c>
      <c r="AA20" s="211" t="s">
        <v>32</v>
      </c>
      <c r="AB20" s="211" t="s">
        <v>193</v>
      </c>
      <c r="AC20" s="211" t="s">
        <v>28</v>
      </c>
      <c r="AD20" s="125"/>
      <c r="AE20" s="212">
        <v>7</v>
      </c>
      <c r="AF20" s="45" t="s">
        <v>190</v>
      </c>
      <c r="AG20" s="45" t="s">
        <v>24</v>
      </c>
      <c r="AH20" s="45" t="s">
        <v>202</v>
      </c>
      <c r="AI20" s="45" t="s">
        <v>69</v>
      </c>
    </row>
    <row r="21" spans="1:35" ht="17.25" customHeight="1">
      <c r="A21" s="8" t="s">
        <v>44</v>
      </c>
      <c r="B21" s="206" t="s">
        <v>201</v>
      </c>
      <c r="C21" s="10">
        <v>24</v>
      </c>
      <c r="D21" s="62" cm="1">
        <f t="array" ref="D21">G21/F21</f>
        <v>0.20512820512820512</v>
      </c>
      <c r="E21" s="10">
        <v>60</v>
      </c>
      <c r="F21" s="10">
        <v>39</v>
      </c>
      <c r="G21" s="10">
        <v>8</v>
      </c>
      <c r="H21" s="10">
        <v>8</v>
      </c>
      <c r="I21" s="10">
        <v>0</v>
      </c>
      <c r="J21" s="10">
        <v>0</v>
      </c>
      <c r="K21" s="10">
        <v>0</v>
      </c>
      <c r="L21" s="10">
        <v>16</v>
      </c>
      <c r="M21" s="10">
        <v>5</v>
      </c>
      <c r="N21" s="10">
        <v>8</v>
      </c>
      <c r="O21" s="10">
        <v>14</v>
      </c>
      <c r="P21" s="10">
        <v>9</v>
      </c>
      <c r="Q21" s="19" cm="1">
        <f t="array" ref="Q21">P21/E21</f>
        <v>0.15</v>
      </c>
      <c r="R21" s="13" cm="1">
        <f t="array" ref="R21">(H21*1+I21*2+J21*3+K21*4)/F21</f>
        <v>0.20512820512820512</v>
      </c>
      <c r="S21" s="14" cm="1">
        <f t="array" ref="S21">(G21+O21)/E21</f>
        <v>0.36666666666666664</v>
      </c>
      <c r="T21" s="15" cm="1">
        <f t="array" ref="T21">S21+R21</f>
        <v>0.57179487179487176</v>
      </c>
      <c r="U21" s="142"/>
      <c r="V21" s="123"/>
      <c r="W21" s="123"/>
      <c r="X21" s="208"/>
      <c r="Y21" s="210">
        <v>8</v>
      </c>
      <c r="Z21" s="211" t="s">
        <v>202</v>
      </c>
      <c r="AA21" s="211" t="s">
        <v>25</v>
      </c>
      <c r="AB21" s="211" t="s">
        <v>202</v>
      </c>
      <c r="AC21" s="211" t="s">
        <v>69</v>
      </c>
      <c r="AD21" s="125"/>
      <c r="AE21" s="212">
        <v>8</v>
      </c>
      <c r="AF21" s="45" t="s">
        <v>202</v>
      </c>
      <c r="AG21" s="45" t="s">
        <v>25</v>
      </c>
      <c r="AH21" s="45" t="s">
        <v>194</v>
      </c>
      <c r="AI21" s="45" t="s">
        <v>71</v>
      </c>
    </row>
    <row r="22" spans="1:35" ht="17.25" customHeight="1">
      <c r="A22" s="29" t="s">
        <v>45</v>
      </c>
      <c r="B22" s="103"/>
      <c r="C22" s="30"/>
      <c r="D22" s="31" cm="1">
        <f t="array" ref="D22">G22/F22</f>
        <v>0.41398446170921199</v>
      </c>
      <c r="E22" s="32" cm="1">
        <f t="array" ref="E22">SUM(E4:E21)</f>
        <v>2269</v>
      </c>
      <c r="F22" s="32" cm="1">
        <f t="array" ref="F22">SUM(F4:F21)</f>
        <v>1802</v>
      </c>
      <c r="G22" s="32" cm="1">
        <f t="array" ref="G22">SUM(G4:G21)</f>
        <v>746</v>
      </c>
      <c r="H22" s="32" cm="1">
        <f t="array" ref="H22">SUM(H4:H21)</f>
        <v>536</v>
      </c>
      <c r="I22" s="32" cm="1">
        <f t="array" ref="I22">SUM(I4:I21)</f>
        <v>161</v>
      </c>
      <c r="J22" s="32" cm="1">
        <f t="array" ref="J22">SUM(J4:J21)</f>
        <v>37</v>
      </c>
      <c r="K22" s="32" cm="1">
        <f t="array" ref="K22">SUM(K4:K21)</f>
        <v>16</v>
      </c>
      <c r="L22" s="32" cm="1">
        <f t="array" ref="L22">SUM(L4:L21)</f>
        <v>744</v>
      </c>
      <c r="M22" s="32" cm="1">
        <f t="array" ref="M22">SUM(M4:M21)</f>
        <v>627</v>
      </c>
      <c r="N22" s="32" cm="1">
        <f t="array" ref="N22">SUM(N4:N21)</f>
        <v>542</v>
      </c>
      <c r="O22" s="32" cm="1">
        <f t="array" ref="O22">SUM(O4:O21)</f>
        <v>408</v>
      </c>
      <c r="P22" s="32" cm="1">
        <f t="array" ref="P22">SUM(P4:P21)</f>
        <v>321</v>
      </c>
      <c r="Q22" s="33" cm="1">
        <f t="array" ref="Q22">P22/E22</f>
        <v>0.14147201410312912</v>
      </c>
      <c r="R22" s="31" cm="1">
        <f t="array" ref="R22">(H22*1+I22*2+J22*3+K22*4)/F22</f>
        <v>0.57325194228634846</v>
      </c>
      <c r="S22" s="31" cm="1">
        <f t="array" ref="S22">(G22+O22)/E22</f>
        <v>0.50859409431467606</v>
      </c>
      <c r="T22" s="31" cm="1">
        <f t="array" ref="T22">S22+R22</f>
        <v>1.0818460366010245</v>
      </c>
      <c r="U22" s="142"/>
      <c r="V22" s="123"/>
      <c r="W22" s="123"/>
      <c r="X22" s="208"/>
      <c r="Y22" s="210">
        <v>9</v>
      </c>
      <c r="Z22" s="211" t="s">
        <v>191</v>
      </c>
      <c r="AA22" s="211" t="s">
        <v>35</v>
      </c>
      <c r="AB22" s="211" t="s">
        <v>190</v>
      </c>
      <c r="AC22" s="211" t="s">
        <v>71</v>
      </c>
      <c r="AD22" s="142"/>
      <c r="AE22" s="138"/>
      <c r="AF22" s="138"/>
      <c r="AG22" s="138"/>
      <c r="AH22" s="138"/>
      <c r="AI22" s="139"/>
    </row>
    <row r="23" spans="1:35" ht="16.5" customHeight="1">
      <c r="A23" s="137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23"/>
      <c r="V23" s="123"/>
      <c r="W23" s="123"/>
      <c r="X23" s="123"/>
      <c r="Y23" s="138"/>
      <c r="Z23" s="138"/>
      <c r="AA23" s="138"/>
      <c r="AB23" s="138"/>
      <c r="AC23" s="138"/>
      <c r="AD23" s="123"/>
      <c r="AE23" s="123"/>
      <c r="AF23" s="123"/>
      <c r="AG23" s="123"/>
      <c r="AH23" s="123"/>
      <c r="AI23" s="141"/>
    </row>
    <row r="24" spans="1:35" ht="17.25" customHeight="1">
      <c r="A24" s="121" t="s">
        <v>46</v>
      </c>
      <c r="B24" s="205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23"/>
      <c r="V24" s="123"/>
      <c r="W24" s="123"/>
      <c r="X24" s="123"/>
      <c r="Y24" s="207" t="s">
        <v>203</v>
      </c>
      <c r="Z24" s="122"/>
      <c r="AA24" s="122"/>
      <c r="AB24" s="122"/>
      <c r="AC24" s="122"/>
      <c r="AD24" s="123"/>
      <c r="AE24" s="123"/>
      <c r="AF24" s="123"/>
      <c r="AG24" s="123"/>
      <c r="AH24" s="123"/>
      <c r="AI24" s="141"/>
    </row>
    <row r="25" spans="1:35" ht="34.5" customHeight="1">
      <c r="A25" s="8" t="s">
        <v>2</v>
      </c>
      <c r="B25" s="213"/>
      <c r="C25" s="8" t="s">
        <v>3</v>
      </c>
      <c r="D25" s="8" t="s">
        <v>47</v>
      </c>
      <c r="E25" s="8" t="s">
        <v>48</v>
      </c>
      <c r="F25" s="8" t="s">
        <v>49</v>
      </c>
      <c r="G25" s="8" t="s">
        <v>50</v>
      </c>
      <c r="H25" s="8" t="s">
        <v>6</v>
      </c>
      <c r="I25" s="8" t="s">
        <v>51</v>
      </c>
      <c r="J25" s="8" t="s">
        <v>52</v>
      </c>
      <c r="K25" s="8" t="s">
        <v>53</v>
      </c>
      <c r="L25" s="8" t="s">
        <v>54</v>
      </c>
      <c r="M25" s="8" t="s">
        <v>55</v>
      </c>
      <c r="N25" s="8" t="s">
        <v>56</v>
      </c>
      <c r="O25" s="8" t="s">
        <v>57</v>
      </c>
      <c r="P25" s="8" t="s">
        <v>58</v>
      </c>
      <c r="Q25" s="8" t="s">
        <v>59</v>
      </c>
      <c r="R25" s="8" t="s">
        <v>60</v>
      </c>
      <c r="S25" s="8" t="s">
        <v>61</v>
      </c>
      <c r="T25" s="8" t="s">
        <v>62</v>
      </c>
      <c r="U25" s="142"/>
      <c r="V25" s="123"/>
      <c r="W25" s="123"/>
      <c r="X25" s="208"/>
      <c r="Y25" s="255" t="s">
        <v>185</v>
      </c>
      <c r="Z25" s="257" t="s">
        <v>186</v>
      </c>
      <c r="AA25" s="258"/>
      <c r="AB25" s="259" t="s">
        <v>187</v>
      </c>
      <c r="AC25" s="260"/>
      <c r="AD25" s="142"/>
      <c r="AE25" s="123"/>
      <c r="AF25" s="123"/>
      <c r="AG25" s="123"/>
      <c r="AH25" s="123"/>
      <c r="AI25" s="141"/>
    </row>
    <row r="26" spans="1:35" ht="17.25" customHeight="1">
      <c r="A26" s="38" t="s">
        <v>24</v>
      </c>
      <c r="B26" s="214"/>
      <c r="C26" s="10">
        <v>26</v>
      </c>
      <c r="D26" s="10">
        <v>4</v>
      </c>
      <c r="E26" s="10">
        <v>2</v>
      </c>
      <c r="F26" s="10">
        <v>0</v>
      </c>
      <c r="G26" s="10">
        <v>280</v>
      </c>
      <c r="H26" s="10">
        <v>189</v>
      </c>
      <c r="I26" s="39">
        <v>36.999659999329999</v>
      </c>
      <c r="J26" s="10">
        <v>71</v>
      </c>
      <c r="K26" s="10">
        <v>1</v>
      </c>
      <c r="L26" s="10">
        <v>76</v>
      </c>
      <c r="M26" s="10">
        <v>13</v>
      </c>
      <c r="N26" s="10">
        <v>28</v>
      </c>
      <c r="O26" s="10">
        <v>104</v>
      </c>
      <c r="P26" s="10">
        <v>73</v>
      </c>
      <c r="Q26" s="40" cm="1">
        <f t="array" ref="Q26">P26*9/I26</f>
        <v>17.756919928774945</v>
      </c>
      <c r="R26" s="41" cm="1">
        <f t="array" ref="R26">(L26+M26)/I26</f>
        <v>2.4054275093774278</v>
      </c>
      <c r="S26" s="42" cm="1">
        <f t="array" ref="S26">J26/I26</f>
        <v>1.9189365524246895</v>
      </c>
      <c r="T26" s="42" cm="1">
        <f t="array" ref="T26">I26/C26</f>
        <v>1.4230638461280769</v>
      </c>
      <c r="U26" s="142"/>
      <c r="V26" s="123"/>
      <c r="W26" s="123"/>
      <c r="X26" s="208"/>
      <c r="Y26" s="256"/>
      <c r="Z26" s="209" t="s">
        <v>173</v>
      </c>
      <c r="AA26" s="209" t="s">
        <v>2</v>
      </c>
      <c r="AB26" s="209" t="s">
        <v>173</v>
      </c>
      <c r="AC26" s="209" t="s">
        <v>2</v>
      </c>
      <c r="AD26" s="142"/>
      <c r="AE26" s="123"/>
      <c r="AF26" s="123"/>
      <c r="AG26" s="123"/>
      <c r="AH26" s="123"/>
      <c r="AI26" s="141"/>
    </row>
    <row r="27" spans="1:35" ht="17.25" customHeight="1">
      <c r="A27" s="38" t="s">
        <v>29</v>
      </c>
      <c r="B27" s="214"/>
      <c r="C27" s="10">
        <v>24</v>
      </c>
      <c r="D27" s="10">
        <v>4</v>
      </c>
      <c r="E27" s="10">
        <v>8</v>
      </c>
      <c r="F27" s="10">
        <v>0</v>
      </c>
      <c r="G27" s="10">
        <v>298</v>
      </c>
      <c r="H27" s="10">
        <v>215</v>
      </c>
      <c r="I27" s="39">
        <v>35.666632996666699</v>
      </c>
      <c r="J27" s="10">
        <v>77</v>
      </c>
      <c r="K27" s="10">
        <v>4</v>
      </c>
      <c r="L27" s="10">
        <v>69</v>
      </c>
      <c r="M27" s="10">
        <v>12</v>
      </c>
      <c r="N27" s="10">
        <v>42</v>
      </c>
      <c r="O27" s="10">
        <v>130</v>
      </c>
      <c r="P27" s="10">
        <v>78</v>
      </c>
      <c r="Q27" s="40" cm="1">
        <f t="array" ref="Q27">P27*9/I27</f>
        <v>19.682261571077003</v>
      </c>
      <c r="R27" s="41" cm="1">
        <f t="array" ref="R27">(L27+M27)/I27</f>
        <v>2.2710301812781157</v>
      </c>
      <c r="S27" s="42" cm="1">
        <f t="array" ref="S27">J27/I27</f>
        <v>2.1588805426964806</v>
      </c>
      <c r="T27" s="42" cm="1">
        <f t="array" ref="T27">I27/C27</f>
        <v>1.4861097081944459</v>
      </c>
      <c r="U27" s="142"/>
      <c r="V27" s="123"/>
      <c r="W27" s="123"/>
      <c r="X27" s="208"/>
      <c r="Y27" s="212">
        <v>1</v>
      </c>
      <c r="Z27" s="45" t="s">
        <v>194</v>
      </c>
      <c r="AA27" s="45" t="s">
        <v>32</v>
      </c>
      <c r="AB27" s="45" t="s">
        <v>190</v>
      </c>
      <c r="AC27" s="45" t="s">
        <v>30</v>
      </c>
      <c r="AD27" s="142"/>
      <c r="AE27" s="123"/>
      <c r="AF27" s="123"/>
      <c r="AG27" s="123"/>
      <c r="AH27" s="123"/>
      <c r="AI27" s="141"/>
    </row>
    <row r="28" spans="1:35" ht="17.25" customHeight="1">
      <c r="A28" s="38" t="s">
        <v>33</v>
      </c>
      <c r="B28" s="214"/>
      <c r="C28" s="10">
        <v>42</v>
      </c>
      <c r="D28" s="10">
        <v>13</v>
      </c>
      <c r="E28" s="10">
        <v>8</v>
      </c>
      <c r="F28" s="10">
        <v>2</v>
      </c>
      <c r="G28" s="10">
        <v>569</v>
      </c>
      <c r="H28" s="10">
        <v>467</v>
      </c>
      <c r="I28" s="39">
        <v>99.999933233329998</v>
      </c>
      <c r="J28" s="10">
        <v>141</v>
      </c>
      <c r="K28" s="10">
        <v>2</v>
      </c>
      <c r="L28" s="10">
        <v>89</v>
      </c>
      <c r="M28" s="10">
        <v>18</v>
      </c>
      <c r="N28" s="10">
        <v>132</v>
      </c>
      <c r="O28" s="10">
        <v>151</v>
      </c>
      <c r="P28" s="10">
        <v>95</v>
      </c>
      <c r="Q28" s="40" cm="1">
        <f t="array" ref="Q28">P28*9/I28</f>
        <v>8.5500057085540959</v>
      </c>
      <c r="R28" s="41" cm="1">
        <f t="array" ref="R28">(L28+M28)/I28</f>
        <v>1.0700007144038459</v>
      </c>
      <c r="S28" s="42" cm="1">
        <f t="array" ref="S28">J28/I28</f>
        <v>1.4100009414106756</v>
      </c>
      <c r="T28" s="42" cm="1">
        <f t="array" ref="T28">I28/C28</f>
        <v>2.3809507912697621</v>
      </c>
      <c r="U28" s="142"/>
      <c r="V28" s="123"/>
      <c r="W28" s="123"/>
      <c r="X28" s="208"/>
      <c r="Y28" s="212">
        <v>2</v>
      </c>
      <c r="Z28" s="45" t="s">
        <v>195</v>
      </c>
      <c r="AA28" s="45" t="s">
        <v>42</v>
      </c>
      <c r="AB28" s="45" t="s">
        <v>194</v>
      </c>
      <c r="AC28" s="45" t="s">
        <v>44</v>
      </c>
      <c r="AD28" s="142"/>
      <c r="AE28" s="123"/>
      <c r="AF28" s="123"/>
      <c r="AG28" s="123"/>
      <c r="AH28" s="123"/>
      <c r="AI28" s="141"/>
    </row>
    <row r="29" spans="1:35" ht="17.25" customHeight="1">
      <c r="A29" s="38" t="s">
        <v>42</v>
      </c>
      <c r="B29" s="214"/>
      <c r="C29" s="10">
        <v>8</v>
      </c>
      <c r="D29" s="10">
        <v>2</v>
      </c>
      <c r="E29" s="10">
        <v>2</v>
      </c>
      <c r="F29" s="10">
        <v>1</v>
      </c>
      <c r="G29" s="10">
        <v>102</v>
      </c>
      <c r="H29" s="10">
        <v>55</v>
      </c>
      <c r="I29" s="39">
        <v>13.666633329932999</v>
      </c>
      <c r="J29" s="10">
        <v>16</v>
      </c>
      <c r="K29" s="10">
        <v>1</v>
      </c>
      <c r="L29" s="10">
        <v>45</v>
      </c>
      <c r="M29" s="10">
        <v>1</v>
      </c>
      <c r="N29" s="10">
        <v>13</v>
      </c>
      <c r="O29" s="10">
        <v>36</v>
      </c>
      <c r="P29" s="10">
        <v>21</v>
      </c>
      <c r="Q29" s="40" cm="1">
        <f t="array" ref="Q29">P29*9/I29</f>
        <v>13.829302026128667</v>
      </c>
      <c r="R29" s="41" cm="1">
        <f t="array" ref="R29">(L29+M29)/I29</f>
        <v>3.3658618687932207</v>
      </c>
      <c r="S29" s="42" cm="1">
        <f t="array" ref="S29">J29/I29</f>
        <v>1.1707345630585115</v>
      </c>
      <c r="T29" s="42" cm="1">
        <f t="array" ref="T29">I29/C29</f>
        <v>1.7083291662416249</v>
      </c>
      <c r="U29" s="142"/>
      <c r="V29" s="123"/>
      <c r="W29" s="123"/>
      <c r="X29" s="208"/>
      <c r="Y29" s="212">
        <v>3</v>
      </c>
      <c r="Z29" s="45" t="s">
        <v>193</v>
      </c>
      <c r="AA29" s="45" t="s">
        <v>41</v>
      </c>
      <c r="AB29" s="45" t="s">
        <v>198</v>
      </c>
      <c r="AC29" s="45" t="s">
        <v>38</v>
      </c>
      <c r="AD29" s="142"/>
      <c r="AE29" s="123"/>
      <c r="AF29" s="123"/>
      <c r="AG29" s="123"/>
      <c r="AH29" s="123"/>
      <c r="AI29" s="141"/>
    </row>
    <row r="30" spans="1:35" ht="17.25" customHeight="1">
      <c r="A30" s="38" t="s">
        <v>43</v>
      </c>
      <c r="B30" s="214"/>
      <c r="C30" s="10">
        <v>38</v>
      </c>
      <c r="D30" s="10">
        <v>8</v>
      </c>
      <c r="E30" s="10">
        <v>11</v>
      </c>
      <c r="F30" s="10">
        <v>3</v>
      </c>
      <c r="G30" s="10">
        <v>550</v>
      </c>
      <c r="H30" s="10">
        <v>397</v>
      </c>
      <c r="I30" s="39">
        <v>81.666632983</v>
      </c>
      <c r="J30" s="10">
        <v>133</v>
      </c>
      <c r="K30" s="10">
        <v>1</v>
      </c>
      <c r="L30" s="10">
        <v>123</v>
      </c>
      <c r="M30" s="10">
        <v>25</v>
      </c>
      <c r="N30" s="10">
        <v>131</v>
      </c>
      <c r="O30" s="10">
        <v>183</v>
      </c>
      <c r="P30" s="10">
        <v>130</v>
      </c>
      <c r="Q30" s="40" cm="1">
        <f t="array" ref="Q30">P30*9/I30</f>
        <v>14.326536521268743</v>
      </c>
      <c r="R30" s="41" cm="1">
        <f t="array" ref="R30">(L30+M30)/I30</f>
        <v>1.8122456454254479</v>
      </c>
      <c r="S30" s="42" cm="1">
        <f t="array" ref="S30">J30/I30</f>
        <v>1.6285721002809768</v>
      </c>
      <c r="T30" s="42" cm="1">
        <f t="array" ref="T30">I30/C30</f>
        <v>2.1491219206052632</v>
      </c>
      <c r="U30" s="142"/>
      <c r="V30" s="123"/>
      <c r="W30" s="123"/>
      <c r="X30" s="208"/>
      <c r="Y30" s="212">
        <v>4</v>
      </c>
      <c r="Z30" s="45" t="s">
        <v>196</v>
      </c>
      <c r="AA30" s="45" t="s">
        <v>33</v>
      </c>
      <c r="AB30" s="45" t="s">
        <v>190</v>
      </c>
      <c r="AC30" s="45" t="s">
        <v>26</v>
      </c>
      <c r="AD30" s="142"/>
      <c r="AE30" s="123"/>
      <c r="AF30" s="123"/>
      <c r="AG30" s="123"/>
      <c r="AH30" s="123"/>
      <c r="AI30" s="141"/>
    </row>
    <row r="31" spans="1:35" ht="17.25" customHeight="1">
      <c r="A31" s="29" t="s">
        <v>45</v>
      </c>
      <c r="B31" s="103"/>
      <c r="C31" s="49" cm="1">
        <f t="array" ref="C31">SUM(C26:C30)</f>
        <v>138</v>
      </c>
      <c r="D31" s="49" cm="1">
        <f t="array" ref="D31">SUM(D26:D30)</f>
        <v>31</v>
      </c>
      <c r="E31" s="49" cm="1">
        <f t="array" ref="E31">SUM(E26:E30)</f>
        <v>31</v>
      </c>
      <c r="F31" s="49" cm="1">
        <f t="array" ref="F31">SUM(F26:F30)</f>
        <v>6</v>
      </c>
      <c r="G31" s="49" cm="1">
        <f t="array" ref="G31">SUM(G26:G30)</f>
        <v>1799</v>
      </c>
      <c r="H31" s="49" cm="1">
        <f t="array" ref="H31">SUM(H26:H30)</f>
        <v>1323</v>
      </c>
      <c r="I31" s="50" cm="1">
        <f t="array" ref="I31">SUM(I26:I30)</f>
        <v>267.9994925422597</v>
      </c>
      <c r="J31" s="49" cm="1">
        <f t="array" ref="J31">SUM(J26:J30)</f>
        <v>438</v>
      </c>
      <c r="K31" s="49" cm="1">
        <f t="array" ref="K31">SUM(K26:K30)</f>
        <v>9</v>
      </c>
      <c r="L31" s="49" cm="1">
        <f t="array" ref="L31">SUM(L26:L30)</f>
        <v>402</v>
      </c>
      <c r="M31" s="49" cm="1">
        <f t="array" ref="M31">SUM(M26:M30)</f>
        <v>69</v>
      </c>
      <c r="N31" s="49" cm="1">
        <f t="array" ref="N31">SUM(N26:N30)</f>
        <v>346</v>
      </c>
      <c r="O31" s="49" cm="1">
        <f t="array" ref="O31">SUM(O26:O30)</f>
        <v>604</v>
      </c>
      <c r="P31" s="49" cm="1">
        <f t="array" ref="P31">SUM(P26:P30)</f>
        <v>397</v>
      </c>
      <c r="Q31" s="51" cm="1">
        <f t="array" ref="Q31">P31*9/I31</f>
        <v>13.332114796585254</v>
      </c>
      <c r="R31" s="52" cm="1">
        <f t="array" ref="R31">(L31+M31)/I31</f>
        <v>1.7574660143273593</v>
      </c>
      <c r="S31" s="53" cm="1">
        <f t="array" ref="S31">J31/I31</f>
        <v>1.6343314528139774</v>
      </c>
      <c r="T31" s="53" cm="1">
        <f t="array" ref="T31">I31/C31</f>
        <v>1.9420253082772443</v>
      </c>
      <c r="U31" s="142"/>
      <c r="V31" s="123"/>
      <c r="W31" s="123"/>
      <c r="X31" s="208"/>
      <c r="Y31" s="212">
        <v>5</v>
      </c>
      <c r="Z31" s="45" t="s">
        <v>190</v>
      </c>
      <c r="AA31" s="45" t="s">
        <v>28</v>
      </c>
      <c r="AB31" s="45" t="s">
        <v>196</v>
      </c>
      <c r="AC31" s="45" t="s">
        <v>43</v>
      </c>
      <c r="AD31" s="142"/>
      <c r="AE31" s="123"/>
      <c r="AF31" s="123"/>
      <c r="AG31" s="123"/>
      <c r="AH31" s="123"/>
      <c r="AI31" s="141"/>
    </row>
    <row r="32" spans="1:35" ht="16.5" customHeight="1">
      <c r="A32" s="137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23"/>
      <c r="V32" s="123"/>
      <c r="W32" s="123"/>
      <c r="X32" s="208"/>
      <c r="Y32" s="212">
        <v>6</v>
      </c>
      <c r="Z32" s="45" t="s">
        <v>198</v>
      </c>
      <c r="AA32" s="45" t="s">
        <v>29</v>
      </c>
      <c r="AB32" s="45" t="s">
        <v>195</v>
      </c>
      <c r="AC32" s="45" t="s">
        <v>39</v>
      </c>
      <c r="AD32" s="142"/>
      <c r="AE32" s="123"/>
      <c r="AF32" s="123"/>
      <c r="AG32" s="123"/>
      <c r="AH32" s="123"/>
      <c r="AI32" s="141"/>
    </row>
    <row r="33" spans="1:35" ht="16.5" customHeight="1">
      <c r="A33" s="15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208"/>
      <c r="Y33" s="212">
        <v>7</v>
      </c>
      <c r="Z33" s="45" t="s">
        <v>202</v>
      </c>
      <c r="AA33" s="45" t="s">
        <v>25</v>
      </c>
      <c r="AB33" s="45" t="s">
        <v>202</v>
      </c>
      <c r="AC33" s="45" t="s">
        <v>69</v>
      </c>
      <c r="AD33" s="142"/>
      <c r="AE33" s="123"/>
      <c r="AF33" s="123"/>
      <c r="AG33" s="123"/>
      <c r="AH33" s="123"/>
      <c r="AI33" s="141"/>
    </row>
    <row r="34" spans="1:35" ht="16.5" customHeight="1">
      <c r="A34" s="15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208"/>
      <c r="Y34" s="212">
        <v>8</v>
      </c>
      <c r="Z34" s="45" t="s">
        <v>191</v>
      </c>
      <c r="AA34" s="45" t="s">
        <v>71</v>
      </c>
      <c r="AB34" s="45" t="s">
        <v>193</v>
      </c>
      <c r="AC34" s="45" t="s">
        <v>24</v>
      </c>
      <c r="AD34" s="142"/>
      <c r="AE34" s="123"/>
      <c r="AF34" s="123"/>
      <c r="AG34" s="123"/>
      <c r="AH34" s="123"/>
      <c r="AI34" s="141"/>
    </row>
    <row r="35" spans="1:35" ht="16.5" customHeight="1">
      <c r="A35" s="15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208"/>
      <c r="Y35" s="212">
        <v>9</v>
      </c>
      <c r="Z35" s="45" t="s">
        <v>190</v>
      </c>
      <c r="AA35" s="45" t="s">
        <v>70</v>
      </c>
      <c r="AB35" s="45" t="s">
        <v>191</v>
      </c>
      <c r="AC35" s="45" t="s">
        <v>35</v>
      </c>
      <c r="AD35" s="142"/>
      <c r="AE35" s="123"/>
      <c r="AF35" s="123"/>
      <c r="AG35" s="123"/>
      <c r="AH35" s="123"/>
      <c r="AI35" s="141"/>
    </row>
    <row r="36" spans="1:35" ht="16.5" customHeight="1">
      <c r="A36" s="15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38"/>
      <c r="Z36" s="138"/>
      <c r="AA36" s="138"/>
      <c r="AB36" s="138"/>
      <c r="AC36" s="138"/>
      <c r="AD36" s="123"/>
      <c r="AE36" s="123"/>
      <c r="AF36" s="123"/>
      <c r="AG36" s="123"/>
      <c r="AH36" s="123"/>
      <c r="AI36" s="141"/>
    </row>
    <row r="37" spans="1:35" ht="16.5" customHeight="1">
      <c r="A37" s="15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207" t="s">
        <v>204</v>
      </c>
      <c r="Z37" s="122"/>
      <c r="AA37" s="122"/>
      <c r="AB37" s="122"/>
      <c r="AC37" s="122"/>
      <c r="AD37" s="123"/>
      <c r="AE37" s="123"/>
      <c r="AF37" s="123"/>
      <c r="AG37" s="123"/>
      <c r="AH37" s="123"/>
      <c r="AI37" s="141"/>
    </row>
    <row r="38" spans="1:35" ht="16.5" customHeight="1">
      <c r="A38" s="15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208"/>
      <c r="Y38" s="255" t="s">
        <v>185</v>
      </c>
      <c r="Z38" s="257" t="s">
        <v>186</v>
      </c>
      <c r="AA38" s="258"/>
      <c r="AB38" s="259" t="s">
        <v>187</v>
      </c>
      <c r="AC38" s="260"/>
      <c r="AD38" s="142"/>
      <c r="AE38" s="123"/>
      <c r="AF38" s="123"/>
      <c r="AG38" s="123"/>
      <c r="AH38" s="123"/>
      <c r="AI38" s="141"/>
    </row>
    <row r="39" spans="1:35" ht="16.5" customHeight="1">
      <c r="A39" s="15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208"/>
      <c r="Y39" s="256"/>
      <c r="Z39" s="209" t="s">
        <v>173</v>
      </c>
      <c r="AA39" s="209" t="s">
        <v>2</v>
      </c>
      <c r="AB39" s="209" t="s">
        <v>173</v>
      </c>
      <c r="AC39" s="209" t="s">
        <v>2</v>
      </c>
      <c r="AD39" s="142"/>
      <c r="AE39" s="123"/>
      <c r="AF39" s="123"/>
      <c r="AG39" s="123"/>
      <c r="AH39" s="123"/>
      <c r="AI39" s="141"/>
    </row>
    <row r="40" spans="1:35" ht="16.5" customHeight="1">
      <c r="A40" s="15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208"/>
      <c r="Y40" s="210">
        <v>1</v>
      </c>
      <c r="Z40" s="211" t="s">
        <v>191</v>
      </c>
      <c r="AA40" s="211" t="s">
        <v>71</v>
      </c>
      <c r="AB40" s="211" t="s">
        <v>190</v>
      </c>
      <c r="AC40" s="211" t="s">
        <v>35</v>
      </c>
      <c r="AD40" s="142"/>
      <c r="AE40" s="123"/>
      <c r="AF40" s="123"/>
      <c r="AG40" s="123"/>
      <c r="AH40" s="123"/>
      <c r="AI40" s="141"/>
    </row>
    <row r="41" spans="1:35" ht="16.5" customHeight="1">
      <c r="A41" s="15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208"/>
      <c r="Y41" s="210">
        <v>2</v>
      </c>
      <c r="Z41" s="211" t="s">
        <v>195</v>
      </c>
      <c r="AA41" s="211" t="s">
        <v>24</v>
      </c>
      <c r="AB41" s="211" t="s">
        <v>194</v>
      </c>
      <c r="AC41" s="211" t="s">
        <v>44</v>
      </c>
      <c r="AD41" s="142"/>
      <c r="AE41" s="123"/>
      <c r="AF41" s="123"/>
      <c r="AG41" s="123"/>
      <c r="AH41" s="123"/>
      <c r="AI41" s="141"/>
    </row>
    <row r="42" spans="1:35" ht="16.5" customHeight="1">
      <c r="A42" s="15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208"/>
      <c r="Y42" s="210">
        <v>3</v>
      </c>
      <c r="Z42" s="211" t="s">
        <v>190</v>
      </c>
      <c r="AA42" s="211" t="s">
        <v>30</v>
      </c>
      <c r="AB42" s="211" t="s">
        <v>196</v>
      </c>
      <c r="AC42" s="211" t="s">
        <v>33</v>
      </c>
      <c r="AD42" s="142"/>
      <c r="AE42" s="123"/>
      <c r="AF42" s="123"/>
      <c r="AG42" s="123"/>
      <c r="AH42" s="123"/>
      <c r="AI42" s="141"/>
    </row>
    <row r="43" spans="1:35" ht="16.5" customHeight="1">
      <c r="A43" s="15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208"/>
      <c r="Y43" s="210">
        <v>4</v>
      </c>
      <c r="Z43" s="211" t="s">
        <v>190</v>
      </c>
      <c r="AA43" s="211" t="s">
        <v>26</v>
      </c>
      <c r="AB43" s="211" t="s">
        <v>190</v>
      </c>
      <c r="AC43" s="211" t="s">
        <v>70</v>
      </c>
      <c r="AD43" s="142"/>
      <c r="AE43" s="123"/>
      <c r="AF43" s="123"/>
      <c r="AG43" s="123"/>
      <c r="AH43" s="123"/>
      <c r="AI43" s="141"/>
    </row>
    <row r="44" spans="1:35" ht="16.5" customHeight="1">
      <c r="A44" s="15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208"/>
      <c r="Y44" s="210">
        <v>5</v>
      </c>
      <c r="Z44" s="211" t="s">
        <v>196</v>
      </c>
      <c r="AA44" s="211" t="s">
        <v>43</v>
      </c>
      <c r="AB44" s="211" t="s">
        <v>202</v>
      </c>
      <c r="AC44" s="211" t="s">
        <v>39</v>
      </c>
      <c r="AD44" s="142"/>
      <c r="AE44" s="123"/>
      <c r="AF44" s="123"/>
      <c r="AG44" s="123"/>
      <c r="AH44" s="123"/>
      <c r="AI44" s="141"/>
    </row>
    <row r="45" spans="1:35" ht="16.5" customHeight="1">
      <c r="A45" s="15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208"/>
      <c r="Y45" s="210">
        <v>6</v>
      </c>
      <c r="Z45" s="211" t="s">
        <v>198</v>
      </c>
      <c r="AA45" s="211" t="s">
        <v>29</v>
      </c>
      <c r="AB45" s="211" t="s">
        <v>193</v>
      </c>
      <c r="AC45" s="211" t="s">
        <v>41</v>
      </c>
      <c r="AD45" s="142"/>
      <c r="AE45" s="123"/>
      <c r="AF45" s="123"/>
      <c r="AG45" s="123"/>
      <c r="AH45" s="123"/>
      <c r="AI45" s="141"/>
    </row>
    <row r="46" spans="1:35" ht="16.5" customHeight="1">
      <c r="A46" s="15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208"/>
      <c r="Y46" s="210">
        <v>7</v>
      </c>
      <c r="Z46" s="211" t="s">
        <v>193</v>
      </c>
      <c r="AA46" s="211" t="s">
        <v>28</v>
      </c>
      <c r="AB46" s="211" t="s">
        <v>198</v>
      </c>
      <c r="AC46" s="211" t="s">
        <v>38</v>
      </c>
      <c r="AD46" s="142"/>
      <c r="AE46" s="123"/>
      <c r="AF46" s="123"/>
      <c r="AG46" s="123"/>
      <c r="AH46" s="123"/>
      <c r="AI46" s="141"/>
    </row>
    <row r="47" spans="1:35" ht="16.5" customHeight="1">
      <c r="A47" s="15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208"/>
      <c r="Y47" s="210">
        <v>8</v>
      </c>
      <c r="Z47" s="211" t="s">
        <v>194</v>
      </c>
      <c r="AA47" s="211" t="s">
        <v>25</v>
      </c>
      <c r="AB47" s="211" t="s">
        <v>191</v>
      </c>
      <c r="AC47" s="211" t="s">
        <v>32</v>
      </c>
      <c r="AD47" s="142"/>
      <c r="AE47" s="123"/>
      <c r="AF47" s="123"/>
      <c r="AG47" s="123"/>
      <c r="AH47" s="123"/>
      <c r="AI47" s="141"/>
    </row>
    <row r="48" spans="1:35" ht="16.5" customHeight="1">
      <c r="A48" s="154"/>
      <c r="B48" s="155"/>
      <c r="C48" s="155"/>
      <c r="D48" s="155"/>
      <c r="E48" s="155"/>
      <c r="F48" s="155"/>
      <c r="G48" s="155"/>
      <c r="H48" s="155"/>
      <c r="I48" s="155"/>
      <c r="J48" s="155"/>
      <c r="K48" s="155"/>
      <c r="L48" s="155"/>
      <c r="M48" s="155"/>
      <c r="N48" s="155"/>
      <c r="O48" s="155"/>
      <c r="P48" s="155"/>
      <c r="Q48" s="155"/>
      <c r="R48" s="155"/>
      <c r="S48" s="155"/>
      <c r="T48" s="155"/>
      <c r="U48" s="155"/>
      <c r="V48" s="155"/>
      <c r="W48" s="155"/>
      <c r="X48" s="215"/>
      <c r="Y48" s="210">
        <v>9</v>
      </c>
      <c r="Z48" s="211" t="s">
        <v>202</v>
      </c>
      <c r="AA48" s="211" t="s">
        <v>69</v>
      </c>
      <c r="AB48" s="211" t="s">
        <v>195</v>
      </c>
      <c r="AC48" s="211" t="s">
        <v>42</v>
      </c>
      <c r="AD48" s="216"/>
      <c r="AE48" s="155"/>
      <c r="AF48" s="155"/>
      <c r="AG48" s="155"/>
      <c r="AH48" s="155"/>
      <c r="AI48" s="157"/>
    </row>
  </sheetData>
  <mergeCells count="12">
    <mergeCell ref="AE12:AE13"/>
    <mergeCell ref="AF12:AG12"/>
    <mergeCell ref="AH12:AI12"/>
    <mergeCell ref="Y38:Y39"/>
    <mergeCell ref="Z38:AA38"/>
    <mergeCell ref="AB38:AC38"/>
    <mergeCell ref="AB12:AC12"/>
    <mergeCell ref="AB25:AC25"/>
    <mergeCell ref="Z25:AA25"/>
    <mergeCell ref="Y25:Y26"/>
    <mergeCell ref="Y12:Y13"/>
    <mergeCell ref="Z12:AA12"/>
  </mergeCells>
  <phoneticPr fontId="21" type="noConversion"/>
  <conditionalFormatting sqref="Q4:Q21">
    <cfRule type="cellIs" dxfId="0" priority="1" stopIfTrue="1" operator="greaterThan">
      <formula>0.3</formula>
    </cfRule>
  </conditionalFormatting>
  <pageMargins left="0.69972199999999996" right="0.69972199999999996" top="0.75" bottom="0.75" header="0.3" footer="0.3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Score-Pitcher</vt:lpstr>
      <vt:lpstr>Score-Batter</vt:lpstr>
      <vt:lpstr>Player</vt:lpstr>
      <vt:lpstr>통산 성적(~'23)</vt:lpstr>
      <vt:lpstr>시즌별 정리</vt:lpstr>
      <vt:lpstr>통산 성적(~'24) (김희제 포함)</vt:lpstr>
      <vt:lpstr>22년 샘프리그(22')</vt:lpstr>
      <vt:lpstr>22년 드림즈(23')</vt:lpstr>
      <vt:lpstr>23년 상반기 코모도(23')</vt:lpstr>
      <vt:lpstr>23년 디비전 리그(23')</vt:lpstr>
      <vt:lpstr>통산 성적(~'25)</vt:lpstr>
      <vt:lpstr>25년 시즌</vt:lpstr>
      <vt:lpstr>23 서구하반기('24)</vt:lpstr>
      <vt:lpstr>23 下코모도리그('24)</vt:lpstr>
      <vt:lpstr>24 上코모도리그('24)</vt:lpstr>
      <vt:lpstr>24 上디비전리그('24)</vt:lpstr>
      <vt:lpstr>24 下코모도(6-A)('25)</vt:lpstr>
      <vt:lpstr>24 下코모도(6-C)('25)</vt:lpstr>
      <vt:lpstr>25 上코모도(6-BB)('25)</vt:lpstr>
      <vt:lpstr>25 下디비전('26)</vt:lpstr>
      <vt:lpstr>22년 시즌</vt:lpstr>
      <vt:lpstr>23년 시즌</vt:lpstr>
      <vt:lpstr>24년 시즌</vt:lpstr>
      <vt:lpstr>팀짜보기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재영 김</cp:lastModifiedBy>
  <dcterms:modified xsi:type="dcterms:W3CDTF">2025-12-08T15:28:09Z</dcterms:modified>
</cp:coreProperties>
</file>