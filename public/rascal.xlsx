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통산 성적(~'23)" sheetId="1" r:id="rId5"/>
    <sheet name="통산 성적(~'25)" sheetId="2" r:id="rId6"/>
    <sheet name="시즌별 정리" sheetId="3" r:id="rId7"/>
    <sheet name="통산 성적(~'24) (김희제 포함)" sheetId="4" r:id="rId8"/>
    <sheet name="22년 샘프리그(22')" sheetId="5" r:id="rId9"/>
    <sheet name="22년 드림즈(23')" sheetId="6" r:id="rId10"/>
    <sheet name="23년 상반기 코모도(23')" sheetId="7" r:id="rId11"/>
    <sheet name="23년 디비전 리그(23')" sheetId="8" r:id="rId12"/>
    <sheet name="25년 시즌" sheetId="9" r:id="rId13"/>
    <sheet name="Score-Pitcher" sheetId="10" r:id="rId14"/>
    <sheet name="Score-Batter" sheetId="11" r:id="rId15"/>
    <sheet name="Player" sheetId="12" r:id="rId16"/>
    <sheet name="23 서구하반기('24)" sheetId="13" r:id="rId17"/>
    <sheet name="23 下코모도리그('24)" sheetId="14" r:id="rId18"/>
    <sheet name="24 上코모도리그('24)" sheetId="15" r:id="rId19"/>
    <sheet name="24 上디비전리그('24)" sheetId="16" r:id="rId20"/>
    <sheet name="24 下코모도(6-A)('25)" sheetId="17" r:id="rId21"/>
    <sheet name="24 下코모도(6-C)('25)" sheetId="18" r:id="rId22"/>
    <sheet name="25 上코모도(6-BB)('25)" sheetId="19" r:id="rId23"/>
    <sheet name="25 下디비전('26)" sheetId="20" r:id="rId24"/>
    <sheet name="22년 시즌" sheetId="21" r:id="rId25"/>
    <sheet name="23년 시즌" sheetId="22" r:id="rId26"/>
    <sheet name="24년 시즌" sheetId="23" r:id="rId27"/>
    <sheet name="팀짜보기" sheetId="24" r:id="rId2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<sst xmlns="http://schemas.openxmlformats.org/spreadsheetml/2006/main" uniqueCount="209">
  <si>
    <t>◎ 라스칼 통산 성적 (~'23 Season)</t>
  </si>
  <si>
    <t>1. 타자 기록</t>
  </si>
  <si>
    <t>이름</t>
  </si>
  <si>
    <t>게임수</t>
  </si>
  <si>
    <t>타율</t>
  </si>
  <si>
    <t>타석</t>
  </si>
  <si>
    <t>타수</t>
  </si>
  <si>
    <t>안타</t>
  </si>
  <si>
    <t>1루타</t>
  </si>
  <si>
    <t>2루타</t>
  </si>
  <si>
    <t>3루타</t>
  </si>
  <si>
    <t>홈런</t>
  </si>
  <si>
    <t>득점</t>
  </si>
  <si>
    <t>타점</t>
  </si>
  <si>
    <t>도루</t>
  </si>
  <si>
    <t>사사구</t>
  </si>
  <si>
    <t>삼진</t>
  </si>
  <si>
    <t>삼진률</t>
  </si>
  <si>
    <t>장타율</t>
  </si>
  <si>
    <t>출루율</t>
  </si>
  <si>
    <t>OPS</t>
  </si>
  <si>
    <t>아웃 比
삼진률</t>
  </si>
  <si>
    <t>출루율 등수</t>
  </si>
  <si>
    <t>OPS
등수</t>
  </si>
  <si>
    <t>권강현</t>
  </si>
  <si>
    <t>권혁진</t>
  </si>
  <si>
    <t>김기태</t>
  </si>
  <si>
    <t>김민석</t>
  </si>
  <si>
    <t>김범희</t>
  </si>
  <si>
    <t>김병진</t>
  </si>
  <si>
    <t>김재영</t>
  </si>
  <si>
    <t>김태양</t>
  </si>
  <si>
    <t>김현철</t>
  </si>
  <si>
    <t>김형준</t>
  </si>
  <si>
    <t>김희제</t>
  </si>
  <si>
    <t>남동수</t>
  </si>
  <si>
    <t>류동현</t>
  </si>
  <si>
    <t>박영준</t>
  </si>
  <si>
    <t>박재현</t>
  </si>
  <si>
    <t>백정철</t>
  </si>
  <si>
    <t>이동진</t>
  </si>
  <si>
    <t>이철민</t>
  </si>
  <si>
    <t>임지헌</t>
  </si>
  <si>
    <t>조태형</t>
  </si>
  <si>
    <t>차현철</t>
  </si>
  <si>
    <t>총합</t>
  </si>
  <si>
    <t>2. 투수 기록</t>
  </si>
  <si>
    <t>승</t>
  </si>
  <si>
    <t>패</t>
  </si>
  <si>
    <t>세</t>
  </si>
  <si>
    <t>타자</t>
  </si>
  <si>
    <t>이닝</t>
  </si>
  <si>
    <t>피안타</t>
  </si>
  <si>
    <t>피홈런</t>
  </si>
  <si>
    <t>볼넷</t>
  </si>
  <si>
    <t>사구</t>
  </si>
  <si>
    <t>탈삼진</t>
  </si>
  <si>
    <t>실점</t>
  </si>
  <si>
    <t>자책점</t>
  </si>
  <si>
    <t>방어율</t>
  </si>
  <si>
    <t>제구</t>
  </si>
  <si>
    <t>피안타율</t>
  </si>
  <si>
    <t>경기/이닝</t>
  </si>
  <si>
    <t>이닝/K</t>
  </si>
  <si>
    <t>수비성공률</t>
  </si>
  <si>
    <t>WHIP</t>
  </si>
  <si>
    <t>-</t>
  </si>
  <si>
    <t>◎ 라스칼 통산 성적 (~'25 Season)</t>
  </si>
  <si>
    <t>전년 대비</t>
  </si>
  <si>
    <t>김상훈</t>
  </si>
  <si>
    <t>윤태규</t>
  </si>
  <si>
    <t>주혁진</t>
  </si>
  <si>
    <t>이닝당
사사구</t>
  </si>
  <si>
    <t>이닝 당
사사구</t>
  </si>
  <si>
    <t>이닝 당
삼진</t>
  </si>
  <si>
    <t>구분</t>
  </si>
  <si>
    <t>22년</t>
  </si>
  <si>
    <t>23년</t>
  </si>
  <si>
    <t>24년</t>
  </si>
  <si>
    <t>통산</t>
  </si>
  <si>
    <t>◎ 라스칼 통산 성적</t>
  </si>
  <si>
    <t>1. 리그별 타율</t>
  </si>
  <si>
    <t>25년</t>
  </si>
  <si>
    <t>上샘프</t>
  </si>
  <si>
    <t>下드림즈</t>
  </si>
  <si>
    <t>上코모도</t>
  </si>
  <si>
    <t>上디비전</t>
  </si>
  <si>
    <t>下서구</t>
  </si>
  <si>
    <t>下코모도</t>
  </si>
  <si>
    <t>上코모도
(6부-B)</t>
  </si>
  <si>
    <t>下코모도
(6부C+A)</t>
  </si>
  <si>
    <t>上코모도
(6부-BB)</t>
  </si>
  <si>
    <t>디비전</t>
  </si>
  <si>
    <t>규정 타석 미달</t>
  </si>
  <si>
    <t>타율 0.300 미만</t>
  </si>
  <si>
    <t>타율 0.500 미만</t>
  </si>
  <si>
    <t>타율 0.500 이상</t>
  </si>
  <si>
    <t>타율 0.700 이상</t>
  </si>
  <si>
    <t>◎ 22년 상반기 샘프리그</t>
  </si>
  <si>
    <t>◎ 22년 하반기 드림즈리그</t>
  </si>
  <si>
    <t>◎ 23년 상반기 코모도리그</t>
  </si>
  <si>
    <t>선수명</t>
  </si>
  <si>
    <t>경기</t>
  </si>
  <si>
    <t>BB</t>
  </si>
  <si>
    <t>HP</t>
  </si>
  <si>
    <t>자책</t>
  </si>
  <si>
    <t>◎ 23년 상반기 디비전리그</t>
  </si>
  <si>
    <t>세이브</t>
  </si>
  <si>
    <t>◎ '25시즌 Rascal 성적</t>
  </si>
  <si>
    <t>삼진율</t>
  </si>
  <si>
    <t>아웃 比
삼진율</t>
  </si>
  <si>
    <t>타율
등수</t>
  </si>
  <si>
    <t>4구</t>
  </si>
  <si>
    <t>타격방해</t>
  </si>
  <si>
    <t>실책</t>
  </si>
  <si>
    <t>Fine Play</t>
  </si>
  <si>
    <t>경기당
평균 이닝</t>
  </si>
  <si>
    <t>사사구
/100타자</t>
  </si>
  <si>
    <t>폭투</t>
  </si>
  <si>
    <t>보크</t>
  </si>
  <si>
    <t>`</t>
  </si>
  <si>
    <t>표 1</t>
  </si>
  <si>
    <t>수비</t>
  </si>
  <si>
    <t>타자수</t>
  </si>
  <si>
    <t>타석수</t>
  </si>
  <si>
    <t>아웃수</t>
  </si>
  <si>
    <t>탈삼진수</t>
  </si>
  <si>
    <t>피안타수</t>
  </si>
  <si>
    <t>사사구수</t>
  </si>
  <si>
    <t>장타</t>
  </si>
  <si>
    <t>V.C</t>
  </si>
  <si>
    <t>타수수</t>
  </si>
  <si>
    <t>안타수</t>
  </si>
  <si>
    <t>삼진수</t>
  </si>
  <si>
    <t>볼넷수</t>
  </si>
  <si>
    <t>등번호</t>
  </si>
  <si>
    <t>영어 이름</t>
  </si>
  <si>
    <t>어워즈</t>
  </si>
  <si>
    <t>KWON KANG HYUN</t>
  </si>
  <si>
    <t>KWON HUCK JIN</t>
  </si>
  <si>
    <t>KIM KI TAE</t>
  </si>
  <si>
    <t>KIM MIN SEOK</t>
  </si>
  <si>
    <t>KIM BEOM HUI</t>
  </si>
  <si>
    <t>M.A.P</t>
  </si>
  <si>
    <t>KIM BYEONG JIN</t>
  </si>
  <si>
    <t>KIM JEA YOUNG</t>
  </si>
  <si>
    <t>MVP</t>
  </si>
  <si>
    <t>KIM TAE YANG</t>
  </si>
  <si>
    <t>KIM HYUN CHEOL</t>
  </si>
  <si>
    <t>KIM HYUNG JUN</t>
  </si>
  <si>
    <t>KIM HEE JE</t>
  </si>
  <si>
    <t>NAM DONG SOO</t>
  </si>
  <si>
    <t>RYU DONG HYUN</t>
  </si>
  <si>
    <t>PARK YOUNG JUN</t>
  </si>
  <si>
    <t>PARK JAE HYUN</t>
  </si>
  <si>
    <t>BAEK JEONG CHEOL</t>
  </si>
  <si>
    <t>GoldenGlove</t>
  </si>
  <si>
    <t>LEE DONG JIN</t>
  </si>
  <si>
    <t>LEE CHEOL MIN</t>
  </si>
  <si>
    <t>LIM JI HEON</t>
  </si>
  <si>
    <t>CHO TAE HYEONG</t>
  </si>
  <si>
    <t>CHA HYUN CHUL</t>
  </si>
  <si>
    <t>◎ 23년 하반기 서구 리그 ('24)</t>
  </si>
  <si>
    <t>◎ 23년 하반기 코모도리그 ('24)</t>
  </si>
  <si>
    <t>◎ 24년 상반기 코모도리그 ('24)</t>
  </si>
  <si>
    <t>◎ 24년 상반기 디비전리그 ('24)</t>
  </si>
  <si>
    <t>◎ 24년 하반기 디비전리그 6부-A ('25)</t>
  </si>
  <si>
    <t>수비
성공률</t>
  </si>
  <si>
    <t>◎ 24년 하반기 디비전리그 6부-C ('25)</t>
  </si>
  <si>
    <t xml:space="preserve"> </t>
  </si>
  <si>
    <t>◎ 25년 상반기 코모도리그 6부-BB ('25)</t>
  </si>
  <si>
    <t>주루사</t>
  </si>
  <si>
    <t>◎ 25년 하반기 디비전리그 ('26)</t>
  </si>
  <si>
    <t>◎ '22시즌 Rascal 성적</t>
  </si>
  <si>
    <t>◎ '23시즌 Rascal 성적</t>
  </si>
  <si>
    <t>◎ '24시즌 Rascal 성적</t>
  </si>
  <si>
    <t>◎ 라스칼 통산 성적 (~'24 Season)</t>
  </si>
  <si>
    <t>포지션</t>
  </si>
  <si>
    <t>중견수/투수</t>
  </si>
  <si>
    <t>1루수/포수</t>
  </si>
  <si>
    <t>포수/</t>
  </si>
  <si>
    <t>우익수/</t>
  </si>
  <si>
    <t>유격수/투수</t>
  </si>
  <si>
    <t>1루수/</t>
  </si>
  <si>
    <t>중견수/유격수</t>
  </si>
  <si>
    <t>3루수/2루수</t>
  </si>
  <si>
    <t>경우1.</t>
  </si>
  <si>
    <t>경우4</t>
  </si>
  <si>
    <t>투수/1루수</t>
  </si>
  <si>
    <t>타순</t>
  </si>
  <si>
    <t>청팀</t>
  </si>
  <si>
    <t>백팀</t>
  </si>
  <si>
    <t>유격수/중견수</t>
  </si>
  <si>
    <t>3루수/</t>
  </si>
  <si>
    <t>CF</t>
  </si>
  <si>
    <t>SS</t>
  </si>
  <si>
    <t>좌익수/1루수</t>
  </si>
  <si>
    <t>RF</t>
  </si>
  <si>
    <t>2B</t>
  </si>
  <si>
    <t>LF</t>
  </si>
  <si>
    <t>P</t>
  </si>
  <si>
    <t>C</t>
  </si>
  <si>
    <t>3B</t>
  </si>
  <si>
    <t>좌익수/투수</t>
  </si>
  <si>
    <t>투수/3루수</t>
  </si>
  <si>
    <t>2루수/유격수</t>
  </si>
  <si>
    <t>1B</t>
  </si>
  <si>
    <t>경우2</t>
  </si>
  <si>
    <t>경우3</t>
  </si>
</sst>
</file>

<file path=xl/styles.xml><?xml version="1.0" encoding="utf-8"?>
<styleSheet xmlns="http://schemas.openxmlformats.org/spreadsheetml/2006/main">
  <numFmts count="13">
    <numFmt numFmtId="0" formatCode="General"/>
    <numFmt numFmtId="59" formatCode="0.000"/>
    <numFmt numFmtId="60" formatCode="0.0"/>
    <numFmt numFmtId="61" formatCode="0.00&quot; &quot;"/>
    <numFmt numFmtId="62" formatCode="0.0%"/>
    <numFmt numFmtId="63" formatCode="&quot;+&quot;#,##0.000;&quot;-&quot;#,##0.000"/>
    <numFmt numFmtId="64" formatCode="&quot;+&quot;0.0%;&quot;-&quot;0.0%"/>
    <numFmt numFmtId="65" formatCode="&quot;+&quot;#,##0.0;&quot;-&quot;#,##0.0"/>
    <numFmt numFmtId="66" formatCode="&quot;+&quot;#,##0.00;&quot;-&quot;#,##0.00"/>
    <numFmt numFmtId="67" formatCode="&quot;+&quot;0.00"/>
    <numFmt numFmtId="68" formatCode="&quot;+&quot;0.0"/>
    <numFmt numFmtId="69" formatCode="0&quot; &quot;;(0)"/>
    <numFmt numFmtId="70" formatCode="0.000&quot; &quot;"/>
  </numFmts>
  <fonts count="27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8"/>
      <name val="맑은 고딕"/>
    </font>
    <font>
      <b val="1"/>
      <sz val="12"/>
      <color indexed="8"/>
      <name val="맑은 고딕"/>
    </font>
    <font>
      <sz val="12"/>
      <color indexed="8"/>
      <name val="맑은 고딕"/>
    </font>
    <font>
      <b val="1"/>
      <sz val="12"/>
      <color indexed="13"/>
      <name val="맑은 고딕"/>
    </font>
    <font>
      <b val="1"/>
      <sz val="12"/>
      <color indexed="10"/>
      <name val="맑은 고딕"/>
    </font>
    <font>
      <b val="1"/>
      <sz val="14"/>
      <color indexed="17"/>
      <name val="Helvetica"/>
    </font>
    <font>
      <sz val="18"/>
      <color indexed="8"/>
      <name val="Calibri"/>
    </font>
    <font>
      <sz val="9"/>
      <color indexed="18"/>
      <name val="Calibri"/>
    </font>
    <font>
      <b val="1"/>
      <sz val="14"/>
      <color indexed="18"/>
      <name val="Calibri"/>
    </font>
    <font>
      <b val="1"/>
      <sz val="14"/>
      <color indexed="8"/>
      <name val="맑은 고딕"/>
    </font>
    <font>
      <b val="1"/>
      <sz val="11"/>
      <color indexed="8"/>
      <name val="맑은 고딕"/>
    </font>
    <font>
      <b val="1"/>
      <sz val="11"/>
      <color indexed="10"/>
      <name val="맑은 고딕"/>
    </font>
    <font>
      <sz val="11"/>
      <color indexed="22"/>
      <name val="맑은 고딕"/>
    </font>
    <font>
      <sz val="11"/>
      <color indexed="27"/>
      <name val="맑은 고딕"/>
    </font>
    <font>
      <sz val="11"/>
      <color indexed="30"/>
      <name val="맑은 고딕"/>
    </font>
    <font>
      <b val="1"/>
      <sz val="11"/>
      <color indexed="17"/>
      <name val="Calibri"/>
    </font>
    <font>
      <sz val="14"/>
      <color indexed="18"/>
      <name val="Calibri"/>
    </font>
    <font>
      <b val="1"/>
      <sz val="12"/>
      <color indexed="8"/>
      <name val="Malgun Gothic"/>
    </font>
    <font>
      <b val="1"/>
      <sz val="10"/>
      <color indexed="8"/>
      <name val="Malgun Gothic"/>
    </font>
    <font>
      <b val="1"/>
      <sz val="10"/>
      <color indexed="8"/>
      <name val="맑은 고딕"/>
    </font>
    <font>
      <sz val="10"/>
      <color indexed="8"/>
      <name val="Malgun Gothic"/>
    </font>
    <font>
      <sz val="10"/>
      <color indexed="8"/>
      <name val="Calibri"/>
    </font>
    <font>
      <sz val="10"/>
      <color indexed="8"/>
      <name val="맑은 고딕"/>
    </font>
    <font>
      <sz val="11"/>
      <color indexed="10"/>
      <name val="맑은 고딕"/>
    </font>
  </fonts>
  <fills count="2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</fills>
  <borders count="5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36"/>
      </left>
      <right style="thin">
        <color indexed="8"/>
      </right>
      <top style="thin">
        <color indexed="36"/>
      </top>
      <bottom style="thin">
        <color indexed="8"/>
      </bottom>
      <diagonal/>
    </border>
    <border>
      <left style="thin">
        <color indexed="8"/>
      </left>
      <right style="thin">
        <color indexed="36"/>
      </right>
      <top style="thin">
        <color indexed="8"/>
      </top>
      <bottom style="thin">
        <color indexed="36"/>
      </bottom>
      <diagonal/>
    </border>
    <border>
      <left style="thin">
        <color indexed="36"/>
      </left>
      <right style="thin">
        <color indexed="36"/>
      </right>
      <top style="thin">
        <color indexed="8"/>
      </top>
      <bottom style="thin">
        <color indexed="36"/>
      </bottom>
      <diagonal/>
    </border>
    <border>
      <left style="thin">
        <color indexed="8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 style="thin">
        <color indexed="8"/>
      </left>
      <right style="thin">
        <color indexed="36"/>
      </right>
      <top style="thin">
        <color indexed="36"/>
      </top>
      <bottom style="thin">
        <color indexed="17"/>
      </bottom>
      <diagonal/>
    </border>
    <border>
      <left style="thin">
        <color indexed="8"/>
      </left>
      <right style="thin">
        <color indexed="36"/>
      </right>
      <top style="thin">
        <color indexed="17"/>
      </top>
      <bottom style="thin">
        <color indexed="36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/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265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49" fontId="4" borderId="2" applyNumberFormat="1" applyFont="1" applyFill="0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49" fontId="4" fillId="3" borderId="3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center"/>
    </xf>
    <xf numFmtId="0" fontId="5" fillId="2" borderId="3" applyNumberFormat="1" applyFont="1" applyFill="1" applyBorder="1" applyAlignment="1" applyProtection="0">
      <alignment horizontal="center" vertical="center" wrapText="1"/>
    </xf>
    <xf numFmtId="59" fontId="5" fillId="4" borderId="3" applyNumberFormat="1" applyFont="1" applyFill="1" applyBorder="1" applyAlignment="1" applyProtection="0">
      <alignment horizontal="center" vertical="center" wrapText="1"/>
    </xf>
    <xf numFmtId="9" fontId="6" fillId="2" borderId="3" applyNumberFormat="1" applyFont="1" applyFill="1" applyBorder="1" applyAlignment="1" applyProtection="0">
      <alignment horizontal="center" vertical="center" wrapText="1"/>
    </xf>
    <xf numFmtId="59" fontId="5" fillId="2" borderId="3" applyNumberFormat="1" applyFont="1" applyFill="1" applyBorder="1" applyAlignment="1" applyProtection="0">
      <alignment horizontal="center" vertical="center" wrapText="1"/>
    </xf>
    <xf numFmtId="59" fontId="5" borderId="3" applyNumberFormat="1" applyFont="1" applyFill="0" applyBorder="1" applyAlignment="1" applyProtection="0">
      <alignment horizontal="center" vertical="center"/>
    </xf>
    <xf numFmtId="59" fontId="4" fillId="5" borderId="3" applyNumberFormat="1" applyFont="1" applyFill="1" applyBorder="1" applyAlignment="1" applyProtection="0">
      <alignment horizontal="center" vertical="center" wrapText="1"/>
    </xf>
    <xf numFmtId="9" fontId="6" fillId="6" borderId="3" applyNumberFormat="1" applyFont="1" applyFill="1" applyBorder="1" applyAlignment="1" applyProtection="0">
      <alignment horizontal="center" vertical="center"/>
    </xf>
    <xf numFmtId="0" fontId="5" borderId="3" applyNumberFormat="1" applyFont="1" applyFill="0" applyBorder="1" applyAlignment="1" applyProtection="0">
      <alignment horizontal="center" vertical="center"/>
    </xf>
    <xf numFmtId="0" fontId="4" fillId="5" borderId="3" applyNumberFormat="1" applyFont="1" applyFill="1" applyBorder="1" applyAlignment="1" applyProtection="0">
      <alignment horizontal="center" vertical="center"/>
    </xf>
    <xf numFmtId="9" fontId="4" fillId="2" borderId="3" applyNumberFormat="1" applyFont="1" applyFill="1" applyBorder="1" applyAlignment="1" applyProtection="0">
      <alignment horizontal="center" vertical="center" wrapText="1"/>
    </xf>
    <xf numFmtId="9" fontId="6" fillId="7" borderId="3" applyNumberFormat="1" applyFont="1" applyFill="1" applyBorder="1" applyAlignment="1" applyProtection="0">
      <alignment horizontal="center" vertical="center"/>
    </xf>
    <xf numFmtId="9" fontId="4" fillId="7" borderId="3" applyNumberFormat="1" applyFont="1" applyFill="1" applyBorder="1" applyAlignment="1" applyProtection="0">
      <alignment horizontal="center" vertical="center"/>
    </xf>
    <xf numFmtId="9" fontId="7" fillId="6" borderId="3" applyNumberFormat="1" applyFont="1" applyFill="1" applyBorder="1" applyAlignment="1" applyProtection="0">
      <alignment horizontal="center" vertical="center"/>
    </xf>
    <xf numFmtId="9" fontId="4" fillId="7" borderId="5" applyNumberFormat="1" applyFont="1" applyFill="1" applyBorder="1" applyAlignment="1" applyProtection="0">
      <alignment horizontal="center" vertical="center"/>
    </xf>
    <xf numFmtId="9" fontId="6" fillId="7" borderId="6" applyNumberFormat="1" applyFont="1" applyFill="1" applyBorder="1" applyAlignment="1" applyProtection="0">
      <alignment horizontal="center" vertical="center"/>
    </xf>
    <xf numFmtId="9" fontId="6" fillId="7" borderId="5" applyNumberFormat="1" applyFont="1" applyFill="1" applyBorder="1" applyAlignment="1" applyProtection="0">
      <alignment horizontal="center" vertical="center"/>
    </xf>
    <xf numFmtId="9" fontId="6" fillId="6" borderId="7" applyNumberFormat="1" applyFont="1" applyFill="1" applyBorder="1" applyAlignment="1" applyProtection="0">
      <alignment horizontal="center" vertical="center"/>
    </xf>
    <xf numFmtId="9" fontId="6" fillId="7" borderId="7" applyNumberFormat="1" applyFont="1" applyFill="1" applyBorder="1" applyAlignment="1" applyProtection="0">
      <alignment horizontal="center" vertical="center"/>
    </xf>
    <xf numFmtId="9" fontId="7" fillId="6" borderId="6" applyNumberFormat="1" applyFont="1" applyFill="1" applyBorder="1" applyAlignment="1" applyProtection="0">
      <alignment horizontal="center" vertical="center"/>
    </xf>
    <xf numFmtId="49" fontId="4" fillId="8" borderId="3" applyNumberFormat="1" applyFont="1" applyFill="1" applyBorder="1" applyAlignment="1" applyProtection="0">
      <alignment horizontal="center" vertical="center" wrapText="1"/>
    </xf>
    <xf numFmtId="0" fontId="4" fillId="8" borderId="3" applyNumberFormat="0" applyFont="1" applyFill="1" applyBorder="1" applyAlignment="1" applyProtection="0">
      <alignment horizontal="center" vertical="center"/>
    </xf>
    <xf numFmtId="59" fontId="4" fillId="8" borderId="3" applyNumberFormat="1" applyFont="1" applyFill="1" applyBorder="1" applyAlignment="1" applyProtection="0">
      <alignment horizontal="center" vertical="center"/>
    </xf>
    <xf numFmtId="0" fontId="4" fillId="8" borderId="3" applyNumberFormat="1" applyFont="1" applyFill="1" applyBorder="1" applyAlignment="1" applyProtection="0">
      <alignment horizontal="center" vertical="center"/>
    </xf>
    <xf numFmtId="9" fontId="4" fillId="8" borderId="3" applyNumberFormat="1" applyFont="1" applyFill="1" applyBorder="1" applyAlignment="1" applyProtection="0">
      <alignment horizontal="center" vertical="center"/>
    </xf>
    <xf numFmtId="0" fontId="0" borderId="8" applyNumberFormat="0" applyFont="1" applyFill="0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0" fontId="5" borderId="2" applyNumberFormat="0" applyFont="1" applyFill="0" applyBorder="1" applyAlignment="1" applyProtection="0">
      <alignment vertical="center"/>
    </xf>
    <xf numFmtId="0" fontId="5" fillId="2" borderId="2" applyNumberFormat="0" applyFont="1" applyFill="1" applyBorder="1" applyAlignment="1" applyProtection="0">
      <alignment horizontal="center" vertical="center"/>
    </xf>
    <xf numFmtId="49" fontId="5" fillId="3" borderId="3" applyNumberFormat="1" applyFont="1" applyFill="1" applyBorder="1" applyAlignment="1" applyProtection="0">
      <alignment horizontal="center" vertical="center" wrapText="1"/>
    </xf>
    <xf numFmtId="60" fontId="5" fillId="2" borderId="3" applyNumberFormat="1" applyFont="1" applyFill="1" applyBorder="1" applyAlignment="1" applyProtection="0">
      <alignment horizontal="center" vertical="center" wrapText="1"/>
    </xf>
    <xf numFmtId="2" fontId="5" fillId="2" borderId="3" applyNumberFormat="1" applyFont="1" applyFill="1" applyBorder="1" applyAlignment="1" applyProtection="0">
      <alignment horizontal="center" vertical="center" wrapText="1"/>
    </xf>
    <xf numFmtId="2" fontId="0" borderId="3" applyNumberFormat="1" applyFont="1" applyFill="0" applyBorder="1" applyAlignment="1" applyProtection="0">
      <alignment horizontal="center" vertical="center"/>
    </xf>
    <xf numFmtId="61" fontId="0" borderId="3" applyNumberFormat="1" applyFont="1" applyFill="0" applyBorder="1" applyAlignment="1" applyProtection="0">
      <alignment horizontal="center" vertical="center"/>
    </xf>
    <xf numFmtId="2" fontId="0" fillId="2" borderId="3" applyNumberFormat="1" applyFont="1" applyFill="1" applyBorder="1" applyAlignment="1" applyProtection="0">
      <alignment vertical="center"/>
    </xf>
    <xf numFmtId="62" fontId="0" borderId="3" applyNumberFormat="1" applyFont="1" applyFill="0" applyBorder="1" applyAlignment="1" applyProtection="0">
      <alignment horizontal="center" vertical="center"/>
    </xf>
    <xf numFmtId="49" fontId="0" borderId="3" applyNumberFormat="1" applyFont="1" applyFill="0" applyBorder="1" applyAlignment="1" applyProtection="0">
      <alignment horizontal="center" vertical="center"/>
    </xf>
    <xf numFmtId="49" fontId="0" fillId="2" borderId="3" applyNumberFormat="1" applyFont="1" applyFill="1" applyBorder="1" applyAlignment="1" applyProtection="0">
      <alignment vertical="center"/>
    </xf>
    <xf numFmtId="0" fontId="0" fillId="2" borderId="3" applyNumberFormat="1" applyFont="1" applyFill="1" applyBorder="1" applyAlignment="1" applyProtection="0">
      <alignment vertical="center"/>
    </xf>
    <xf numFmtId="0" fontId="0" borderId="3" applyNumberFormat="1" applyFont="1" applyFill="0" applyBorder="1" applyAlignment="1" applyProtection="0">
      <alignment horizontal="center" vertical="center"/>
    </xf>
    <xf numFmtId="0" fontId="4" fillId="8" borderId="3" applyNumberFormat="1" applyFont="1" applyFill="1" applyBorder="1" applyAlignment="1" applyProtection="0">
      <alignment horizontal="center" vertical="center" wrapText="1"/>
    </xf>
    <xf numFmtId="60" fontId="4" fillId="8" borderId="3" applyNumberFormat="1" applyFont="1" applyFill="1" applyBorder="1" applyAlignment="1" applyProtection="0">
      <alignment horizontal="center" vertical="center" wrapText="1"/>
    </xf>
    <xf numFmtId="2" fontId="4" fillId="8" borderId="3" applyNumberFormat="1" applyFont="1" applyFill="1" applyBorder="1" applyAlignment="1" applyProtection="0">
      <alignment horizontal="center" vertical="center" wrapText="1"/>
    </xf>
    <xf numFmtId="2" fontId="0" fillId="8" borderId="3" applyNumberFormat="1" applyFont="1" applyFill="1" applyBorder="1" applyAlignment="1" applyProtection="0">
      <alignment horizontal="center" vertical="center"/>
    </xf>
    <xf numFmtId="61" fontId="0" fillId="8" borderId="3" applyNumberFormat="1" applyFont="1" applyFill="1" applyBorder="1" applyAlignment="1" applyProtection="0">
      <alignment horizontal="center" vertical="center"/>
    </xf>
    <xf numFmtId="2" fontId="0" fillId="8" borderId="3" applyNumberFormat="1" applyFont="1" applyFill="1" applyBorder="1" applyAlignment="1" applyProtection="0">
      <alignment vertical="center"/>
    </xf>
    <xf numFmtId="62" fontId="6" fillId="8" borderId="3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0" fontId="0" borderId="9" applyNumberFormat="0" applyFont="1" applyFill="0" applyBorder="1" applyAlignment="1" applyProtection="0">
      <alignment vertical="center"/>
    </xf>
    <xf numFmtId="49" fontId="12" fillId="9" borderId="3" applyNumberFormat="1" applyFont="1" applyFill="1" applyBorder="1" applyAlignment="1" applyProtection="0">
      <alignment horizontal="center" vertical="center"/>
    </xf>
    <xf numFmtId="0" fontId="12" fillId="9" borderId="3" applyNumberFormat="0" applyFont="1" applyFill="1" applyBorder="1" applyAlignment="1" applyProtection="0">
      <alignment horizontal="center" vertical="center"/>
    </xf>
    <xf numFmtId="0" fontId="0" borderId="10" applyNumberFormat="0" applyFont="1" applyFill="0" applyBorder="1" applyAlignment="1" applyProtection="0">
      <alignment vertical="center"/>
    </xf>
    <xf numFmtId="0" fontId="0" borderId="11" applyNumberFormat="0" applyFont="1" applyFill="0" applyBorder="1" applyAlignment="1" applyProtection="0">
      <alignment vertical="center"/>
    </xf>
    <xf numFmtId="0" fontId="0" borderId="12" applyNumberFormat="0" applyFont="1" applyFill="0" applyBorder="1" applyAlignment="1" applyProtection="0">
      <alignment vertical="center"/>
    </xf>
    <xf numFmtId="49" fontId="4" fillId="3" borderId="13" applyNumberFormat="1" applyFont="1" applyFill="1" applyBorder="1" applyAlignment="1" applyProtection="0">
      <alignment horizontal="center" vertical="center" wrapText="1"/>
    </xf>
    <xf numFmtId="0" fontId="0" borderId="14" applyNumberFormat="0" applyFont="1" applyFill="0" applyBorder="1" applyAlignment="1" applyProtection="0">
      <alignment vertical="center"/>
    </xf>
    <xf numFmtId="59" fontId="4" fillId="4" borderId="3" applyNumberFormat="1" applyFont="1" applyFill="1" applyBorder="1" applyAlignment="1" applyProtection="0">
      <alignment horizontal="center" vertical="center" wrapText="1"/>
    </xf>
    <xf numFmtId="9" fontId="4" fillId="2" borderId="3" applyNumberFormat="1" applyFont="1" applyFill="1" applyBorder="1" applyAlignment="1" applyProtection="0">
      <alignment horizontal="center" vertical="center"/>
    </xf>
    <xf numFmtId="63" fontId="13" borderId="3" applyNumberFormat="1" applyFont="1" applyFill="0" applyBorder="1" applyAlignment="1" applyProtection="0">
      <alignment horizontal="center" vertical="center"/>
    </xf>
    <xf numFmtId="64" fontId="13" borderId="3" applyNumberFormat="1" applyFont="1" applyFill="0" applyBorder="1" applyAlignment="1" applyProtection="0">
      <alignment horizontal="center" vertical="center"/>
    </xf>
    <xf numFmtId="0" fontId="0" borderId="15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65" fontId="13" borderId="3" applyNumberFormat="1" applyFont="1" applyFill="0" applyBorder="1" applyAlignment="1" applyProtection="0">
      <alignment horizontal="center" vertical="center"/>
    </xf>
    <xf numFmtId="66" fontId="13" borderId="3" applyNumberFormat="1" applyFont="1" applyFill="0" applyBorder="1" applyAlignment="1" applyProtection="0">
      <alignment horizontal="center" vertical="center"/>
    </xf>
    <xf numFmtId="49" fontId="13" borderId="3" applyNumberFormat="1" applyFont="1" applyFill="0" applyBorder="1" applyAlignment="1" applyProtection="0">
      <alignment horizontal="center" vertical="center"/>
    </xf>
    <xf numFmtId="67" fontId="13" borderId="3" applyNumberFormat="1" applyFont="1" applyFill="0" applyBorder="1" applyAlignment="1" applyProtection="0">
      <alignment horizontal="center" vertical="center"/>
    </xf>
    <xf numFmtId="68" fontId="13" borderId="3" applyNumberFormat="1" applyFont="1" applyFill="0" applyBorder="1" applyAlignment="1" applyProtection="0">
      <alignment horizontal="center" vertical="center"/>
    </xf>
    <xf numFmtId="1" fontId="5" fillId="2" borderId="3" applyNumberFormat="1" applyFont="1" applyFill="1" applyBorder="1" applyAlignment="1" applyProtection="0">
      <alignment horizontal="center" vertical="center" wrapText="1"/>
    </xf>
    <xf numFmtId="49" fontId="14" fillId="10" borderId="3" applyNumberFormat="1" applyFont="1" applyFill="1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horizontal="center" vertical="center"/>
    </xf>
    <xf numFmtId="69" fontId="0" borderId="3" applyNumberFormat="1" applyFont="1" applyFill="0" applyBorder="1" applyAlignment="1" applyProtection="0">
      <alignment vertical="center"/>
    </xf>
    <xf numFmtId="69" fontId="0" fillId="11" borderId="3" applyNumberFormat="1" applyFont="1" applyFill="1" applyBorder="1" applyAlignment="1" applyProtection="0">
      <alignment vertical="center"/>
    </xf>
    <xf numFmtId="1" fontId="0" borderId="4" applyNumberFormat="1" applyFont="1" applyFill="0" applyBorder="1" applyAlignment="1" applyProtection="0">
      <alignment vertical="center"/>
    </xf>
    <xf numFmtId="60" fontId="0" borderId="4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7" fillId="12" borderId="3" applyNumberFormat="1" applyFont="1" applyFill="1" applyBorder="1" applyAlignment="1" applyProtection="0">
      <alignment horizontal="center" vertical="center" wrapText="1"/>
    </xf>
    <xf numFmtId="0" fontId="7" fillId="12" borderId="3" applyNumberFormat="0" applyFont="1" applyFill="1" applyBorder="1" applyAlignment="1" applyProtection="0">
      <alignment horizontal="center" vertical="center" wrapText="1"/>
    </xf>
    <xf numFmtId="49" fontId="7" fillId="12" borderId="16" applyNumberFormat="1" applyFont="1" applyFill="1" applyBorder="1" applyAlignment="1" applyProtection="0">
      <alignment horizontal="center" vertical="center" wrapText="1"/>
    </xf>
    <xf numFmtId="0" fontId="7" fillId="12" borderId="17" applyNumberFormat="0" applyFont="1" applyFill="1" applyBorder="1" applyAlignment="1" applyProtection="0">
      <alignment horizontal="center" vertical="center" wrapText="1"/>
    </xf>
    <xf numFmtId="0" fontId="7" fillId="12" borderId="18" applyNumberFormat="0" applyFont="1" applyFill="1" applyBorder="1" applyAlignment="1" applyProtection="0">
      <alignment horizontal="center" vertical="center" wrapText="1"/>
    </xf>
    <xf numFmtId="0" fontId="7" fillId="12" borderId="19" applyNumberFormat="0" applyFont="1" applyFill="1" applyBorder="1" applyAlignment="1" applyProtection="0">
      <alignment horizontal="center" vertical="center" wrapText="1"/>
    </xf>
    <xf numFmtId="49" fontId="7" fillId="12" borderId="19" applyNumberFormat="1" applyFont="1" applyFill="1" applyBorder="1" applyAlignment="1" applyProtection="0">
      <alignment horizontal="center" vertical="center" wrapText="1"/>
    </xf>
    <xf numFmtId="49" fontId="4" fillId="3" borderId="20" applyNumberFormat="1" applyFont="1" applyFill="1" applyBorder="1" applyAlignment="1" applyProtection="0">
      <alignment horizontal="center" vertical="center" wrapText="1"/>
    </xf>
    <xf numFmtId="59" fontId="0" fillId="13" borderId="21" applyNumberFormat="1" applyFont="1" applyFill="1" applyBorder="1" applyAlignment="1" applyProtection="0">
      <alignment horizontal="center" vertical="center"/>
    </xf>
    <xf numFmtId="59" fontId="0" borderId="21" applyNumberFormat="1" applyFont="1" applyFill="0" applyBorder="1" applyAlignment="1" applyProtection="0">
      <alignment horizontal="center" vertical="center"/>
    </xf>
    <xf numFmtId="59" fontId="0" borderId="22" applyNumberFormat="1" applyFont="1" applyFill="0" applyBorder="1" applyAlignment="1" applyProtection="0">
      <alignment horizontal="center" vertical="center"/>
    </xf>
    <xf numFmtId="49" fontId="0" fillId="13" borderId="13" applyNumberFormat="1" applyFont="1" applyFill="1" applyBorder="1" applyAlignment="1" applyProtection="0">
      <alignment horizontal="center" vertical="center"/>
    </xf>
    <xf numFmtId="59" fontId="0" fillId="13" borderId="13" applyNumberFormat="1" applyFont="1" applyFill="1" applyBorder="1" applyAlignment="1" applyProtection="0">
      <alignment horizontal="center" vertical="center"/>
    </xf>
    <xf numFmtId="59" fontId="15" fillId="14" borderId="21" applyNumberFormat="1" applyFont="1" applyFill="1" applyBorder="1" applyAlignment="1" applyProtection="0">
      <alignment horizontal="center" vertical="center"/>
    </xf>
    <xf numFmtId="49" fontId="15" fillId="14" borderId="13" applyNumberFormat="1" applyFont="1" applyFill="1" applyBorder="1" applyAlignment="1" applyProtection="0">
      <alignment horizontal="center" vertical="center"/>
    </xf>
    <xf numFmtId="0" fontId="15" fillId="14" borderId="13" applyNumberFormat="0" applyFont="1" applyFill="1" applyBorder="1" applyAlignment="1" applyProtection="0">
      <alignment horizontal="center" vertical="center"/>
    </xf>
    <xf numFmtId="49" fontId="16" fillId="15" borderId="13" applyNumberFormat="1" applyFont="1" applyFill="1" applyBorder="1" applyAlignment="1" applyProtection="0">
      <alignment horizontal="center" vertical="center"/>
    </xf>
    <xf numFmtId="0" fontId="16" fillId="15" borderId="13" applyNumberFormat="0" applyFont="1" applyFill="1" applyBorder="1" applyAlignment="1" applyProtection="0">
      <alignment horizontal="center" vertical="center"/>
    </xf>
    <xf numFmtId="49" fontId="17" fillId="16" borderId="13" applyNumberFormat="1" applyFont="1" applyFill="1" applyBorder="1" applyAlignment="1" applyProtection="0">
      <alignment horizontal="center" vertical="center"/>
    </xf>
    <xf numFmtId="0" fontId="17" fillId="16" borderId="13" applyNumberFormat="0" applyFont="1" applyFill="1" applyBorder="1" applyAlignment="1" applyProtection="0">
      <alignment horizontal="center" vertical="center"/>
    </xf>
    <xf numFmtId="49" fontId="0" borderId="15" applyNumberFormat="1" applyFont="1" applyFill="0" applyBorder="1" applyAlignment="1" applyProtection="0">
      <alignment horizontal="center" vertical="center"/>
    </xf>
    <xf numFmtId="59" fontId="0" borderId="15" applyNumberFormat="1" applyFont="1" applyFill="0" applyBorder="1" applyAlignment="1" applyProtection="0">
      <alignment horizontal="center" vertical="center"/>
    </xf>
    <xf numFmtId="59" fontId="15" borderId="22" applyNumberFormat="1" applyFont="1" applyFill="0" applyBorder="1" applyAlignment="1" applyProtection="0">
      <alignment horizontal="center" vertical="center"/>
    </xf>
    <xf numFmtId="59" fontId="5" fillId="2" borderId="21" applyNumberFormat="1" applyFont="1" applyFill="1" applyBorder="1" applyAlignment="1" applyProtection="0">
      <alignment vertical="center" wrapText="1"/>
    </xf>
    <xf numFmtId="49" fontId="4" fillId="11" borderId="23" applyNumberFormat="1" applyFont="1" applyFill="1" applyBorder="1" applyAlignment="1" applyProtection="0">
      <alignment horizontal="center" vertical="center" wrapText="1"/>
    </xf>
    <xf numFmtId="59" fontId="4" fillId="11" borderId="23" applyNumberFormat="1" applyFont="1" applyFill="1" applyBorder="1" applyAlignment="1" applyProtection="0">
      <alignment horizontal="center" vertical="center"/>
    </xf>
    <xf numFmtId="59" fontId="13" fillId="11" borderId="23" applyNumberFormat="1" applyFont="1" applyFill="1" applyBorder="1" applyAlignment="1" applyProtection="0">
      <alignment horizontal="center" vertical="center"/>
    </xf>
    <xf numFmtId="0" fontId="0" borderId="8" applyNumberFormat="0" applyFont="1" applyFill="0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9" fontId="4" fillId="17" borderId="3" applyNumberFormat="1" applyFont="1" applyFill="1" applyBorder="1" applyAlignment="1" applyProtection="0">
      <alignment horizontal="center" vertical="center" wrapText="1"/>
    </xf>
    <xf numFmtId="9" fontId="6" fillId="6" borderId="6" applyNumberFormat="1" applyFont="1" applyFill="1" applyBorder="1" applyAlignment="1" applyProtection="0">
      <alignment horizontal="center" vertical="center"/>
    </xf>
    <xf numFmtId="9" fontId="6" fillId="17" borderId="3" applyNumberFormat="1" applyFont="1" applyFill="1" applyBorder="1" applyAlignment="1" applyProtection="0">
      <alignment horizontal="center" vertical="center" wrapText="1"/>
    </xf>
    <xf numFmtId="9" fontId="7" fillId="6" borderId="7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0" fontId="3" borderId="1" applyNumberFormat="0" applyFont="1" applyFill="0" applyBorder="1" applyAlignment="1" applyProtection="0">
      <alignment vertical="center"/>
    </xf>
    <xf numFmtId="59" fontId="4" fillId="18" borderId="3" applyNumberFormat="1" applyFont="1" applyFill="1" applyBorder="1" applyAlignment="1" applyProtection="0">
      <alignment horizontal="center" vertical="center" wrapText="1"/>
    </xf>
    <xf numFmtId="70" fontId="0" borderId="3" applyNumberFormat="1" applyFont="1" applyFill="0" applyBorder="1" applyAlignment="1" applyProtection="0">
      <alignment horizontal="center" vertical="center"/>
    </xf>
    <xf numFmtId="0" fontId="13" fillId="8" borderId="3" applyNumberFormat="0" applyFont="1" applyFill="1" applyBorder="1" applyAlignment="1" applyProtection="0">
      <alignment horizontal="center" vertical="center"/>
    </xf>
    <xf numFmtId="59" fontId="13" fillId="8" borderId="3" applyNumberFormat="1" applyFont="1" applyFill="1" applyBorder="1" applyAlignment="1" applyProtection="0">
      <alignment horizontal="center" vertical="center"/>
    </xf>
    <xf numFmtId="0" fontId="13" fillId="8" borderId="3" applyNumberFormat="1" applyFont="1" applyFill="1" applyBorder="1" applyAlignment="1" applyProtection="0">
      <alignment horizontal="center" vertical="center"/>
    </xf>
    <xf numFmtId="0" fontId="4" fillId="8" borderId="3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center"/>
    </xf>
    <xf numFmtId="49" fontId="5" fillId="8" borderId="3" applyNumberFormat="1" applyFont="1" applyFill="1" applyBorder="1" applyAlignment="1" applyProtection="0">
      <alignment horizontal="center" vertical="center" wrapText="1"/>
    </xf>
    <xf numFmtId="59" fontId="4" fillId="8" borderId="3" applyNumberFormat="1" applyFont="1" applyFill="1" applyBorder="1" applyAlignment="1" applyProtection="0">
      <alignment horizontal="center" vertical="center" wrapText="1"/>
    </xf>
    <xf numFmtId="0" fontId="5" borderId="1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4" fillId="3" borderId="3" applyNumberFormat="1" applyFont="1" applyFill="1" applyBorder="1" applyAlignment="1" applyProtection="0">
      <alignment horizontal="center" vertical="center"/>
    </xf>
    <xf numFmtId="60" fontId="5" borderId="3" applyNumberFormat="1" applyFont="1" applyFill="0" applyBorder="1" applyAlignment="1" applyProtection="0">
      <alignment horizontal="center" vertical="center"/>
    </xf>
    <xf numFmtId="2" fontId="5" borderId="3" applyNumberFormat="1" applyFont="1" applyFill="0" applyBorder="1" applyAlignment="1" applyProtection="0">
      <alignment horizontal="center" vertical="center"/>
    </xf>
    <xf numFmtId="2" fontId="4" fillId="8" borderId="3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0" fontId="4" fillId="2" borderId="24" applyNumberFormat="0" applyFont="1" applyFill="1" applyBorder="1" applyAlignment="1" applyProtection="0">
      <alignment horizontal="center" vertical="center" wrapText="1"/>
    </xf>
    <xf numFmtId="0" fontId="4" fillId="2" borderId="25" applyNumberFormat="0" applyFont="1" applyFill="1" applyBorder="1" applyAlignment="1" applyProtection="0">
      <alignment horizontal="center" vertical="center" wrapText="1"/>
    </xf>
    <xf numFmtId="59" fontId="4" fillId="2" borderId="25" applyNumberFormat="1" applyFont="1" applyFill="1" applyBorder="1" applyAlignment="1" applyProtection="0">
      <alignment horizontal="center" vertical="center" wrapText="1"/>
    </xf>
    <xf numFmtId="0" fontId="0" borderId="26" applyNumberFormat="0" applyFont="1" applyFill="0" applyBorder="1" applyAlignment="1" applyProtection="0">
      <alignment vertical="center"/>
    </xf>
    <xf numFmtId="49" fontId="4" borderId="27" applyNumberFormat="1" applyFont="1" applyFill="0" applyBorder="1" applyAlignment="1" applyProtection="0">
      <alignment vertical="center"/>
    </xf>
    <xf numFmtId="0" fontId="0" borderId="27" applyNumberFormat="0" applyFont="1" applyFill="0" applyBorder="1" applyAlignment="1" applyProtection="0">
      <alignment vertical="center"/>
    </xf>
    <xf numFmtId="0" fontId="0" borderId="15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borderId="28" applyNumberFormat="1" applyFont="1" applyFill="0" applyBorder="1" applyAlignment="1" applyProtection="0">
      <alignment vertical="center"/>
    </xf>
    <xf numFmtId="0" fontId="0" borderId="29" applyNumberFormat="0" applyFont="1" applyFill="0" applyBorder="1" applyAlignment="1" applyProtection="0">
      <alignment vertical="center"/>
    </xf>
    <xf numFmtId="0" fontId="0" borderId="30" applyNumberFormat="0" applyFont="1" applyFill="0" applyBorder="1" applyAlignment="1" applyProtection="0">
      <alignment vertical="center"/>
    </xf>
    <xf numFmtId="49" fontId="4" borderId="31" applyNumberFormat="1" applyFont="1" applyFill="0" applyBorder="1" applyAlignment="1" applyProtection="0">
      <alignment vertical="center"/>
    </xf>
    <xf numFmtId="0" fontId="0" borderId="32" applyNumberFormat="0" applyFont="1" applyFill="0" applyBorder="1" applyAlignment="1" applyProtection="0">
      <alignment vertical="center"/>
    </xf>
    <xf numFmtId="0" fontId="0" borderId="13" applyNumberFormat="0" applyFont="1" applyFill="0" applyBorder="1" applyAlignment="1" applyProtection="0">
      <alignment vertical="center"/>
    </xf>
    <xf numFmtId="0" fontId="0" borderId="33" applyNumberFormat="0" applyFont="1" applyFill="0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center"/>
    </xf>
    <xf numFmtId="59" fontId="4" fillId="19" borderId="3" applyNumberFormat="1" applyFont="1" applyFill="1" applyBorder="1" applyAlignment="1" applyProtection="0">
      <alignment horizontal="center" vertical="center" wrapText="1"/>
    </xf>
    <xf numFmtId="9" fontId="5" fillId="2" borderId="3" applyNumberFormat="1" applyFont="1" applyFill="1" applyBorder="1" applyAlignment="1" applyProtection="0">
      <alignment horizontal="center" vertical="center" wrapText="1"/>
    </xf>
    <xf numFmtId="9" fontId="4" borderId="3" applyNumberFormat="1" applyFont="1" applyFill="0" applyBorder="1" applyAlignment="1" applyProtection="0">
      <alignment horizontal="center" vertical="center"/>
    </xf>
    <xf numFmtId="0" fontId="4" fillId="19" borderId="3" applyNumberFormat="1" applyFont="1" applyFill="1" applyBorder="1" applyAlignment="1" applyProtection="0">
      <alignment horizontal="center" vertical="center"/>
    </xf>
    <xf numFmtId="59" fontId="0" borderId="7" applyNumberFormat="1" applyFont="1" applyFill="0" applyBorder="1" applyAlignment="1" applyProtection="0">
      <alignment vertical="center"/>
    </xf>
    <xf numFmtId="9" fontId="6" fillId="8" borderId="3" applyNumberFormat="1" applyFont="1" applyFill="1" applyBorder="1" applyAlignment="1" applyProtection="0">
      <alignment horizontal="center" vertical="center" wrapText="1"/>
    </xf>
    <xf numFmtId="9" fontId="6" fillId="20" borderId="3" applyNumberFormat="1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horizontal="center" vertical="center"/>
    </xf>
    <xf numFmtId="0" fontId="5" borderId="3" applyNumberFormat="0" applyFont="1" applyFill="0" applyBorder="1" applyAlignment="1" applyProtection="0">
      <alignment horizontal="center" vertical="center"/>
    </xf>
    <xf numFmtId="0" fontId="4" fillId="5" borderId="3" applyNumberFormat="0" applyFont="1" applyFill="1" applyBorder="1" applyAlignment="1" applyProtection="0">
      <alignment horizontal="center" vertical="center"/>
    </xf>
    <xf numFmtId="1" fontId="4" fillId="8" borderId="3" applyNumberFormat="1" applyFont="1" applyFill="1" applyBorder="1" applyAlignment="1" applyProtection="0">
      <alignment horizontal="center" vertical="center"/>
    </xf>
    <xf numFmtId="0" fontId="0" borderId="24" applyNumberFormat="0" applyFont="1" applyFill="0" applyBorder="1" applyAlignment="1" applyProtection="0">
      <alignment vertical="center"/>
    </xf>
    <xf numFmtId="0" fontId="0" borderId="25" applyNumberFormat="0" applyFont="1" applyFill="0" applyBorder="1" applyAlignment="1" applyProtection="0">
      <alignment vertical="center"/>
    </xf>
    <xf numFmtId="0" fontId="0" borderId="34" applyNumberFormat="0" applyFont="1" applyFill="0" applyBorder="1" applyAlignment="1" applyProtection="0">
      <alignment vertical="center"/>
    </xf>
    <xf numFmtId="0" fontId="5" borderId="32" applyNumberFormat="0" applyFont="1" applyFill="0" applyBorder="1" applyAlignment="1" applyProtection="0">
      <alignment vertical="center"/>
    </xf>
    <xf numFmtId="0" fontId="0" borderId="35" applyNumberFormat="0" applyFont="1" applyFill="0" applyBorder="1" applyAlignment="1" applyProtection="0">
      <alignment vertical="center"/>
    </xf>
    <xf numFmtId="0" fontId="0" borderId="36" applyNumberFormat="0" applyFont="1" applyFill="0" applyBorder="1" applyAlignment="1" applyProtection="0">
      <alignment vertical="center"/>
    </xf>
    <xf numFmtId="0" fontId="4" fillId="17" borderId="3" applyNumberFormat="1" applyFont="1" applyFill="1" applyBorder="1" applyAlignment="1" applyProtection="0">
      <alignment horizontal="center" vertical="center" wrapText="1"/>
    </xf>
    <xf numFmtId="2" fontId="4" fillId="11" borderId="3" applyNumberFormat="1" applyFont="1" applyFill="1" applyBorder="1" applyAlignment="1" applyProtection="0">
      <alignment horizontal="center" vertical="center" wrapText="1"/>
    </xf>
    <xf numFmtId="1" fontId="0" borderId="3" applyNumberFormat="1" applyFont="1" applyFill="0" applyBorder="1" applyAlignment="1" applyProtection="0">
      <alignment horizontal="center" vertical="center"/>
    </xf>
    <xf numFmtId="1" fontId="0" borderId="7" applyNumberFormat="1" applyFont="1" applyFill="0" applyBorder="1" applyAlignment="1" applyProtection="0">
      <alignment horizontal="center" vertical="center"/>
    </xf>
    <xf numFmtId="2" fontId="0" borderId="3" applyNumberFormat="1" applyFont="1" applyFill="0" applyBorder="1" applyAlignment="1" applyProtection="0">
      <alignment vertical="center"/>
    </xf>
    <xf numFmtId="61" fontId="0" borderId="3" applyNumberFormat="1" applyFont="1" applyFill="0" applyBorder="1" applyAlignment="1" applyProtection="0">
      <alignment vertical="center"/>
    </xf>
    <xf numFmtId="62" fontId="0" borderId="3" applyNumberFormat="1" applyFont="1" applyFill="0" applyBorder="1" applyAlignment="1" applyProtection="0">
      <alignment vertical="center"/>
    </xf>
    <xf numFmtId="1" fontId="0" borderId="3" applyNumberFormat="1" applyFont="1" applyFill="0" applyBorder="1" applyAlignment="1" applyProtection="0">
      <alignment vertical="center"/>
    </xf>
    <xf numFmtId="1" fontId="0" borderId="7" applyNumberFormat="1" applyFont="1" applyFill="0" applyBorder="1" applyAlignment="1" applyProtection="0">
      <alignment vertical="center"/>
    </xf>
    <xf numFmtId="61" fontId="0" fillId="8" borderId="3" applyNumberFormat="1" applyFont="1" applyFill="1" applyBorder="1" applyAlignment="1" applyProtection="0">
      <alignment vertical="center"/>
    </xf>
    <xf numFmtId="0" fontId="0" borderId="37" applyNumberFormat="0" applyFont="1" applyFill="0" applyBorder="1" applyAlignment="1" applyProtection="0">
      <alignment vertical="center"/>
    </xf>
    <xf numFmtId="0" fontId="0" borderId="38" applyNumberFormat="0" applyFont="1" applyFill="0" applyBorder="1" applyAlignment="1" applyProtection="0">
      <alignment vertical="center"/>
    </xf>
    <xf numFmtId="0" fontId="0" borderId="39" applyNumberFormat="0" applyFont="1" applyFill="0" applyBorder="1" applyAlignment="1" applyProtection="0">
      <alignment vertical="center"/>
    </xf>
    <xf numFmtId="49" fontId="0" borderId="39" applyNumberFormat="1" applyFont="1" applyFill="0" applyBorder="1" applyAlignment="1" applyProtection="0">
      <alignment vertical="center"/>
    </xf>
    <xf numFmtId="0" fontId="0" borderId="40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2" applyNumberFormat="0" applyFont="1" applyFill="0" applyBorder="0" applyAlignment="1" applyProtection="0">
      <alignment horizontal="center" vertical="center"/>
    </xf>
    <xf numFmtId="49" fontId="13" fillId="21" borderId="41" applyNumberFormat="1" applyFont="1" applyFill="1" applyBorder="1" applyAlignment="1" applyProtection="0">
      <alignment vertical="center"/>
    </xf>
    <xf numFmtId="49" fontId="20" fillId="3" borderId="3" applyNumberFormat="1" applyFont="1" applyFill="1" applyBorder="1" applyAlignment="1" applyProtection="0">
      <alignment horizontal="center" vertical="center" wrapText="1"/>
    </xf>
    <xf numFmtId="0" fontId="0" borderId="42" applyNumberFormat="1" applyFont="1" applyFill="0" applyBorder="1" applyAlignment="1" applyProtection="0">
      <alignment vertical="center"/>
    </xf>
    <xf numFmtId="0" fontId="0" borderId="43" applyNumberFormat="1" applyFont="1" applyFill="0" applyBorder="1" applyAlignment="1" applyProtection="0">
      <alignment vertical="center"/>
    </xf>
    <xf numFmtId="61" fontId="0" borderId="43" applyNumberFormat="1" applyFont="1" applyFill="0" applyBorder="1" applyAlignment="1" applyProtection="0">
      <alignment vertical="center"/>
    </xf>
    <xf numFmtId="0" fontId="0" borderId="43" applyNumberFormat="0" applyFont="1" applyFill="0" applyBorder="1" applyAlignment="1" applyProtection="0">
      <alignment vertical="center"/>
    </xf>
    <xf numFmtId="0" fontId="0" borderId="44" applyNumberFormat="1" applyFont="1" applyFill="0" applyBorder="1" applyAlignment="1" applyProtection="0">
      <alignment vertical="center"/>
    </xf>
    <xf numFmtId="0" fontId="0" borderId="45" applyNumberFormat="1" applyFont="1" applyFill="0" applyBorder="1" applyAlignment="1" applyProtection="0">
      <alignment vertical="center"/>
    </xf>
    <xf numFmtId="61" fontId="0" borderId="45" applyNumberFormat="1" applyFont="1" applyFill="0" applyBorder="1" applyAlignment="1" applyProtection="0">
      <alignment vertical="center"/>
    </xf>
    <xf numFmtId="0" fontId="0" borderId="45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21" fillId="3" borderId="3" applyNumberFormat="1" applyFont="1" applyFill="1" applyBorder="1" applyAlignment="1" applyProtection="0">
      <alignment horizontal="center" vertical="center" wrapText="1"/>
    </xf>
    <xf numFmtId="0" fontId="22" fillId="21" borderId="46" applyNumberFormat="0" applyFont="1" applyFill="1" applyBorder="1" applyAlignment="1" applyProtection="0">
      <alignment vertical="center" wrapText="1"/>
    </xf>
    <xf numFmtId="49" fontId="23" fillId="2" borderId="3" applyNumberFormat="1" applyFont="1" applyFill="1" applyBorder="1" applyAlignment="1" applyProtection="0">
      <alignment horizontal="center" vertical="center" wrapText="1"/>
    </xf>
    <xf numFmtId="0" fontId="23" fillId="2" borderId="3" applyNumberFormat="1" applyFont="1" applyFill="1" applyBorder="1" applyAlignment="1" applyProtection="0">
      <alignment horizontal="center" vertical="center" wrapText="1"/>
    </xf>
    <xf numFmtId="0" fontId="24" borderId="3" applyNumberFormat="0" applyFont="1" applyFill="0" applyBorder="1" applyAlignment="1" applyProtection="0">
      <alignment vertical="center" wrapText="1"/>
    </xf>
    <xf numFmtId="0" fontId="25" borderId="47" applyNumberFormat="0" applyFont="1" applyFill="0" applyBorder="1" applyAlignment="1" applyProtection="0">
      <alignment vertical="center" wrapText="1"/>
    </xf>
    <xf numFmtId="0" fontId="25" borderId="44" applyNumberFormat="0" applyFont="1" applyFill="0" applyBorder="1" applyAlignment="1" applyProtection="0">
      <alignment vertical="center" wrapText="1"/>
    </xf>
    <xf numFmtId="49" fontId="24" borderId="3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center"/>
    </xf>
    <xf numFmtId="59" fontId="5" fillId="22" borderId="3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center"/>
    </xf>
    <xf numFmtId="0" fontId="5" fillId="2" borderId="3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59" fontId="0" borderId="11" applyNumberFormat="1" applyFont="1" applyFill="0" applyBorder="1" applyAlignment="1" applyProtection="0">
      <alignment vertical="center"/>
    </xf>
    <xf numFmtId="0" fontId="4" fillId="19" borderId="3" applyNumberFormat="0" applyFont="1" applyFill="1" applyBorder="1" applyAlignment="1" applyProtection="0">
      <alignment horizontal="center" vertical="center"/>
    </xf>
    <xf numFmtId="0" fontId="0" borderId="48" applyNumberFormat="0" applyFont="1" applyFill="0" applyBorder="1" applyAlignment="1" applyProtection="0">
      <alignment horizontal="center" vertical="center"/>
    </xf>
    <xf numFmtId="0" fontId="0" borderId="49" applyNumberFormat="0" applyFont="1" applyFill="0" applyBorder="1" applyAlignment="1" applyProtection="0">
      <alignment vertical="center"/>
    </xf>
    <xf numFmtId="1" fontId="0" borderId="11" applyNumberFormat="1" applyFont="1" applyFill="0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5" fillId="22" borderId="3" applyNumberFormat="1" applyFont="1" applyFill="1" applyBorder="1" applyAlignment="1" applyProtection="0">
      <alignment horizontal="center" vertical="center" wrapText="1"/>
    </xf>
    <xf numFmtId="0" fontId="0" borderId="3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4" fillId="11" borderId="3" applyNumberFormat="1" applyFont="1" applyFill="1" applyBorder="1" applyAlignment="1" applyProtection="0">
      <alignment horizontal="center" vertical="center"/>
    </xf>
    <xf numFmtId="1" fontId="0" borderId="1" applyNumberFormat="1" applyFont="1" applyFill="0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9" fontId="6" borderId="3" applyNumberFormat="1" applyFont="1" applyFill="0" applyBorder="1" applyAlignment="1" applyProtection="0">
      <alignment horizontal="center" vertical="center"/>
    </xf>
    <xf numFmtId="0" fontId="0" borderId="48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29" applyNumberFormat="0" applyFont="1" applyFill="1" applyBorder="1" applyAlignment="1" applyProtection="0">
      <alignment vertical="center"/>
    </xf>
    <xf numFmtId="0" fontId="0" fillId="2" borderId="30" applyNumberFormat="0" applyFont="1" applyFill="1" applyBorder="1" applyAlignment="1" applyProtection="0">
      <alignment vertical="center"/>
    </xf>
    <xf numFmtId="0" fontId="0" fillId="2" borderId="13" applyNumberFormat="0" applyFont="1" applyFill="1" applyBorder="1" applyAlignment="1" applyProtection="0">
      <alignment vertical="center"/>
    </xf>
    <xf numFmtId="0" fontId="0" fillId="2" borderId="35" applyNumberFormat="0" applyFont="1" applyFill="1" applyBorder="1" applyAlignment="1" applyProtection="0">
      <alignment vertical="center"/>
    </xf>
    <xf numFmtId="0" fontId="0" fillId="2" borderId="33" applyNumberFormat="0" applyFont="1" applyFill="1" applyBorder="1" applyAlignment="1" applyProtection="0">
      <alignment vertical="center"/>
    </xf>
    <xf numFmtId="59" fontId="0" borderId="36" applyNumberFormat="1" applyFont="1" applyFill="0" applyBorder="1" applyAlignment="1" applyProtection="0">
      <alignment vertical="center"/>
    </xf>
    <xf numFmtId="59" fontId="0" fillId="2" borderId="50" applyNumberFormat="1" applyFont="1" applyFill="1" applyBorder="1" applyAlignment="1" applyProtection="0">
      <alignment vertical="center"/>
    </xf>
    <xf numFmtId="59" fontId="0" fillId="2" borderId="13" applyNumberFormat="1" applyFont="1" applyFill="1" applyBorder="1" applyAlignment="1" applyProtection="0">
      <alignment vertical="center"/>
    </xf>
    <xf numFmtId="0" fontId="0" fillId="2" borderId="34" applyNumberFormat="0" applyFont="1" applyFill="1" applyBorder="1" applyAlignment="1" applyProtection="0">
      <alignment vertical="center"/>
    </xf>
    <xf numFmtId="0" fontId="4" fillId="2" borderId="3" applyNumberFormat="1" applyFont="1" applyFill="1" applyBorder="1" applyAlignment="1" applyProtection="0">
      <alignment horizontal="center" vertical="center" wrapText="1"/>
    </xf>
    <xf numFmtId="1" fontId="0" borderId="36" applyNumberFormat="1" applyFont="1" applyFill="0" applyBorder="1" applyAlignment="1" applyProtection="0">
      <alignment horizontal="center" vertical="center"/>
    </xf>
    <xf numFmtId="2" fontId="26" borderId="3" applyNumberFormat="1" applyFont="1" applyFill="0" applyBorder="1" applyAlignment="1" applyProtection="0">
      <alignment horizontal="center" vertical="center"/>
    </xf>
    <xf numFmtId="61" fontId="26" borderId="3" applyNumberFormat="1" applyFont="1" applyFill="0" applyBorder="1" applyAlignment="1" applyProtection="0">
      <alignment horizontal="center" vertical="center"/>
    </xf>
    <xf numFmtId="62" fontId="26" borderId="3" applyNumberFormat="1" applyFont="1" applyFill="0" applyBorder="1" applyAlignment="1" applyProtection="0">
      <alignment horizontal="center" vertical="center"/>
    </xf>
    <xf numFmtId="0" fontId="0" borderId="39" applyNumberFormat="1" applyFont="1" applyFill="0" applyBorder="1" applyAlignment="1" applyProtection="0">
      <alignment vertical="center"/>
    </xf>
    <xf numFmtId="0" fontId="0" fillId="2" borderId="39" applyNumberFormat="0" applyFont="1" applyFill="1" applyBorder="1" applyAlignment="1" applyProtection="0">
      <alignment vertical="center"/>
    </xf>
    <xf numFmtId="0" fontId="0" fillId="2" borderId="40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3" borderId="29" applyNumberFormat="0" applyFont="1" applyFill="0" applyBorder="1" applyAlignment="1" applyProtection="0">
      <alignment vertical="center"/>
    </xf>
    <xf numFmtId="0" fontId="4" borderId="32" applyNumberFormat="0" applyFont="1" applyFill="0" applyBorder="1" applyAlignment="1" applyProtection="0">
      <alignment vertical="center"/>
    </xf>
    <xf numFmtId="49" fontId="4" fillId="3" borderId="3" applyNumberFormat="1" applyFont="1" applyFill="1" applyBorder="1" applyAlignment="1" applyProtection="0">
      <alignment horizontal="left" vertical="center" wrapText="1"/>
    </xf>
    <xf numFmtId="49" fontId="0" borderId="32" applyNumberFormat="1" applyFont="1" applyFill="0" applyBorder="1" applyAlignment="1" applyProtection="0">
      <alignment vertical="center"/>
    </xf>
    <xf numFmtId="0" fontId="0" borderId="50" applyNumberFormat="0" applyFont="1" applyFill="0" applyBorder="1" applyAlignment="1" applyProtection="0">
      <alignment vertical="center"/>
    </xf>
    <xf numFmtId="49" fontId="13" fillId="8" borderId="5" applyNumberFormat="1" applyFont="1" applyFill="1" applyBorder="1" applyAlignment="1" applyProtection="0">
      <alignment horizontal="center" vertical="center"/>
    </xf>
    <xf numFmtId="49" fontId="13" fillId="8" borderId="16" applyNumberFormat="1" applyFont="1" applyFill="1" applyBorder="1" applyAlignment="1" applyProtection="0">
      <alignment horizontal="center" vertical="center"/>
    </xf>
    <xf numFmtId="0" fontId="13" fillId="8" borderId="18" applyNumberFormat="0" applyFont="1" applyFill="1" applyBorder="1" applyAlignment="1" applyProtection="0">
      <alignment horizontal="center" vertical="center"/>
    </xf>
    <xf numFmtId="49" fontId="13" fillId="8" borderId="3" applyNumberFormat="1" applyFont="1" applyFill="1" applyBorder="1" applyAlignment="1" applyProtection="0">
      <alignment horizontal="center" vertical="center"/>
    </xf>
    <xf numFmtId="0" fontId="13" fillId="8" borderId="6" applyNumberFormat="0" applyFont="1" applyFill="1" applyBorder="1" applyAlignment="1" applyProtection="0">
      <alignment horizontal="center" vertical="center"/>
    </xf>
    <xf numFmtId="0" fontId="0" fillId="23" borderId="3" applyNumberFormat="1" applyFont="1" applyFill="1" applyBorder="1" applyAlignment="1" applyProtection="0">
      <alignment vertical="center"/>
    </xf>
    <xf numFmtId="49" fontId="0" borderId="3" applyNumberFormat="1" applyFont="1" applyFill="0" applyBorder="1" applyAlignment="1" applyProtection="0">
      <alignment vertical="center"/>
    </xf>
    <xf numFmtId="0" fontId="0" fillId="23" borderId="3" applyNumberFormat="1" applyFont="1" applyFill="1" applyBorder="1" applyAlignment="1" applyProtection="0">
      <alignment horizontal="center" vertical="center"/>
    </xf>
    <xf numFmtId="0" fontId="4" fillId="3" borderId="3" applyNumberFormat="0" applyFont="1" applyFill="1" applyBorder="1" applyAlignment="1" applyProtection="0">
      <alignment horizontal="center" vertical="center" wrapText="1"/>
    </xf>
    <xf numFmtId="0" fontId="5" fillId="3" borderId="3" applyNumberFormat="0" applyFont="1" applyFill="1" applyBorder="1" applyAlignment="1" applyProtection="0">
      <alignment horizontal="center" vertical="center" wrapText="1"/>
    </xf>
    <xf numFmtId="0" fontId="0" borderId="51" applyNumberFormat="0" applyFont="1" applyFill="0" applyBorder="1" applyAlignment="1" applyProtection="0">
      <alignment vertical="center"/>
    </xf>
    <xf numFmtId="0" fontId="0" borderId="52" applyNumberFormat="0" applyFont="1" applyFill="0" applyBorder="1" applyAlignment="1" applyProtection="0">
      <alignment vertical="center"/>
    </xf>
  </cellXfs>
  <cellStyles count="1">
    <cellStyle name="Normal" xfId="0" builtinId="0"/>
  </cellStyles>
  <dxfs count="21">
    <dxf>
      <font>
        <color rgb="ff9c0006"/>
      </font>
      <fill>
        <patternFill patternType="solid">
          <fgColor indexed="20"/>
          <bgColor indexed="21"/>
        </patternFill>
      </fill>
    </dxf>
    <dxf>
      <font>
        <color rgb="ff9c0006"/>
      </font>
      <fill>
        <patternFill patternType="solid">
          <fgColor indexed="20"/>
          <bgColor indexed="21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9c5700"/>
      </font>
      <fill>
        <patternFill patternType="solid">
          <fgColor indexed="20"/>
          <bgColor indexed="26"/>
        </patternFill>
      </fill>
    </dxf>
    <dxf>
      <font>
        <color rgb="ff9c0006"/>
      </font>
      <fill>
        <patternFill patternType="solid">
          <fgColor indexed="20"/>
          <bgColor indexed="21"/>
        </patternFill>
      </fill>
    </dxf>
    <dxf>
      <font>
        <color rgb="ff0070c0"/>
      </font>
      <fill>
        <patternFill patternType="solid">
          <fgColor indexed="20"/>
          <bgColor indexed="24"/>
        </patternFill>
      </fill>
    </dxf>
    <dxf>
      <font>
        <color rgb="ff006100"/>
      </font>
      <fill>
        <patternFill patternType="solid">
          <fgColor indexed="20"/>
          <bgColor indexed="29"/>
        </patternFill>
      </fill>
    </dxf>
    <dxf>
      <font>
        <color rgb="ff9c5700"/>
      </font>
      <fill>
        <patternFill patternType="solid">
          <fgColor indexed="20"/>
          <bgColor indexed="26"/>
        </patternFill>
      </fill>
    </dxf>
    <dxf>
      <font>
        <color rgb="ff9c0006"/>
      </font>
      <fill>
        <patternFill patternType="solid">
          <fgColor indexed="20"/>
          <bgColor indexed="21"/>
        </patternFill>
      </fill>
    </dxf>
    <dxf>
      <font>
        <color rgb="ff0070c0"/>
      </font>
      <fill>
        <patternFill patternType="solid">
          <fgColor indexed="20"/>
          <bgColor indexed="24"/>
        </patternFill>
      </fill>
    </dxf>
    <dxf>
      <font>
        <color rgb="ff0070c0"/>
      </font>
      <fill>
        <patternFill patternType="solid">
          <fgColor indexed="20"/>
          <bgColor indexed="24"/>
        </patternFill>
      </fill>
    </dxf>
    <dxf>
      <font>
        <color rgb="ff006100"/>
      </font>
      <fill>
        <patternFill patternType="solid">
          <fgColor indexed="20"/>
          <bgColor indexed="29"/>
        </patternFill>
      </fill>
    </dxf>
    <dxf>
      <font>
        <color rgb="ff006100"/>
      </font>
      <fill>
        <patternFill patternType="solid">
          <fgColor indexed="20"/>
          <bgColor indexed="29"/>
        </patternFill>
      </fill>
    </dxf>
    <dxf>
      <font>
        <color rgb="ff9c0006"/>
      </font>
      <fill>
        <patternFill patternType="solid">
          <fgColor indexed="20"/>
          <bgColor indexed="21"/>
        </patternFill>
      </fill>
    </dxf>
    <dxf>
      <font>
        <color rgb="ff0070c0"/>
      </font>
      <fill>
        <patternFill patternType="solid">
          <fgColor indexed="20"/>
          <bgColor indexed="24"/>
        </patternFill>
      </fill>
    </dxf>
    <dxf>
      <font>
        <color rgb="ff006100"/>
      </font>
      <fill>
        <patternFill patternType="solid">
          <fgColor indexed="20"/>
          <bgColor indexed="29"/>
        </patternFill>
      </fill>
    </dxf>
    <dxf>
      <font>
        <color rgb="ff9c5700"/>
      </font>
      <fill>
        <patternFill patternType="solid">
          <fgColor indexed="20"/>
          <bgColor indexed="26"/>
        </patternFill>
      </fill>
    </dxf>
    <dxf>
      <font>
        <color rgb="ff9c0006"/>
      </font>
      <fill>
        <patternFill patternType="solid">
          <fgColor indexed="20"/>
          <bgColor indexed="21"/>
        </patternFill>
      </fill>
    </dxf>
    <dxf>
      <font>
        <color rgb="ff9c0006"/>
      </font>
      <fill>
        <patternFill patternType="solid">
          <fgColor indexed="20"/>
          <bgColor indexed="21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e699"/>
      <rgbColor rgb="ffbdd6ee"/>
      <rgbColor rgb="ffff0000"/>
      <rgbColor rgb="ffffc000"/>
      <rgbColor rgb="fffaf3db"/>
      <rgbColor rgb="ffd9d9d9"/>
      <rgbColor rgb="ff3f3f3f"/>
      <rgbColor rgb="ff595959"/>
      <rgbColor rgb="ffc5deb5"/>
      <rgbColor rgb="00000000"/>
      <rgbColor rgb="ffffc7ce"/>
      <rgbColor rgb="ff9c0006"/>
      <rgbColor rgb="ff0000ff"/>
      <rgbColor rgb="ffdeeaf6"/>
      <rgbColor rgb="ffc8c8c8"/>
      <rgbColor rgb="ffffeb9c"/>
      <rgbColor rgb="ff9c5700"/>
      <rgbColor rgb="ff0070c0"/>
      <rgbColor rgb="ffc6efce"/>
      <rgbColor rgb="ff006100"/>
      <rgbColor rgb="fffbe4d5"/>
      <rgbColor rgb="ffbed7ee"/>
      <rgbColor rgb="ffb4c6e7"/>
      <rgbColor rgb="ffbfbfbf"/>
      <rgbColor rgb="ffbdc0bf"/>
      <rgbColor rgb="ffa5a5a5"/>
      <rgbColor rgb="ffd9e2f3"/>
      <rgbColor rgb="fffff2c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400" u="none">
                <a:solidFill>
                  <a:srgbClr val="595959"/>
                </a:solidFill>
                <a:latin typeface="Calibri"/>
              </a:defRPr>
            </a:pPr>
            <a:r>
              <a:rPr b="1" i="0" strike="noStrike" sz="1400" u="none">
                <a:solidFill>
                  <a:srgbClr val="595959"/>
                </a:solidFill>
                <a:latin typeface="Calibri"/>
              </a:rPr>
              <a:t>라스칼 시즌별 팀 타율</a:t>
            </a:r>
          </a:p>
        </c:rich>
      </c:tx>
      <c:layout>
        <c:manualLayout>
          <c:xMode val="edge"/>
          <c:yMode val="edge"/>
          <c:x val="0.44609"/>
          <c:y val="0"/>
          <c:w val="0.10782"/>
          <c:h val="0.0712189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455908"/>
          <c:y val="0.0712189"/>
          <c:w val="0.949409"/>
          <c:h val="0.877953"/>
        </c:manualLayout>
      </c:layout>
      <c:lineChart>
        <c:grouping val="standard"/>
        <c:varyColors val="0"/>
        <c:ser>
          <c:idx val="0"/>
          <c:order val="0"/>
          <c:tx>
            <c:strRef>
              <c:f>'시즌별 정리'!$A$28</c:f>
              <c:strCache>
                <c:ptCount val="1"/>
                <c:pt idx="0">
                  <c:v>총합</c:v>
                </c:pt>
              </c:strCache>
            </c:strRef>
          </c:tx>
          <c:spPr>
            <a:solidFill>
              <a:schemeClr val="accent1"/>
            </a:solidFill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rnd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marker>
          <c:dLbls>
            <c:numFmt formatCode="0.000" sourceLinked="0"/>
            <c:txPr>
              <a:bodyPr/>
              <a:lstStyle/>
              <a:p>
                <a:pPr>
                  <a:defRPr b="1" i="0" strike="noStrike" sz="1400" u="none">
                    <a:solidFill>
                      <a:srgbClr val="404040"/>
                    </a:solidFill>
                    <a:latin typeface="Helvetica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'시즌별 정리'!$B$3:$F$3</c:f>
              <c:strCache>
                <c:ptCount val="5"/>
                <c:pt idx="0">
                  <c:v>22년</c:v>
                </c:pt>
                <c:pt idx="1">
                  <c:v>23년</c:v>
                </c:pt>
                <c:pt idx="2">
                  <c:v/>
                </c:pt>
                <c:pt idx="3">
                  <c:v/>
                </c:pt>
                <c:pt idx="4">
                  <c:v>24년</c:v>
                </c:pt>
              </c:strCache>
            </c:strRef>
          </c:cat>
          <c:val>
            <c:numRef>
              <c:f>'시즌별 정리'!$B$28:$F$28</c:f>
              <c:numCache>
                <c:ptCount val="5"/>
                <c:pt idx="0">
                  <c:v>0.432836</c:v>
                </c:pt>
                <c:pt idx="1">
                  <c:v>0.342857</c:v>
                </c:pt>
                <c:pt idx="2">
                  <c:v>0.357488</c:v>
                </c:pt>
                <c:pt idx="3">
                  <c:v>0.370000</c:v>
                </c:pt>
                <c:pt idx="4">
                  <c:v>0.386076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1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0.1675"/>
        <c:minorUnit val="0.08375"/>
      </c:valAx>
      <c:spPr>
        <a:noFill/>
        <a:ln w="12700" cap="flat">
          <a:noFill/>
          <a:miter lim="400000"/>
        </a:ln>
        <a:effectLst/>
      </c:spPr>
    </c:plotArea>
    <c:plotVisOnly val="0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Calibri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Calibri"/>
              </a:rPr>
              <a:t>차트 제목</a:t>
            </a:r>
          </a:p>
        </c:rich>
      </c:tx>
      <c:layout>
        <c:manualLayout>
          <c:xMode val="edge"/>
          <c:yMode val="edge"/>
          <c:x val="0.480835"/>
          <c:y val="0"/>
          <c:w val="0.0383292"/>
          <c:h val="0.0618564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376856"/>
          <c:y val="0.0618564"/>
          <c:w val="0.957314"/>
          <c:h val="0.892354"/>
        </c:manualLayout>
      </c:layout>
      <c:lineChart>
        <c:grouping val="standar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marker>
          <c:dLbls>
            <c:numFmt formatCode="0.000" sourceLinked="0"/>
            <c:txPr>
              <a:bodyPr/>
              <a:lstStyle/>
              <a:p>
                <a:pPr>
                  <a:defRPr b="1" i="0" strike="noStrike" sz="1100" u="non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'시즌별 정리'!$B$3:$L$3</c:f>
              <c:strCache>
                <c:ptCount val="11"/>
                <c:pt idx="0">
                  <c:v>22년</c:v>
                </c:pt>
                <c:pt idx="1">
                  <c:v>23년</c:v>
                </c:pt>
                <c:pt idx="2">
                  <c:v/>
                </c:pt>
                <c:pt idx="3">
                  <c:v/>
                </c:pt>
                <c:pt idx="4">
                  <c:v>24년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>25년</c:v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'시즌별 정리'!$B$28:$L$28</c:f>
              <c:numCache>
                <c:ptCount val="9"/>
                <c:pt idx="0">
                  <c:v>0.432836</c:v>
                </c:pt>
                <c:pt idx="1">
                  <c:v>0.342857</c:v>
                </c:pt>
                <c:pt idx="2">
                  <c:v>0.357488</c:v>
                </c:pt>
                <c:pt idx="3">
                  <c:v>0.370000</c:v>
                </c:pt>
                <c:pt idx="4">
                  <c:v>0.386076</c:v>
                </c:pt>
                <c:pt idx="5">
                  <c:v>0.387324</c:v>
                </c:pt>
                <c:pt idx="6">
                  <c:v>0.424390</c:v>
                </c:pt>
                <c:pt idx="7">
                  <c:v>0.373418</c:v>
                </c:pt>
                <c:pt idx="8">
                  <c:v>0.400662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0.5"/>
          <c:min val="0.25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0.0625"/>
        <c:minorUnit val="0.03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21</xdr:col>
      <xdr:colOff>600059</xdr:colOff>
      <xdr:row>2</xdr:row>
      <xdr:rowOff>385039</xdr:rowOff>
    </xdr:from>
    <xdr:to>
      <xdr:col>34</xdr:col>
      <xdr:colOff>96603</xdr:colOff>
      <xdr:row>24</xdr:row>
      <xdr:rowOff>13738</xdr:rowOff>
    </xdr:to>
    <xdr:graphicFrame>
      <xdr:nvGraphicFramePr>
        <xdr:cNvPr id="2" name="차트 6"/>
        <xdr:cNvGraphicFramePr/>
      </xdr:nvGraphicFramePr>
      <xdr:xfrm>
        <a:off x="14735159" y="937489"/>
        <a:ext cx="8640545" cy="463885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14</xdr:col>
      <xdr:colOff>835338</xdr:colOff>
      <xdr:row>3</xdr:row>
      <xdr:rowOff>238950</xdr:rowOff>
    </xdr:from>
    <xdr:to>
      <xdr:col>30</xdr:col>
      <xdr:colOff>137795</xdr:colOff>
      <xdr:row>19</xdr:row>
      <xdr:rowOff>274503</xdr:rowOff>
    </xdr:to>
    <xdr:graphicFrame>
      <xdr:nvGraphicFramePr>
        <xdr:cNvPr id="4" name="차트 1"/>
        <xdr:cNvGraphicFramePr/>
      </xdr:nvGraphicFramePr>
      <xdr:xfrm>
        <a:off x="12887638" y="1010475"/>
        <a:ext cx="10453058" cy="534097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I37"/>
  <sheetViews>
    <sheetView workbookViewId="0" showGridLines="0" defaultGridColor="1"/>
  </sheetViews>
  <sheetFormatPr defaultColWidth="9" defaultRowHeight="16.5" customHeight="1" outlineLevelRow="0" outlineLevelCol="0"/>
  <cols>
    <col min="1" max="22" width="8.85156" style="1" customWidth="1"/>
    <col min="23" max="24" width="9" style="1" customWidth="1"/>
    <col min="25" max="25" width="10" style="1" customWidth="1"/>
    <col min="26" max="26" width="9" style="1" customWidth="1"/>
    <col min="27" max="27" width="11.1719" style="1" customWidth="1"/>
    <col min="28" max="35" width="9" style="1" customWidth="1"/>
    <col min="36" max="16384" width="9" style="1" customWidth="1"/>
  </cols>
  <sheetData>
    <row r="1" ht="26.2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6"/>
      <c r="V2" s="6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34.5" customHeight="1">
      <c r="A3" t="s" s="8">
        <v>2</v>
      </c>
      <c r="B3" t="s" s="8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21</v>
      </c>
      <c r="U3" t="s" s="8">
        <v>22</v>
      </c>
      <c r="V3" t="s" s="8">
        <v>23</v>
      </c>
      <c r="W3" s="9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15" customHeight="1">
      <c r="A4" t="s" s="8">
        <v>24</v>
      </c>
      <c r="B4" s="10">
        <v>6</v>
      </c>
      <c r="C4" s="11" cm="1">
        <f t="array" ref="C4">F4/E4</f>
        <v>0</v>
      </c>
      <c r="D4" s="10">
        <v>1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1</v>
      </c>
      <c r="N4" s="10">
        <v>0</v>
      </c>
      <c r="O4" s="10">
        <v>1</v>
      </c>
      <c r="P4" s="12" cm="1">
        <f t="array" ref="P4">O4/D4</f>
        <v>1</v>
      </c>
      <c r="Q4" s="13" cm="1">
        <f t="array" ref="Q4">(G4*1+H4*2+I4*3+J4*4)/E4</f>
        <v>0</v>
      </c>
      <c r="R4" s="14" cm="1">
        <f t="array" ref="R4">(F4+N4)/D4</f>
        <v>0</v>
      </c>
      <c r="S4" s="15" cm="1">
        <f t="array" ref="S4">R4+Q4</f>
        <v>0</v>
      </c>
      <c r="T4" s="16" cm="1">
        <f t="array" ref="T4">O4/(D4-(F4+N4))</f>
        <v>1</v>
      </c>
      <c r="U4" s="17" cm="1">
        <f t="array" ref="U4">RANK(R4,$R$4:$R$24)</f>
        <v>20</v>
      </c>
      <c r="V4" s="18" cm="1">
        <f t="array" ref="V4">RANK(S4,$S$4:$S$24)</f>
        <v>20</v>
      </c>
      <c r="W4" s="9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7.25" customHeight="1">
      <c r="A5" t="s" s="8">
        <v>25</v>
      </c>
      <c r="B5" s="10">
        <v>19</v>
      </c>
      <c r="C5" s="11" cm="1">
        <f t="array" ref="C5">F5/E5</f>
        <v>0.235294117647059</v>
      </c>
      <c r="D5" s="10">
        <v>34</v>
      </c>
      <c r="E5" s="10">
        <v>17</v>
      </c>
      <c r="F5" s="10">
        <v>4</v>
      </c>
      <c r="G5" s="10">
        <v>4</v>
      </c>
      <c r="H5" s="10">
        <v>0</v>
      </c>
      <c r="I5" s="10">
        <v>0</v>
      </c>
      <c r="J5" s="10">
        <v>0</v>
      </c>
      <c r="K5" s="10">
        <v>6</v>
      </c>
      <c r="L5" s="10">
        <v>6</v>
      </c>
      <c r="M5" s="10">
        <v>3</v>
      </c>
      <c r="N5" s="10">
        <v>16</v>
      </c>
      <c r="O5" s="10">
        <v>7</v>
      </c>
      <c r="P5" s="19" cm="1">
        <f t="array" ref="P5">O5/D5</f>
        <v>0.205882352941176</v>
      </c>
      <c r="Q5" s="13" cm="1">
        <f t="array" ref="Q5">(G5*1+H5*2+I5*3+J5*4)/E5</f>
        <v>0.235294117647059</v>
      </c>
      <c r="R5" s="14" cm="1">
        <f t="array" ref="R5">(F5+N5)/D5</f>
        <v>0.588235294117647</v>
      </c>
      <c r="S5" s="15" cm="1">
        <f t="array" ref="S5">R5+Q5</f>
        <v>0.823529411764706</v>
      </c>
      <c r="T5" s="20" cm="1">
        <f t="array" ref="T5">O5/(D5-(F5+N5))</f>
        <v>0.5</v>
      </c>
      <c r="U5" s="17" cm="1">
        <f t="array" ref="U5">RANK(R5,$R$4:$R$24)</f>
        <v>2</v>
      </c>
      <c r="V5" s="18" cm="1">
        <f t="array" ref="V5">RANK(S5,$S$4:$S$24)</f>
        <v>10</v>
      </c>
      <c r="W5" s="9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17.25" customHeight="1">
      <c r="A6" t="s" s="8">
        <v>26</v>
      </c>
      <c r="B6" s="10">
        <v>29</v>
      </c>
      <c r="C6" s="11" cm="1">
        <f t="array" ref="C6">F6/E6</f>
        <v>0.55</v>
      </c>
      <c r="D6" s="10">
        <v>78</v>
      </c>
      <c r="E6" s="10">
        <v>60</v>
      </c>
      <c r="F6" s="10">
        <v>33</v>
      </c>
      <c r="G6" s="10">
        <v>24</v>
      </c>
      <c r="H6" s="10">
        <v>7</v>
      </c>
      <c r="I6" s="10">
        <v>2</v>
      </c>
      <c r="J6" s="10">
        <v>0</v>
      </c>
      <c r="K6" s="10">
        <v>35</v>
      </c>
      <c r="L6" s="10">
        <v>30</v>
      </c>
      <c r="M6" s="10">
        <v>24</v>
      </c>
      <c r="N6" s="10">
        <v>16</v>
      </c>
      <c r="O6" s="10">
        <v>5</v>
      </c>
      <c r="P6" s="19" cm="1">
        <f t="array" ref="P6">O6/D6</f>
        <v>0.0641025641025641</v>
      </c>
      <c r="Q6" s="13" cm="1">
        <f t="array" ref="Q6">(G6*1+H6*2+I6*3+J6*4)/E6</f>
        <v>0.7333333333333329</v>
      </c>
      <c r="R6" s="14" cm="1">
        <f t="array" ref="R6">(F6+N6)/D6</f>
        <v>0.628205128205128</v>
      </c>
      <c r="S6" s="15" cm="1">
        <f t="array" ref="S6">R6+Q6</f>
        <v>1.36153846153846</v>
      </c>
      <c r="T6" s="21" cm="1">
        <f t="array" ref="T6">O6/(D6-(F6+N6))</f>
        <v>0.172413793103448</v>
      </c>
      <c r="U6" s="17" cm="1">
        <f t="array" ref="U6">RANK(R6,$R$4:$R$24)</f>
        <v>1</v>
      </c>
      <c r="V6" s="18" cm="1">
        <f t="array" ref="V6">RANK(S6,$S$4:$S$24)</f>
        <v>2</v>
      </c>
      <c r="W6" s="9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17.25" customHeight="1">
      <c r="A7" t="s" s="8">
        <v>27</v>
      </c>
      <c r="B7" s="10">
        <v>1</v>
      </c>
      <c r="C7" s="11" cm="1">
        <f t="array" ref="C7">F7/E7</f>
        <v>0</v>
      </c>
      <c r="D7" s="10">
        <v>4</v>
      </c>
      <c r="E7" s="10">
        <v>4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3</v>
      </c>
      <c r="M7" s="10">
        <v>0</v>
      </c>
      <c r="N7" s="10">
        <v>0</v>
      </c>
      <c r="O7" s="10">
        <v>0</v>
      </c>
      <c r="P7" s="19" cm="1">
        <f t="array" ref="P7">O7/D7</f>
        <v>0</v>
      </c>
      <c r="Q7" s="13" cm="1">
        <f t="array" ref="Q7">(G7*1+H7*2+I7*3+J7*4)/E7</f>
        <v>0</v>
      </c>
      <c r="R7" s="14" cm="1">
        <f t="array" ref="R7">(F7+N7)/D7</f>
        <v>0</v>
      </c>
      <c r="S7" s="15" cm="1">
        <f t="array" ref="S7">R7+Q7</f>
        <v>0</v>
      </c>
      <c r="T7" s="22" cm="1">
        <f t="array" ref="T7">O7/(D7-(F7+N7))</f>
        <v>0</v>
      </c>
      <c r="U7" s="17" cm="1">
        <f t="array" ref="U7">RANK(R7,$R$4:$R$24)</f>
        <v>20</v>
      </c>
      <c r="V7" s="18" cm="1">
        <f t="array" ref="V7">RANK(S7,$S$4:$S$24)</f>
        <v>20</v>
      </c>
      <c r="W7" s="9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17.25" customHeight="1">
      <c r="A8" t="s" s="8">
        <v>28</v>
      </c>
      <c r="B8" s="10">
        <v>30</v>
      </c>
      <c r="C8" s="11" cm="1">
        <f t="array" ref="C8">F8/E8</f>
        <v>0.366666666666667</v>
      </c>
      <c r="D8" s="10">
        <v>75</v>
      </c>
      <c r="E8" s="10">
        <v>60</v>
      </c>
      <c r="F8" s="10">
        <v>22</v>
      </c>
      <c r="G8" s="10">
        <v>14</v>
      </c>
      <c r="H8" s="10">
        <v>5</v>
      </c>
      <c r="I8" s="10">
        <v>3</v>
      </c>
      <c r="J8" s="10">
        <v>0</v>
      </c>
      <c r="K8" s="10">
        <v>22</v>
      </c>
      <c r="L8" s="10">
        <v>24</v>
      </c>
      <c r="M8" s="10">
        <v>13</v>
      </c>
      <c r="N8" s="10">
        <v>14</v>
      </c>
      <c r="O8" s="10">
        <v>14</v>
      </c>
      <c r="P8" s="19" cm="1">
        <f t="array" ref="P8">O8/D8</f>
        <v>0.186666666666667</v>
      </c>
      <c r="Q8" s="13" cm="1">
        <f t="array" ref="Q8">(G8*1+H8*2+I8*3+J8*4)/E8</f>
        <v>0.55</v>
      </c>
      <c r="R8" s="14" cm="1">
        <f t="array" ref="R8">(F8+N8)/D8</f>
        <v>0.48</v>
      </c>
      <c r="S8" s="15" cm="1">
        <f t="array" ref="S8">R8+Q8</f>
        <v>1.03</v>
      </c>
      <c r="T8" s="20" cm="1">
        <f t="array" ref="T8">O8/(D8-(F8+N8))</f>
        <v>0.358974358974359</v>
      </c>
      <c r="U8" s="17" cm="1">
        <f t="array" ref="U8">RANK(R8,$R$4:$R$24)</f>
        <v>8</v>
      </c>
      <c r="V8" s="18" cm="1">
        <f t="array" ref="V8">RANK(S8,$S$4:$S$24)</f>
        <v>6</v>
      </c>
      <c r="W8" s="9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17.25" customHeight="1">
      <c r="A9" t="s" s="8">
        <v>29</v>
      </c>
      <c r="B9" s="10">
        <v>17</v>
      </c>
      <c r="C9" s="11" cm="1">
        <f t="array" ref="C9">F9/E9</f>
        <v>0.225806451612903</v>
      </c>
      <c r="D9" s="10">
        <v>38</v>
      </c>
      <c r="E9" s="10">
        <v>31</v>
      </c>
      <c r="F9" s="10">
        <v>7</v>
      </c>
      <c r="G9" s="10">
        <v>6</v>
      </c>
      <c r="H9" s="10">
        <v>1</v>
      </c>
      <c r="I9" s="10">
        <v>0</v>
      </c>
      <c r="J9" s="10">
        <v>0</v>
      </c>
      <c r="K9" s="10">
        <v>7</v>
      </c>
      <c r="L9" s="10">
        <v>4</v>
      </c>
      <c r="M9" s="10">
        <v>7</v>
      </c>
      <c r="N9" s="10">
        <v>7</v>
      </c>
      <c r="O9" s="10">
        <v>15</v>
      </c>
      <c r="P9" s="12" cm="1">
        <f t="array" ref="P9">O9/D9</f>
        <v>0.394736842105263</v>
      </c>
      <c r="Q9" s="13" cm="1">
        <f t="array" ref="Q9">(G9*1+H9*2+I9*3+J9*4)/E9</f>
        <v>0.258064516129032</v>
      </c>
      <c r="R9" s="14" cm="1">
        <f t="array" ref="R9">(F9+N9)/D9</f>
        <v>0.368421052631579</v>
      </c>
      <c r="S9" s="15" cm="1">
        <f t="array" ref="S9">R9+Q9</f>
        <v>0.626485568760611</v>
      </c>
      <c r="T9" s="20" cm="1">
        <f t="array" ref="T9">O9/(D9-(F9+N9))</f>
        <v>0.625</v>
      </c>
      <c r="U9" s="17" cm="1">
        <f t="array" ref="U9">RANK(R9,$R$4:$R$24)</f>
        <v>15</v>
      </c>
      <c r="V9" s="18" cm="1">
        <f t="array" ref="V9">RANK(S9,$S$4:$S$24)</f>
        <v>16</v>
      </c>
      <c r="W9" s="9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7.25" customHeight="1">
      <c r="A10" t="s" s="8">
        <v>30</v>
      </c>
      <c r="B10" s="10">
        <v>29</v>
      </c>
      <c r="C10" s="11" cm="1">
        <f t="array" ref="C10">F10/E10</f>
        <v>0.513157894736842</v>
      </c>
      <c r="D10" s="10">
        <v>94</v>
      </c>
      <c r="E10" s="10">
        <v>76</v>
      </c>
      <c r="F10" s="10">
        <v>39</v>
      </c>
      <c r="G10" s="10">
        <v>28</v>
      </c>
      <c r="H10" s="10">
        <v>7</v>
      </c>
      <c r="I10" s="10">
        <v>3</v>
      </c>
      <c r="J10" s="10">
        <v>1</v>
      </c>
      <c r="K10" s="10">
        <v>40</v>
      </c>
      <c r="L10" s="10">
        <v>27</v>
      </c>
      <c r="M10" s="10">
        <v>47</v>
      </c>
      <c r="N10" s="10">
        <v>16</v>
      </c>
      <c r="O10" s="10">
        <v>8</v>
      </c>
      <c r="P10" s="19" cm="1">
        <f t="array" ref="P10">O10/D10</f>
        <v>0.0851063829787234</v>
      </c>
      <c r="Q10" s="13" cm="1">
        <f t="array" ref="Q10">(G10*1+H10*2+I10*3+J10*4)/E10</f>
        <v>0.723684210526316</v>
      </c>
      <c r="R10" s="14" cm="1">
        <f t="array" ref="R10">(F10+N10)/D10</f>
        <v>0.585106382978723</v>
      </c>
      <c r="S10" s="15" cm="1">
        <f t="array" ref="S10">R10+Q10</f>
        <v>1.30879059350504</v>
      </c>
      <c r="T10" s="21" cm="1">
        <f t="array" ref="T10">O10/(D10-(F10+N10))</f>
        <v>0.205128205128205</v>
      </c>
      <c r="U10" s="17" cm="1">
        <f t="array" ref="U10">RANK(R10,$R$4:$R$24)</f>
        <v>3</v>
      </c>
      <c r="V10" s="18" cm="1">
        <f t="array" ref="V10">RANK(S10,$S$4:$S$24)</f>
        <v>3</v>
      </c>
      <c r="W10" s="9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7.25" customHeight="1">
      <c r="A11" t="s" s="8">
        <v>31</v>
      </c>
      <c r="B11" s="10">
        <v>16</v>
      </c>
      <c r="C11" s="11" cm="1">
        <f t="array" ref="C11">F11/E11</f>
        <v>0.28125</v>
      </c>
      <c r="D11" s="10">
        <v>36</v>
      </c>
      <c r="E11" s="10">
        <v>32</v>
      </c>
      <c r="F11" s="10">
        <v>9</v>
      </c>
      <c r="G11" s="10">
        <v>8</v>
      </c>
      <c r="H11" s="10">
        <v>1</v>
      </c>
      <c r="I11" s="10">
        <v>0</v>
      </c>
      <c r="J11" s="10">
        <v>0</v>
      </c>
      <c r="K11" s="10">
        <v>10</v>
      </c>
      <c r="L11" s="10">
        <v>9</v>
      </c>
      <c r="M11" s="10">
        <v>8</v>
      </c>
      <c r="N11" s="10">
        <v>4</v>
      </c>
      <c r="O11" s="10">
        <v>8</v>
      </c>
      <c r="P11" s="19" cm="1">
        <f t="array" ref="P11">O11/D11</f>
        <v>0.222222222222222</v>
      </c>
      <c r="Q11" s="13" cm="1">
        <f t="array" ref="Q11">(G11*1+H11*2+I11*3+J11*4)/E11</f>
        <v>0.3125</v>
      </c>
      <c r="R11" s="14" cm="1">
        <f t="array" ref="R11">(F11+N11)/D11</f>
        <v>0.361111111111111</v>
      </c>
      <c r="S11" s="15" cm="1">
        <f t="array" ref="S11">R11+Q11</f>
        <v>0.673611111111111</v>
      </c>
      <c r="T11" s="20" cm="1">
        <f t="array" ref="T11">O11/(D11-(F11+N11))</f>
        <v>0.347826086956522</v>
      </c>
      <c r="U11" s="17" cm="1">
        <f t="array" ref="U11">RANK(R11,$R$4:$R$24)</f>
        <v>16</v>
      </c>
      <c r="V11" s="18" cm="1">
        <f t="array" ref="V11">RANK(S11,$S$4:$S$24)</f>
        <v>13</v>
      </c>
      <c r="W11" s="9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7.25" customHeight="1">
      <c r="A12" t="s" s="8">
        <v>32</v>
      </c>
      <c r="B12" s="10">
        <v>5</v>
      </c>
      <c r="C12" s="11" cm="1">
        <f t="array" ref="C12">F12/E12</f>
        <v>0.166666666666667</v>
      </c>
      <c r="D12" s="10">
        <v>9</v>
      </c>
      <c r="E12" s="10">
        <v>6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1</v>
      </c>
      <c r="L12" s="10">
        <v>1</v>
      </c>
      <c r="M12" s="10">
        <v>1</v>
      </c>
      <c r="N12" s="10">
        <v>0</v>
      </c>
      <c r="O12" s="10">
        <v>1</v>
      </c>
      <c r="P12" s="19" cm="1">
        <f t="array" ref="P12">O12/D12</f>
        <v>0.111111111111111</v>
      </c>
      <c r="Q12" s="13" cm="1">
        <f t="array" ref="Q12">(G12*1+H12*2+I12*3+J12*4)/E12</f>
        <v>0.166666666666667</v>
      </c>
      <c r="R12" s="14" cm="1">
        <f t="array" ref="R12">(F12+N12)/D12</f>
        <v>0.111111111111111</v>
      </c>
      <c r="S12" s="15" cm="1">
        <f t="array" ref="S12">R12+Q12</f>
        <v>0.277777777777778</v>
      </c>
      <c r="T12" s="22" cm="1">
        <f t="array" ref="T12">O12/(D12-(F12+N12))</f>
        <v>0.125</v>
      </c>
      <c r="U12" s="17" cm="1">
        <f t="array" ref="U12">RANK(R12,$R$4:$R$24)</f>
        <v>19</v>
      </c>
      <c r="V12" s="18" cm="1">
        <f t="array" ref="V12">RANK(S12,$S$4:$S$24)</f>
        <v>19</v>
      </c>
      <c r="W12" s="9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7.25" customHeight="1">
      <c r="A13" t="s" s="8">
        <v>33</v>
      </c>
      <c r="B13" s="10">
        <v>24</v>
      </c>
      <c r="C13" s="11" cm="1">
        <f t="array" ref="C13">F13/E13</f>
        <v>0.5192307692307691</v>
      </c>
      <c r="D13" s="10">
        <v>58</v>
      </c>
      <c r="E13" s="10">
        <v>52</v>
      </c>
      <c r="F13" s="10">
        <v>27</v>
      </c>
      <c r="G13" s="10">
        <v>12</v>
      </c>
      <c r="H13" s="10">
        <v>13</v>
      </c>
      <c r="I13" s="10">
        <v>1</v>
      </c>
      <c r="J13" s="10">
        <v>1</v>
      </c>
      <c r="K13" s="10">
        <v>18</v>
      </c>
      <c r="L13" s="10">
        <v>23</v>
      </c>
      <c r="M13" s="10">
        <v>8</v>
      </c>
      <c r="N13" s="10">
        <v>5</v>
      </c>
      <c r="O13" s="10">
        <v>5</v>
      </c>
      <c r="P13" s="19" cm="1">
        <f t="array" ref="P13">O13/D13</f>
        <v>0.0862068965517241</v>
      </c>
      <c r="Q13" s="13" cm="1">
        <f t="array" ref="Q13">(G13*1+H13*2+I13*3+J13*4)/E13</f>
        <v>0.865384615384615</v>
      </c>
      <c r="R13" s="14" cm="1">
        <f t="array" ref="R13">(F13+N13)/D13</f>
        <v>0.551724137931034</v>
      </c>
      <c r="S13" s="15" cm="1">
        <f t="array" ref="S13">R13+Q13</f>
        <v>1.41710875331565</v>
      </c>
      <c r="T13" s="23" cm="1">
        <f t="array" ref="T13">O13/(D13-(F13+N13))</f>
        <v>0.192307692307692</v>
      </c>
      <c r="U13" s="17" cm="1">
        <f t="array" ref="U13">RANK(R13,$R$4:$R$24)</f>
        <v>5</v>
      </c>
      <c r="V13" s="18" cm="1">
        <f t="array" ref="V13">RANK(S13,$S$4:$S$24)</f>
        <v>1</v>
      </c>
      <c r="W13" s="9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7.25" customHeight="1">
      <c r="A14" t="s" s="8">
        <v>34</v>
      </c>
      <c r="B14" s="10">
        <v>14</v>
      </c>
      <c r="C14" s="11" cm="1">
        <f t="array" ref="C14">F14/E14</f>
        <v>0.166666666666667</v>
      </c>
      <c r="D14" s="10">
        <v>33</v>
      </c>
      <c r="E14" s="10">
        <v>24</v>
      </c>
      <c r="F14" s="10">
        <v>4</v>
      </c>
      <c r="G14" s="10">
        <v>3</v>
      </c>
      <c r="H14" s="10">
        <v>0</v>
      </c>
      <c r="I14" s="10">
        <v>1</v>
      </c>
      <c r="J14" s="10">
        <v>0</v>
      </c>
      <c r="K14" s="10">
        <v>10</v>
      </c>
      <c r="L14" s="10">
        <v>2</v>
      </c>
      <c r="M14" s="10">
        <v>5</v>
      </c>
      <c r="N14" s="10">
        <v>9</v>
      </c>
      <c r="O14" s="10">
        <v>11</v>
      </c>
      <c r="P14" s="12" cm="1">
        <f t="array" ref="P14">O14/D14</f>
        <v>0.333333333333333</v>
      </c>
      <c r="Q14" s="13" cm="1">
        <f t="array" ref="Q14">(G14*1+H14*2+I14*3+J14*4)/E14</f>
        <v>0.25</v>
      </c>
      <c r="R14" s="14" cm="1">
        <f t="array" ref="R14">(F14+N14)/D14</f>
        <v>0.393939393939394</v>
      </c>
      <c r="S14" s="15" cm="1">
        <f t="array" ref="S14">R14+Q14</f>
        <v>0.643939393939394</v>
      </c>
      <c r="T14" s="24" cm="1">
        <f t="array" ref="T14">O14/(D14-(F14+N14))</f>
        <v>0.55</v>
      </c>
      <c r="U14" s="17" cm="1">
        <f t="array" ref="U14">RANK(R14,$R$4:$R$24)</f>
        <v>13</v>
      </c>
      <c r="V14" s="18" cm="1">
        <f t="array" ref="V14">RANK(S14,$S$4:$S$24)</f>
        <v>14</v>
      </c>
      <c r="W14" s="9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7.25" customHeight="1">
      <c r="A15" t="s" s="8">
        <v>35</v>
      </c>
      <c r="B15" s="10">
        <v>8</v>
      </c>
      <c r="C15" s="11" cm="1">
        <f t="array" ref="C15">F15/E15</f>
        <v>0.153846153846154</v>
      </c>
      <c r="D15" s="10">
        <v>20</v>
      </c>
      <c r="E15" s="10">
        <v>13</v>
      </c>
      <c r="F15" s="10">
        <v>2</v>
      </c>
      <c r="G15" s="10">
        <v>2</v>
      </c>
      <c r="H15" s="10">
        <v>0</v>
      </c>
      <c r="I15" s="10">
        <v>0</v>
      </c>
      <c r="J15" s="10">
        <v>0</v>
      </c>
      <c r="K15" s="10">
        <v>3</v>
      </c>
      <c r="L15" s="10">
        <v>4</v>
      </c>
      <c r="M15" s="10">
        <v>1</v>
      </c>
      <c r="N15" s="10">
        <v>4</v>
      </c>
      <c r="O15" s="10">
        <v>7</v>
      </c>
      <c r="P15" s="12" cm="1">
        <f t="array" ref="P15">O15/D15</f>
        <v>0.35</v>
      </c>
      <c r="Q15" s="13" cm="1">
        <f t="array" ref="Q15">(G15*1+H15*2+I15*3+J15*4)/E15</f>
        <v>0.153846153846154</v>
      </c>
      <c r="R15" s="14" cm="1">
        <f t="array" ref="R15">(F15+N15)/D15</f>
        <v>0.3</v>
      </c>
      <c r="S15" s="15" cm="1">
        <f t="array" ref="S15">R15+Q15</f>
        <v>0.453846153846154</v>
      </c>
      <c r="T15" s="16" cm="1">
        <f t="array" ref="T15">O15/(D15-(F15+N15))</f>
        <v>0.5</v>
      </c>
      <c r="U15" s="17" cm="1">
        <f t="array" ref="U15">RANK(R15,$R$4:$R$24)</f>
        <v>17</v>
      </c>
      <c r="V15" s="18" cm="1">
        <f t="array" ref="V15">RANK(S15,$S$4:$S$24)</f>
        <v>17</v>
      </c>
      <c r="W15" s="9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7.25" customHeight="1">
      <c r="A16" t="s" s="8">
        <v>36</v>
      </c>
      <c r="B16" s="10">
        <v>15</v>
      </c>
      <c r="C16" s="11" cm="1">
        <f t="array" ref="C16">F16/E16</f>
        <v>0.375</v>
      </c>
      <c r="D16" s="10">
        <v>21</v>
      </c>
      <c r="E16" s="10">
        <v>16</v>
      </c>
      <c r="F16" s="10">
        <v>6</v>
      </c>
      <c r="G16" s="10">
        <v>4</v>
      </c>
      <c r="H16" s="10">
        <v>2</v>
      </c>
      <c r="I16" s="10">
        <v>0</v>
      </c>
      <c r="J16" s="10">
        <v>0</v>
      </c>
      <c r="K16" s="10">
        <v>4</v>
      </c>
      <c r="L16" s="10">
        <v>6</v>
      </c>
      <c r="M16" s="10">
        <v>5</v>
      </c>
      <c r="N16" s="10">
        <v>5</v>
      </c>
      <c r="O16" s="10">
        <v>3</v>
      </c>
      <c r="P16" s="19" cm="1">
        <f t="array" ref="P16">O16/D16</f>
        <v>0.142857142857143</v>
      </c>
      <c r="Q16" s="13" cm="1">
        <f t="array" ref="Q16">(G16*1+H16*2+I16*3+J16*4)/E16</f>
        <v>0.5</v>
      </c>
      <c r="R16" s="14" cm="1">
        <f t="array" ref="R16">(F16+N16)/D16</f>
        <v>0.5238095238095239</v>
      </c>
      <c r="S16" s="15" cm="1">
        <f t="array" ref="S16">R16+Q16</f>
        <v>1.02380952380952</v>
      </c>
      <c r="T16" s="16" cm="1">
        <f t="array" ref="T16">O16/(D16-(F16+N16))</f>
        <v>0.3</v>
      </c>
      <c r="U16" s="17" cm="1">
        <f t="array" ref="U16">RANK(R16,$R$4:$R$24)</f>
        <v>6</v>
      </c>
      <c r="V16" s="18" cm="1">
        <f t="array" ref="V16">RANK(S16,$S$4:$S$24)</f>
        <v>7</v>
      </c>
      <c r="W16" s="9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7.25" customHeight="1">
      <c r="A17" t="s" s="8">
        <v>37</v>
      </c>
      <c r="B17" s="10">
        <v>4</v>
      </c>
      <c r="C17" s="11" cm="1">
        <f t="array" ref="C17">F17/E17</f>
        <v>0.3</v>
      </c>
      <c r="D17" s="10">
        <v>12</v>
      </c>
      <c r="E17" s="10">
        <v>10</v>
      </c>
      <c r="F17" s="10">
        <v>3</v>
      </c>
      <c r="G17" s="10">
        <v>2</v>
      </c>
      <c r="H17" s="10">
        <v>1</v>
      </c>
      <c r="I17" s="10">
        <v>0</v>
      </c>
      <c r="J17" s="10">
        <v>0</v>
      </c>
      <c r="K17" s="10">
        <v>3</v>
      </c>
      <c r="L17" s="10">
        <v>2</v>
      </c>
      <c r="M17" s="10">
        <v>2</v>
      </c>
      <c r="N17" s="10">
        <v>2</v>
      </c>
      <c r="O17" s="10">
        <v>4</v>
      </c>
      <c r="P17" s="12" cm="1">
        <f t="array" ref="P17">O17/D17</f>
        <v>0.333333333333333</v>
      </c>
      <c r="Q17" s="13" cm="1">
        <f t="array" ref="Q17">(G17*1+H17*2+I17*3+J17*4)/E17</f>
        <v>0.4</v>
      </c>
      <c r="R17" s="14" cm="1">
        <f t="array" ref="R17">(F17+N17)/D17</f>
        <v>0.416666666666667</v>
      </c>
      <c r="S17" s="15" cm="1">
        <f t="array" ref="S17">R17+Q17</f>
        <v>0.816666666666667</v>
      </c>
      <c r="T17" s="16" cm="1">
        <f t="array" ref="T17">O17/(D17-(F17+N17))</f>
        <v>0.571428571428571</v>
      </c>
      <c r="U17" s="17" cm="1">
        <f t="array" ref="U17">RANK(R17,$R$4:$R$24)</f>
        <v>11</v>
      </c>
      <c r="V17" s="18" cm="1">
        <f t="array" ref="V17">RANK(S17,$S$4:$S$24)</f>
        <v>11</v>
      </c>
      <c r="W17" s="9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7.25" customHeight="1">
      <c r="A18" t="s" s="8">
        <v>38</v>
      </c>
      <c r="B18" s="10">
        <v>16</v>
      </c>
      <c r="C18" s="11" cm="1">
        <f t="array" ref="C18">F18/E18</f>
        <v>0.5161290322580649</v>
      </c>
      <c r="D18" s="10">
        <v>37</v>
      </c>
      <c r="E18" s="10">
        <v>31</v>
      </c>
      <c r="F18" s="10">
        <v>16</v>
      </c>
      <c r="G18" s="10">
        <v>14</v>
      </c>
      <c r="H18" s="10">
        <v>0</v>
      </c>
      <c r="I18" s="10">
        <v>1</v>
      </c>
      <c r="J18" s="10">
        <v>1</v>
      </c>
      <c r="K18" s="10">
        <v>10</v>
      </c>
      <c r="L18" s="10">
        <v>9</v>
      </c>
      <c r="M18" s="10">
        <v>6</v>
      </c>
      <c r="N18" s="10">
        <v>5</v>
      </c>
      <c r="O18" s="10">
        <v>6</v>
      </c>
      <c r="P18" s="19" cm="1">
        <f t="array" ref="P18">O18/D18</f>
        <v>0.162162162162162</v>
      </c>
      <c r="Q18" s="13" cm="1">
        <f t="array" ref="Q18">(G18*1+H18*2+I18*3+J18*4)/E18</f>
        <v>0.67741935483871</v>
      </c>
      <c r="R18" s="14" cm="1">
        <f t="array" ref="R18">(F18+N18)/D18</f>
        <v>0.567567567567568</v>
      </c>
      <c r="S18" s="15" cm="1">
        <f t="array" ref="S18">R18+Q18</f>
        <v>1.24498692240628</v>
      </c>
      <c r="T18" s="20" cm="1">
        <f t="array" ref="T18">O18/(D18-(F18+N18))</f>
        <v>0.375</v>
      </c>
      <c r="U18" s="17" cm="1">
        <f t="array" ref="U18">RANK(R18,$R$4:$R$24)</f>
        <v>4</v>
      </c>
      <c r="V18" s="18" cm="1">
        <f t="array" ref="V18">RANK(S18,$S$4:$S$24)</f>
        <v>4</v>
      </c>
      <c r="W18" s="9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7.25" customHeight="1">
      <c r="A19" t="s" s="8">
        <v>39</v>
      </c>
      <c r="B19" s="10">
        <v>16</v>
      </c>
      <c r="C19" s="11" cm="1">
        <f t="array" ref="C19">F19/E19</f>
        <v>0.382352941176471</v>
      </c>
      <c r="D19" s="10">
        <v>40</v>
      </c>
      <c r="E19" s="10">
        <v>34</v>
      </c>
      <c r="F19" s="10">
        <v>13</v>
      </c>
      <c r="G19" s="10">
        <v>13</v>
      </c>
      <c r="H19" s="10">
        <v>0</v>
      </c>
      <c r="I19" s="10">
        <v>0</v>
      </c>
      <c r="J19" s="10">
        <v>0</v>
      </c>
      <c r="K19" s="10">
        <v>11</v>
      </c>
      <c r="L19" s="10">
        <v>11</v>
      </c>
      <c r="M19" s="10">
        <v>7</v>
      </c>
      <c r="N19" s="10">
        <v>5</v>
      </c>
      <c r="O19" s="10">
        <v>4</v>
      </c>
      <c r="P19" s="19" cm="1">
        <f t="array" ref="P19">O19/D19</f>
        <v>0.1</v>
      </c>
      <c r="Q19" s="13" cm="1">
        <f t="array" ref="Q19">(G19*1+H19*2+I19*3+J19*4)/E19</f>
        <v>0.382352941176471</v>
      </c>
      <c r="R19" s="14" cm="1">
        <f t="array" ref="R19">(F19+N19)/D19</f>
        <v>0.45</v>
      </c>
      <c r="S19" s="15" cm="1">
        <f t="array" ref="S19">R19+Q19</f>
        <v>0.832352941176471</v>
      </c>
      <c r="T19" s="21" cm="1">
        <f t="array" ref="T19">O19/(D19-(F19+N19))</f>
        <v>0.181818181818182</v>
      </c>
      <c r="U19" s="17" cm="1">
        <f t="array" ref="U19">RANK(R19,$R$4:$R$24)</f>
        <v>10</v>
      </c>
      <c r="V19" s="18" cm="1">
        <f t="array" ref="V19">RANK(S19,$S$4:$S$24)</f>
        <v>9</v>
      </c>
      <c r="W19" s="9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7.25" customHeight="1">
      <c r="A20" t="s" s="8">
        <v>40</v>
      </c>
      <c r="B20" s="10">
        <v>24</v>
      </c>
      <c r="C20" s="11" cm="1">
        <f t="array" ref="C20">F20/E20</f>
        <v>0.194444444444444</v>
      </c>
      <c r="D20" s="10">
        <v>47</v>
      </c>
      <c r="E20" s="10">
        <v>36</v>
      </c>
      <c r="F20" s="10">
        <v>7</v>
      </c>
      <c r="G20" s="10">
        <v>5</v>
      </c>
      <c r="H20" s="10">
        <v>2</v>
      </c>
      <c r="I20" s="10">
        <v>0</v>
      </c>
      <c r="J20" s="10">
        <v>0</v>
      </c>
      <c r="K20" s="10">
        <v>9</v>
      </c>
      <c r="L20" s="10">
        <v>14</v>
      </c>
      <c r="M20" s="10">
        <v>12</v>
      </c>
      <c r="N20" s="10">
        <v>11</v>
      </c>
      <c r="O20" s="10">
        <v>17</v>
      </c>
      <c r="P20" s="12" cm="1">
        <f t="array" ref="P20">O20/D20</f>
        <v>0.361702127659574</v>
      </c>
      <c r="Q20" s="13" cm="1">
        <f t="array" ref="Q20">(G20*1+H20*2+I20*3+J20*4)/E20</f>
        <v>0.25</v>
      </c>
      <c r="R20" s="14" cm="1">
        <f t="array" ref="R20">(F20+N20)/D20</f>
        <v>0.382978723404255</v>
      </c>
      <c r="S20" s="15" cm="1">
        <f t="array" ref="S20">R20+Q20</f>
        <v>0.632978723404255</v>
      </c>
      <c r="T20" s="20" cm="1">
        <f t="array" ref="T20">O20/(D20-(F20+N20))</f>
        <v>0.586206896551724</v>
      </c>
      <c r="U20" s="17" cm="1">
        <f t="array" ref="U20">RANK(R20,$R$4:$R$24)</f>
        <v>14</v>
      </c>
      <c r="V20" s="18" cm="1">
        <f t="array" ref="V20">RANK(S20,$S$4:$S$24)</f>
        <v>15</v>
      </c>
      <c r="W20" s="9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7.25" customHeight="1">
      <c r="A21" t="s" s="8">
        <v>41</v>
      </c>
      <c r="B21" s="10">
        <v>28</v>
      </c>
      <c r="C21" s="11" cm="1">
        <f t="array" ref="C21">F21/E21</f>
        <v>0.428571428571429</v>
      </c>
      <c r="D21" s="10">
        <v>71</v>
      </c>
      <c r="E21" s="10">
        <v>63</v>
      </c>
      <c r="F21" s="10">
        <v>27</v>
      </c>
      <c r="G21" s="10">
        <v>22</v>
      </c>
      <c r="H21" s="10">
        <v>4</v>
      </c>
      <c r="I21" s="10">
        <v>0</v>
      </c>
      <c r="J21" s="10">
        <v>1</v>
      </c>
      <c r="K21" s="10">
        <v>22</v>
      </c>
      <c r="L21" s="10">
        <v>17</v>
      </c>
      <c r="M21" s="10">
        <v>13</v>
      </c>
      <c r="N21" s="10">
        <v>8</v>
      </c>
      <c r="O21" s="10">
        <v>10</v>
      </c>
      <c r="P21" s="19" cm="1">
        <f t="array" ref="P21">O21/D21</f>
        <v>0.140845070422535</v>
      </c>
      <c r="Q21" s="13" cm="1">
        <f t="array" ref="Q21">(G21*1+H21*2+I21*3+J21*4)/E21</f>
        <v>0.53968253968254</v>
      </c>
      <c r="R21" s="14" cm="1">
        <f t="array" ref="R21">(F21+N21)/D21</f>
        <v>0.492957746478873</v>
      </c>
      <c r="S21" s="15" cm="1">
        <f t="array" ref="S21">R21+Q21</f>
        <v>1.03264028616141</v>
      </c>
      <c r="T21" s="25" cm="1">
        <f t="array" ref="T21">O21/(D21-(F21+N21))</f>
        <v>0.277777777777778</v>
      </c>
      <c r="U21" s="17" cm="1">
        <f t="array" ref="U21">RANK(R21,$R$4:$R$24)</f>
        <v>7</v>
      </c>
      <c r="V21" s="18" cm="1">
        <f t="array" ref="V21">RANK(S21,$S$4:$S$24)</f>
        <v>5</v>
      </c>
      <c r="W21" s="9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7.25" customHeight="1">
      <c r="A22" t="s" s="8">
        <v>42</v>
      </c>
      <c r="B22" s="10">
        <v>13</v>
      </c>
      <c r="C22" s="11" cm="1">
        <f t="array" ref="C22">F22/E22</f>
        <v>0.315789473684211</v>
      </c>
      <c r="D22" s="10">
        <v>24</v>
      </c>
      <c r="E22" s="10">
        <v>19</v>
      </c>
      <c r="F22" s="10">
        <v>6</v>
      </c>
      <c r="G22" s="10">
        <v>6</v>
      </c>
      <c r="H22" s="10">
        <v>0</v>
      </c>
      <c r="I22" s="10">
        <v>0</v>
      </c>
      <c r="J22" s="10">
        <v>0</v>
      </c>
      <c r="K22" s="10">
        <v>10</v>
      </c>
      <c r="L22" s="10">
        <v>2</v>
      </c>
      <c r="M22" s="10">
        <v>10</v>
      </c>
      <c r="N22" s="10">
        <v>4</v>
      </c>
      <c r="O22" s="10">
        <v>5</v>
      </c>
      <c r="P22" s="19" cm="1">
        <f t="array" ref="P22">O22/D22</f>
        <v>0.208333333333333</v>
      </c>
      <c r="Q22" s="13" cm="1">
        <f t="array" ref="Q22">(G22*1+H22*2+I22*3+J22*4)/E22</f>
        <v>0.315789473684211</v>
      </c>
      <c r="R22" s="14" cm="1">
        <f t="array" ref="R22">(F22+N22)/D22</f>
        <v>0.416666666666667</v>
      </c>
      <c r="S22" s="15" cm="1">
        <f t="array" ref="S22">R22+Q22</f>
        <v>0.732456140350878</v>
      </c>
      <c r="T22" s="26" cm="1">
        <f t="array" ref="T22">O22/(D22-(F22+N22))</f>
        <v>0.357142857142857</v>
      </c>
      <c r="U22" s="17" cm="1">
        <f t="array" ref="U22">RANK(R22,$R$4:$R$24)</f>
        <v>11</v>
      </c>
      <c r="V22" s="18" cm="1">
        <f t="array" ref="V22">RANK(S22,$S$4:$S$24)</f>
        <v>12</v>
      </c>
      <c r="W22" s="9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7.25" customHeight="1">
      <c r="A23" t="s" s="8">
        <v>43</v>
      </c>
      <c r="B23" s="10">
        <v>23</v>
      </c>
      <c r="C23" s="11" cm="1">
        <f t="array" ref="C23">F23/E23</f>
        <v>0.365384615384615</v>
      </c>
      <c r="D23" s="10">
        <v>62</v>
      </c>
      <c r="E23" s="10">
        <v>52</v>
      </c>
      <c r="F23" s="10">
        <v>19</v>
      </c>
      <c r="G23" s="10">
        <v>12</v>
      </c>
      <c r="H23" s="10">
        <v>6</v>
      </c>
      <c r="I23" s="10">
        <v>1</v>
      </c>
      <c r="J23" s="10">
        <v>0</v>
      </c>
      <c r="K23" s="10">
        <v>15</v>
      </c>
      <c r="L23" s="10">
        <v>13</v>
      </c>
      <c r="M23" s="10">
        <v>8</v>
      </c>
      <c r="N23" s="10">
        <v>10</v>
      </c>
      <c r="O23" s="10">
        <v>12</v>
      </c>
      <c r="P23" s="19" cm="1">
        <f t="array" ref="P23">O23/D23</f>
        <v>0.193548387096774</v>
      </c>
      <c r="Q23" s="13" cm="1">
        <f t="array" ref="Q23">(G23*1+H23*2+I23*3+J23*4)/E23</f>
        <v>0.5192307692307691</v>
      </c>
      <c r="R23" s="14" cm="1">
        <f t="array" ref="R23">(F23+N23)/D23</f>
        <v>0.467741935483871</v>
      </c>
      <c r="S23" s="15" cm="1">
        <f t="array" ref="S23">R23+Q23</f>
        <v>0.98697270471464</v>
      </c>
      <c r="T23" s="27" cm="1">
        <f t="array" ref="T23">O23/(D23-(F23+N23))</f>
        <v>0.363636363636364</v>
      </c>
      <c r="U23" s="17" cm="1">
        <f t="array" ref="U23">RANK(R23,$R$4:$R$24)</f>
        <v>9</v>
      </c>
      <c r="V23" s="18" cm="1">
        <f t="array" ref="V23">RANK(S23,$S$4:$S$24)</f>
        <v>8</v>
      </c>
      <c r="W23" s="9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7.25" customHeight="1">
      <c r="A24" t="s" s="8">
        <v>44</v>
      </c>
      <c r="B24" s="10">
        <v>7</v>
      </c>
      <c r="C24" s="11" cm="1">
        <f t="array" ref="C24">F24/E24</f>
        <v>0.0909090909090909</v>
      </c>
      <c r="D24" s="10">
        <v>16</v>
      </c>
      <c r="E24" s="10">
        <v>11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3</v>
      </c>
      <c r="L24" s="10">
        <v>0</v>
      </c>
      <c r="M24" s="10">
        <v>2</v>
      </c>
      <c r="N24" s="10">
        <v>2</v>
      </c>
      <c r="O24" s="10">
        <v>3</v>
      </c>
      <c r="P24" s="19" cm="1">
        <f t="array" ref="P24">O24/D24</f>
        <v>0.1875</v>
      </c>
      <c r="Q24" s="13" cm="1">
        <f t="array" ref="Q24">(G24*1+H24*2+I24*3+J24*4)/E24</f>
        <v>0.0909090909090909</v>
      </c>
      <c r="R24" s="14" cm="1">
        <f t="array" ref="R24">(F24+N24)/D24</f>
        <v>0.1875</v>
      </c>
      <c r="S24" s="15" cm="1">
        <f t="array" ref="S24">R24+Q24</f>
        <v>0.278409090909091</v>
      </c>
      <c r="T24" s="28" cm="1">
        <f t="array" ref="T24">O24/(D24-(F24+N24))</f>
        <v>0.230769230769231</v>
      </c>
      <c r="U24" s="17" cm="1">
        <f t="array" ref="U24">RANK(R24,$R$4:$R$24)</f>
        <v>18</v>
      </c>
      <c r="V24" s="18" cm="1">
        <f t="array" ref="V24">RANK(S24,$S$4:$S$24)</f>
        <v>18</v>
      </c>
      <c r="W24" s="9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7.25" customHeight="1">
      <c r="A25" t="s" s="29">
        <v>45</v>
      </c>
      <c r="B25" s="30"/>
      <c r="C25" s="31" cm="1">
        <f t="array" ref="C25">F25/E25</f>
        <v>0.37962962962963</v>
      </c>
      <c r="D25" s="32" cm="1">
        <f t="array" ref="D25">SUM(D4:D24)</f>
        <v>810</v>
      </c>
      <c r="E25" s="32" cm="1">
        <f t="array" ref="E25">SUM(E4:E24)</f>
        <v>648</v>
      </c>
      <c r="F25" s="32" cm="1">
        <f t="array" ref="F25">SUM(F4:F24)</f>
        <v>246</v>
      </c>
      <c r="G25" s="32" cm="1">
        <f t="array" ref="G25">SUM(G4:G24)</f>
        <v>181</v>
      </c>
      <c r="H25" s="32" cm="1">
        <f t="array" ref="H25">SUM(H4:H24)</f>
        <v>49</v>
      </c>
      <c r="I25" s="32" cm="1">
        <f t="array" ref="I25">SUM(I4:I24)</f>
        <v>12</v>
      </c>
      <c r="J25" s="32" cm="1">
        <f t="array" ref="J25">SUM(J4:J24)</f>
        <v>4</v>
      </c>
      <c r="K25" s="32" cm="1">
        <f t="array" ref="K25">SUM(K4:K24)</f>
        <v>239</v>
      </c>
      <c r="L25" s="32" cm="1">
        <f t="array" ref="L25">SUM(L4:L24)</f>
        <v>207</v>
      </c>
      <c r="M25" s="32" cm="1">
        <f t="array" ref="M25">SUM(M4:M24)</f>
        <v>183</v>
      </c>
      <c r="N25" s="32" cm="1">
        <f t="array" ref="N25">SUM(N4:N24)</f>
        <v>143</v>
      </c>
      <c r="O25" s="32" cm="1">
        <f t="array" ref="O25">SUM(O4:O24)</f>
        <v>146</v>
      </c>
      <c r="P25" s="33" cm="1">
        <f t="array" ref="P25">O25/D25</f>
        <v>0.180246913580247</v>
      </c>
      <c r="Q25" s="31" cm="1">
        <f t="array" ref="Q25">(G25*1+H25*2+I25*3+J25*4)/E25</f>
        <v>0.510802469135802</v>
      </c>
      <c r="R25" s="31" cm="1">
        <f t="array" ref="R25">(F25+N25)/D25</f>
        <v>0.480246913580247</v>
      </c>
      <c r="S25" s="31" cm="1">
        <f t="array" ref="S25">R25+Q25</f>
        <v>0.991049382716049</v>
      </c>
      <c r="T25" s="31"/>
      <c r="U25" s="31"/>
      <c r="V25" s="31"/>
      <c r="W25" s="9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6.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4"/>
      <c r="V26" s="34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7.25" customHeight="1">
      <c r="A27" t="s" s="5">
        <v>46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7"/>
      <c r="U27" s="36"/>
      <c r="V27" s="36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34.5" customHeight="1">
      <c r="A28" t="s" s="8">
        <v>2</v>
      </c>
      <c r="B28" t="s" s="8">
        <v>3</v>
      </c>
      <c r="C28" t="s" s="8">
        <v>47</v>
      </c>
      <c r="D28" t="s" s="8">
        <v>48</v>
      </c>
      <c r="E28" t="s" s="8">
        <v>49</v>
      </c>
      <c r="F28" t="s" s="8">
        <v>50</v>
      </c>
      <c r="G28" t="s" s="8">
        <v>6</v>
      </c>
      <c r="H28" t="s" s="8">
        <v>51</v>
      </c>
      <c r="I28" t="s" s="8">
        <v>52</v>
      </c>
      <c r="J28" t="s" s="8">
        <v>53</v>
      </c>
      <c r="K28" t="s" s="8">
        <v>54</v>
      </c>
      <c r="L28" t="s" s="8">
        <v>55</v>
      </c>
      <c r="M28" t="s" s="8">
        <v>56</v>
      </c>
      <c r="N28" t="s" s="8">
        <v>57</v>
      </c>
      <c r="O28" t="s" s="8">
        <v>58</v>
      </c>
      <c r="P28" t="s" s="8">
        <v>59</v>
      </c>
      <c r="Q28" t="s" s="8">
        <v>60</v>
      </c>
      <c r="R28" t="s" s="8">
        <v>61</v>
      </c>
      <c r="S28" t="s" s="8">
        <v>62</v>
      </c>
      <c r="T28" t="s" s="8">
        <v>63</v>
      </c>
      <c r="U28" t="s" s="8">
        <v>64</v>
      </c>
      <c r="V28" t="s" s="8">
        <v>65</v>
      </c>
      <c r="W28" s="9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7.25" customHeight="1">
      <c r="A29" t="s" s="38">
        <v>24</v>
      </c>
      <c r="B29" s="10">
        <v>14</v>
      </c>
      <c r="C29" s="10">
        <v>1</v>
      </c>
      <c r="D29" s="10">
        <v>2</v>
      </c>
      <c r="E29" s="10">
        <v>0</v>
      </c>
      <c r="F29" s="10">
        <v>75</v>
      </c>
      <c r="G29" s="10">
        <v>40</v>
      </c>
      <c r="H29" s="39">
        <v>6.7</v>
      </c>
      <c r="I29" s="10">
        <v>15</v>
      </c>
      <c r="J29" s="10">
        <v>0</v>
      </c>
      <c r="K29" s="10">
        <v>31</v>
      </c>
      <c r="L29" s="10">
        <v>4</v>
      </c>
      <c r="M29" s="10">
        <v>4</v>
      </c>
      <c r="N29" s="10">
        <v>35</v>
      </c>
      <c r="O29" s="10">
        <v>19</v>
      </c>
      <c r="P29" s="40" cm="1">
        <f t="array" ref="P29">O29*9/H29</f>
        <v>25.5223880597015</v>
      </c>
      <c r="Q29" s="41" cm="1">
        <f t="array" ref="Q29">(K29+L29)/H29</f>
        <v>5.22388059701493</v>
      </c>
      <c r="R29" s="42" cm="1">
        <f t="array" ref="R29">I29/H29</f>
        <v>2.23880597014925</v>
      </c>
      <c r="S29" s="42" cm="1">
        <f t="array" ref="S29">H29/B29</f>
        <v>0.478571428571429</v>
      </c>
      <c r="T29" s="43" cm="1">
        <f t="array" ref="T29">M29/H29</f>
        <v>0.5970149253731341</v>
      </c>
      <c r="U29" s="44" cm="1">
        <f t="array" ref="U29">O29/N29</f>
        <v>0.542857142857143</v>
      </c>
      <c r="V29" s="41" cm="1">
        <f t="array" ref="V29">(I29+K29+L29)/H29</f>
        <v>7.46268656716418</v>
      </c>
      <c r="W29" s="9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7.25" customHeight="1">
      <c r="A30" t="s" s="38">
        <v>27</v>
      </c>
      <c r="B30" s="10">
        <v>1</v>
      </c>
      <c r="C30" s="10">
        <v>0</v>
      </c>
      <c r="D30" s="10">
        <v>0</v>
      </c>
      <c r="E30" s="10">
        <v>0</v>
      </c>
      <c r="F30" s="10">
        <v>1</v>
      </c>
      <c r="G30" s="10">
        <v>0</v>
      </c>
      <c r="H30" s="39">
        <v>0</v>
      </c>
      <c r="I30" s="10">
        <v>0</v>
      </c>
      <c r="J30" s="10">
        <v>0</v>
      </c>
      <c r="K30" s="10">
        <v>1</v>
      </c>
      <c r="L30" s="10">
        <v>0</v>
      </c>
      <c r="M30" s="10">
        <v>0</v>
      </c>
      <c r="N30" s="10">
        <v>0</v>
      </c>
      <c r="O30" s="10">
        <v>0</v>
      </c>
      <c r="P30" s="40">
        <v>0</v>
      </c>
      <c r="Q30" t="s" s="45">
        <v>66</v>
      </c>
      <c r="R30" t="s" s="45">
        <v>66</v>
      </c>
      <c r="S30" s="42" cm="1">
        <f t="array" ref="S30">H30/B30</f>
        <v>0</v>
      </c>
      <c r="T30" t="s" s="46">
        <v>66</v>
      </c>
      <c r="U30" t="s" s="45">
        <v>66</v>
      </c>
      <c r="V30" t="s" s="45">
        <v>66</v>
      </c>
      <c r="W30" s="9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7.25" customHeight="1">
      <c r="A31" t="s" s="38">
        <v>29</v>
      </c>
      <c r="B31" s="10">
        <v>9</v>
      </c>
      <c r="C31" s="10">
        <v>1</v>
      </c>
      <c r="D31" s="10">
        <v>2</v>
      </c>
      <c r="E31" s="10">
        <v>0</v>
      </c>
      <c r="F31" s="10">
        <v>113</v>
      </c>
      <c r="G31" s="10">
        <v>85</v>
      </c>
      <c r="H31" s="39">
        <v>13</v>
      </c>
      <c r="I31" s="10">
        <v>33</v>
      </c>
      <c r="J31" s="10">
        <v>3</v>
      </c>
      <c r="K31" s="10">
        <v>23</v>
      </c>
      <c r="L31" s="10">
        <v>5</v>
      </c>
      <c r="M31" s="10">
        <v>11</v>
      </c>
      <c r="N31" s="10">
        <v>48</v>
      </c>
      <c r="O31" s="10">
        <v>32</v>
      </c>
      <c r="P31" s="40" cm="1">
        <f t="array" ref="P31">O31*9/H31</f>
        <v>22.1538461538462</v>
      </c>
      <c r="Q31" s="41" cm="1">
        <f t="array" ref="Q31">(K31+L31)/H31</f>
        <v>2.15384615384615</v>
      </c>
      <c r="R31" s="42" cm="1">
        <f t="array" ref="R31">I31/H31</f>
        <v>2.53846153846154</v>
      </c>
      <c r="S31" s="42" cm="1">
        <f t="array" ref="S31">H31/B31</f>
        <v>1.44444444444444</v>
      </c>
      <c r="T31" s="43" cm="1">
        <f t="array" ref="T31">M31/H31</f>
        <v>0.846153846153846</v>
      </c>
      <c r="U31" s="44" cm="1">
        <f t="array" ref="U31">O31/N31</f>
        <v>0.666666666666667</v>
      </c>
      <c r="V31" s="41" cm="1">
        <f t="array" ref="V31">(I31+K31+L31)/H31</f>
        <v>4.69230769230769</v>
      </c>
      <c r="W31" s="9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7.25" customHeight="1">
      <c r="A32" t="s" s="38">
        <v>33</v>
      </c>
      <c r="B32" s="10">
        <v>19</v>
      </c>
      <c r="C32" s="10">
        <v>3</v>
      </c>
      <c r="D32" s="10">
        <v>3</v>
      </c>
      <c r="E32" s="10">
        <v>1</v>
      </c>
      <c r="F32" s="10">
        <v>151</v>
      </c>
      <c r="G32" s="10">
        <v>127</v>
      </c>
      <c r="H32" s="39">
        <v>27.333</v>
      </c>
      <c r="I32" s="10">
        <v>39</v>
      </c>
      <c r="J32" s="10">
        <v>0</v>
      </c>
      <c r="K32" s="10">
        <v>20</v>
      </c>
      <c r="L32" s="10">
        <v>4</v>
      </c>
      <c r="M32" s="10">
        <v>39</v>
      </c>
      <c r="N32" s="10">
        <v>36</v>
      </c>
      <c r="O32" s="10">
        <v>19</v>
      </c>
      <c r="P32" s="40" cm="1">
        <f t="array" ref="P32">O32*9/H32</f>
        <v>6.25617385577873</v>
      </c>
      <c r="Q32" s="41" cm="1">
        <f t="array" ref="Q32">(K32+L32)/H32</f>
        <v>0.878059488530348</v>
      </c>
      <c r="R32" s="42" cm="1">
        <f t="array" ref="R32">I32/H32</f>
        <v>1.42684666886182</v>
      </c>
      <c r="S32" s="42" cm="1">
        <f t="array" ref="S32">H32/B32</f>
        <v>1.43857894736842</v>
      </c>
      <c r="T32" s="43" cm="1">
        <f t="array" ref="T32">M32/H32</f>
        <v>1.42684666886182</v>
      </c>
      <c r="U32" s="44" cm="1">
        <f t="array" ref="U32">O32/N32</f>
        <v>0.527777777777778</v>
      </c>
      <c r="V32" s="41" cm="1">
        <f t="array" ref="V32">(I32+K32+L32)/H32</f>
        <v>2.30490615739216</v>
      </c>
      <c r="W32" s="9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7.25" customHeight="1">
      <c r="A33" t="s" s="38">
        <v>36</v>
      </c>
      <c r="B33" s="10">
        <v>12</v>
      </c>
      <c r="C33" s="10">
        <v>0</v>
      </c>
      <c r="D33" s="10">
        <v>3</v>
      </c>
      <c r="E33" s="10">
        <v>0</v>
      </c>
      <c r="F33" s="10">
        <v>143</v>
      </c>
      <c r="G33" s="10">
        <v>101</v>
      </c>
      <c r="H33" s="39">
        <v>19</v>
      </c>
      <c r="I33" s="10">
        <v>41</v>
      </c>
      <c r="J33" s="10">
        <v>2</v>
      </c>
      <c r="K33" s="10">
        <v>38</v>
      </c>
      <c r="L33" s="10">
        <v>3</v>
      </c>
      <c r="M33" s="10">
        <v>21</v>
      </c>
      <c r="N33" s="10">
        <v>58</v>
      </c>
      <c r="O33" s="10">
        <v>41</v>
      </c>
      <c r="P33" s="40" cm="1">
        <f t="array" ref="P33">O33*9/H33</f>
        <v>19.4210526315789</v>
      </c>
      <c r="Q33" s="41" cm="1">
        <f t="array" ref="Q33">(K33+L33)/H33</f>
        <v>2.15789473684211</v>
      </c>
      <c r="R33" s="42" cm="1">
        <f t="array" ref="R33">I33/H33</f>
        <v>2.15789473684211</v>
      </c>
      <c r="S33" s="42" cm="1">
        <f t="array" ref="S33">H33/B33</f>
        <v>1.58333333333333</v>
      </c>
      <c r="T33" s="43" cm="1">
        <f t="array" ref="T33">M33/H33</f>
        <v>1.10526315789474</v>
      </c>
      <c r="U33" s="44" cm="1">
        <f t="array" ref="U33">O33/N33</f>
        <v>0.706896551724138</v>
      </c>
      <c r="V33" s="41" cm="1">
        <f t="array" ref="V33">(I33+K33+L33)/H33</f>
        <v>4.31578947368421</v>
      </c>
      <c r="W33" s="9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7.25" customHeight="1">
      <c r="A34" t="s" s="38">
        <v>37</v>
      </c>
      <c r="B34" s="10">
        <v>1</v>
      </c>
      <c r="C34" s="10">
        <v>0</v>
      </c>
      <c r="D34" s="10">
        <v>0</v>
      </c>
      <c r="E34" s="10">
        <v>0</v>
      </c>
      <c r="F34" s="10">
        <v>3</v>
      </c>
      <c r="G34" s="10">
        <v>2</v>
      </c>
      <c r="H34" s="39">
        <v>1</v>
      </c>
      <c r="I34" s="10">
        <v>1</v>
      </c>
      <c r="J34" s="10">
        <v>0</v>
      </c>
      <c r="K34" s="10">
        <v>1</v>
      </c>
      <c r="L34" s="10">
        <v>0</v>
      </c>
      <c r="M34" s="10">
        <v>1</v>
      </c>
      <c r="N34" s="10">
        <v>0</v>
      </c>
      <c r="O34" s="10">
        <v>0</v>
      </c>
      <c r="P34" s="40">
        <v>0</v>
      </c>
      <c r="Q34" s="41" cm="1">
        <f t="array" ref="Q34">(K34+L34)/H34</f>
        <v>1</v>
      </c>
      <c r="R34" s="42" cm="1">
        <f t="array" ref="R34">I34/H34</f>
        <v>1</v>
      </c>
      <c r="S34" s="42" cm="1">
        <f t="array" ref="S34">H34/B34</f>
        <v>1</v>
      </c>
      <c r="T34" s="47" cm="1">
        <f t="array" ref="T34">M34/H34</f>
        <v>1</v>
      </c>
      <c r="U34" t="s" s="45">
        <v>66</v>
      </c>
      <c r="V34" s="48" cm="1">
        <f t="array" ref="V34">(I34+K34+L34)/H34</f>
        <v>2</v>
      </c>
      <c r="W34" s="9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7.25" customHeight="1">
      <c r="A35" t="s" s="38">
        <v>42</v>
      </c>
      <c r="B35" s="10">
        <v>6</v>
      </c>
      <c r="C35" s="10">
        <v>2</v>
      </c>
      <c r="D35" s="10">
        <v>2</v>
      </c>
      <c r="E35" s="10">
        <v>0</v>
      </c>
      <c r="F35" s="10">
        <v>97</v>
      </c>
      <c r="G35" s="10">
        <v>53</v>
      </c>
      <c r="H35" s="39">
        <v>12.9999666666</v>
      </c>
      <c r="I35" s="10">
        <v>16</v>
      </c>
      <c r="J35" s="10">
        <v>1</v>
      </c>
      <c r="K35" s="10">
        <v>43</v>
      </c>
      <c r="L35" s="10">
        <v>0</v>
      </c>
      <c r="M35" s="10">
        <v>13</v>
      </c>
      <c r="N35" s="10">
        <v>35</v>
      </c>
      <c r="O35" s="10">
        <v>21</v>
      </c>
      <c r="P35" s="40" cm="1">
        <f t="array" ref="P35">O35*9/H35</f>
        <v>14.5384988167382</v>
      </c>
      <c r="Q35" s="41" cm="1">
        <f t="array" ref="Q35">(K35+L35)/H35</f>
        <v>3.30770078899334</v>
      </c>
      <c r="R35" s="42" cm="1">
        <f t="array" ref="R35">I35/H35</f>
        <v>1.23077238660217</v>
      </c>
      <c r="S35" s="42" cm="1">
        <f t="array" ref="S35">H35/B35</f>
        <v>2.1666611111</v>
      </c>
      <c r="T35" s="43" cm="1">
        <f t="array" ref="T35">M35/H35</f>
        <v>1.00000256411427</v>
      </c>
      <c r="U35" s="44" cm="1">
        <f t="array" ref="U35">O35/N35</f>
        <v>0.6</v>
      </c>
      <c r="V35" s="41" cm="1">
        <f t="array" ref="V35">(I35+K35+L35)/H35</f>
        <v>4.53847317559552</v>
      </c>
      <c r="W35" s="9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7.25" customHeight="1">
      <c r="A36" t="s" s="38">
        <v>43</v>
      </c>
      <c r="B36" s="10">
        <v>24</v>
      </c>
      <c r="C36" s="10">
        <v>5</v>
      </c>
      <c r="D36" s="10">
        <v>8</v>
      </c>
      <c r="E36" s="10">
        <v>3</v>
      </c>
      <c r="F36" s="10">
        <v>390</v>
      </c>
      <c r="G36" s="10">
        <v>284</v>
      </c>
      <c r="H36" s="39">
        <v>54.999966663</v>
      </c>
      <c r="I36" s="10">
        <v>102</v>
      </c>
      <c r="J36" s="10">
        <v>1</v>
      </c>
      <c r="K36" s="10">
        <v>90</v>
      </c>
      <c r="L36" s="10">
        <v>15</v>
      </c>
      <c r="M36" s="10">
        <v>86</v>
      </c>
      <c r="N36" s="10">
        <v>141</v>
      </c>
      <c r="O36" s="10">
        <v>95</v>
      </c>
      <c r="P36" s="40" cm="1">
        <f t="array" ref="P36">O36*9/H36</f>
        <v>15.5454639679842</v>
      </c>
      <c r="Q36" s="41" cm="1">
        <f t="array" ref="Q36">(K36+L36)/H36</f>
        <v>1.90909206624368</v>
      </c>
      <c r="R36" s="42" cm="1">
        <f t="array" ref="R36">I36/H36</f>
        <v>1.85454657863671</v>
      </c>
      <c r="S36" s="42" cm="1">
        <f t="array" ref="S36">H36/B36</f>
        <v>2.291665277625</v>
      </c>
      <c r="T36" s="43" cm="1">
        <f t="array" ref="T36">M36/H36</f>
        <v>1.56363731139958</v>
      </c>
      <c r="U36" s="44" cm="1">
        <f t="array" ref="U36">O36/N36</f>
        <v>0.673758865248227</v>
      </c>
      <c r="V36" s="41" cm="1">
        <f t="array" ref="V36">(I36+K36+L36)/H36</f>
        <v>3.76363864488039</v>
      </c>
      <c r="W36" s="9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7.25" customHeight="1">
      <c r="A37" t="s" s="29">
        <v>45</v>
      </c>
      <c r="B37" s="49" cm="1">
        <f t="array" ref="B37">SUM(B29:B36)</f>
        <v>86</v>
      </c>
      <c r="C37" s="49" cm="1">
        <f t="array" ref="C37">SUM(C29:C36)</f>
        <v>12</v>
      </c>
      <c r="D37" s="49" cm="1">
        <f t="array" ref="D37">SUM(D29:D36)</f>
        <v>20</v>
      </c>
      <c r="E37" s="49" cm="1">
        <f t="array" ref="E37">SUM(E29:E36)</f>
        <v>4</v>
      </c>
      <c r="F37" s="49" cm="1">
        <f t="array" ref="F37">SUM(F29:F36)</f>
        <v>973</v>
      </c>
      <c r="G37" s="49" cm="1">
        <f t="array" ref="G37">SUM(G29:G36)</f>
        <v>692</v>
      </c>
      <c r="H37" s="50" cm="1">
        <f t="array" ref="H37">SUM(H29:H36)</f>
        <v>135.0329333296</v>
      </c>
      <c r="I37" s="49" cm="1">
        <f t="array" ref="I37">SUM(I29:I36)</f>
        <v>247</v>
      </c>
      <c r="J37" s="49" cm="1">
        <f t="array" ref="J37">SUM(J29:J36)</f>
        <v>7</v>
      </c>
      <c r="K37" s="49" cm="1">
        <f t="array" ref="K37">SUM(K29:K36)</f>
        <v>247</v>
      </c>
      <c r="L37" s="49" cm="1">
        <f t="array" ref="L37">SUM(L29:L36)</f>
        <v>31</v>
      </c>
      <c r="M37" s="49" cm="1">
        <f t="array" ref="M37">SUM(M29:M36)</f>
        <v>175</v>
      </c>
      <c r="N37" s="49" cm="1">
        <f t="array" ref="N37">SUM(N29:N36)</f>
        <v>353</v>
      </c>
      <c r="O37" s="49" cm="1">
        <f t="array" ref="O37">SUM(O29:O36)</f>
        <v>227</v>
      </c>
      <c r="P37" s="51" cm="1">
        <f t="array" ref="P37">O37*9/H37</f>
        <v>15.1296424481372</v>
      </c>
      <c r="Q37" s="52" cm="1">
        <f t="array" ref="Q37">(K37+L37)/H37</f>
        <v>2.05875702426928</v>
      </c>
      <c r="R37" s="53" cm="1">
        <f t="array" ref="R37">I37/H37</f>
        <v>1.82918339926084</v>
      </c>
      <c r="S37" s="53" cm="1">
        <f t="array" ref="S37">H37/B37</f>
        <v>1.57015038755349</v>
      </c>
      <c r="T37" s="54" cm="1">
        <f t="array" ref="T37">M37/H37</f>
        <v>1.29598014117671</v>
      </c>
      <c r="U37" s="55" cm="1">
        <f t="array" ref="U37">O37/N37</f>
        <v>0.643059490084986</v>
      </c>
      <c r="V37" s="52" cm="1">
        <f t="array" ref="V37">(I37+K37+L37)/H37</f>
        <v>3.88794042353012</v>
      </c>
      <c r="W37" s="9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</sheetData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AH55"/>
  <sheetViews>
    <sheetView workbookViewId="0" showGridLines="0" defaultGridColor="1"/>
  </sheetViews>
  <sheetFormatPr defaultColWidth="9" defaultRowHeight="16.5" customHeight="1" outlineLevelRow="0" outlineLevelCol="0"/>
  <cols>
    <col min="1" max="22" width="8.85156" style="56" customWidth="1"/>
    <col min="23" max="23" width="1.35156" style="56" customWidth="1"/>
    <col min="24" max="28" width="9.85156" style="56" customWidth="1"/>
    <col min="29" max="34" width="9" style="56" customWidth="1"/>
    <col min="35" max="16384" width="9" style="56" customWidth="1"/>
  </cols>
  <sheetData>
    <row r="1" ht="26.25" customHeight="1">
      <c r="A1" t="s" s="2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3"/>
      <c r="V1" s="3"/>
      <c r="W1" s="3"/>
      <c r="X1" s="6"/>
      <c r="Y1" s="6"/>
      <c r="Z1" s="6"/>
      <c r="AA1" s="6"/>
      <c r="AB1" s="6"/>
      <c r="AC1" s="3"/>
      <c r="AD1" s="3"/>
      <c r="AE1" s="3"/>
      <c r="AF1" s="3"/>
      <c r="AG1" s="3"/>
      <c r="AH1" s="3"/>
    </row>
    <row r="2" ht="20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6"/>
      <c r="V2" s="6"/>
      <c r="W2" s="57"/>
      <c r="X2" t="s" s="58">
        <v>68</v>
      </c>
      <c r="Y2" s="59"/>
      <c r="Z2" s="59"/>
      <c r="AA2" s="59"/>
      <c r="AB2" s="59"/>
      <c r="AC2" s="9"/>
      <c r="AD2" s="60"/>
      <c r="AE2" s="60"/>
      <c r="AF2" s="3"/>
      <c r="AG2" s="3"/>
      <c r="AH2" s="3"/>
    </row>
    <row r="3" ht="34.5" customHeight="1">
      <c r="A3" t="s" s="8">
        <v>2</v>
      </c>
      <c r="B3" t="s" s="8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21</v>
      </c>
      <c r="U3" t="s" s="8">
        <v>22</v>
      </c>
      <c r="V3" t="s" s="8">
        <v>23</v>
      </c>
      <c r="W3" s="61"/>
      <c r="X3" t="s" s="8">
        <v>4</v>
      </c>
      <c r="Y3" t="s" s="8">
        <v>17</v>
      </c>
      <c r="Z3" t="s" s="8">
        <v>18</v>
      </c>
      <c r="AA3" t="s" s="8">
        <v>19</v>
      </c>
      <c r="AB3" t="s" s="8">
        <v>20</v>
      </c>
      <c r="AC3" s="62"/>
      <c r="AD3" t="s" s="63">
        <v>5</v>
      </c>
      <c r="AE3" t="s" s="63">
        <v>6</v>
      </c>
      <c r="AF3" s="64"/>
      <c r="AG3" s="3"/>
      <c r="AH3" s="3"/>
    </row>
    <row r="4" ht="15" customHeight="1">
      <c r="A4" t="s" s="8">
        <v>24</v>
      </c>
      <c r="B4" s="10">
        <v>36</v>
      </c>
      <c r="C4" s="65" cm="1">
        <f t="array" ref="C4">F4/E4</f>
        <v>0.462686567164179</v>
      </c>
      <c r="D4" s="10">
        <v>81</v>
      </c>
      <c r="E4" s="10">
        <v>67</v>
      </c>
      <c r="F4" s="10">
        <v>31</v>
      </c>
      <c r="G4" s="10">
        <v>22</v>
      </c>
      <c r="H4" s="10">
        <v>4</v>
      </c>
      <c r="I4" s="10">
        <v>3</v>
      </c>
      <c r="J4" s="10">
        <v>2</v>
      </c>
      <c r="K4" s="10">
        <v>43</v>
      </c>
      <c r="L4" s="10">
        <v>26</v>
      </c>
      <c r="M4" s="10">
        <v>39</v>
      </c>
      <c r="N4" s="10">
        <v>11</v>
      </c>
      <c r="O4" s="10">
        <v>15</v>
      </c>
      <c r="P4" s="19" cm="1">
        <f t="array" ref="P4">O4/D4</f>
        <v>0.185185185185185</v>
      </c>
      <c r="Q4" s="13" cm="1">
        <f t="array" ref="Q4">(G4*1+H4*2+I4*3+J4*4)/E4</f>
        <v>0.701492537313433</v>
      </c>
      <c r="R4" s="14" cm="1">
        <f t="array" ref="R4">(F4+N4)/D4</f>
        <v>0.518518518518519</v>
      </c>
      <c r="S4" s="15" cm="1">
        <f t="array" ref="S4">R4+Q4</f>
        <v>1.22001105583195</v>
      </c>
      <c r="T4" s="66" cm="1">
        <f t="array" ref="T4">O4/(D4-(F4+N4))</f>
        <v>0.384615384615385</v>
      </c>
      <c r="U4" s="17" cm="1">
        <f t="array" ref="U4">RANK(R4,$R$4:$R$26)</f>
        <v>7</v>
      </c>
      <c r="V4" s="18" cm="1">
        <f t="array" ref="V4">RANK(S4,$S$4:$S$26)</f>
        <v>4</v>
      </c>
      <c r="W4" s="61"/>
      <c r="X4" s="67">
        <v>0.462686567164179</v>
      </c>
      <c r="Y4" s="68">
        <v>-0.814814814814815</v>
      </c>
      <c r="Z4" s="67">
        <v>0.701492537313433</v>
      </c>
      <c r="AA4" s="67">
        <v>0.518518518518518</v>
      </c>
      <c r="AB4" s="67">
        <v>1.22001105583195</v>
      </c>
      <c r="AC4" s="9"/>
      <c r="AD4" s="69">
        <v>60</v>
      </c>
      <c r="AE4" s="69">
        <v>51</v>
      </c>
      <c r="AF4" s="3"/>
      <c r="AG4" s="70" cm="1">
        <f t="array" ref="AG4">AB4*AD4</f>
        <v>73.20066334991699</v>
      </c>
      <c r="AH4" s="70" cm="1">
        <f t="array" ref="AH4">X4*AE4</f>
        <v>23.5970149253731</v>
      </c>
    </row>
    <row r="5" ht="17.25" customHeight="1">
      <c r="A5" t="s" s="8">
        <v>25</v>
      </c>
      <c r="B5" s="10">
        <v>46</v>
      </c>
      <c r="C5" s="65" cm="1">
        <f t="array" ref="C5">F5/E5</f>
        <v>0.392405063291139</v>
      </c>
      <c r="D5" s="10">
        <v>113</v>
      </c>
      <c r="E5" s="10">
        <v>79</v>
      </c>
      <c r="F5" s="10">
        <v>31</v>
      </c>
      <c r="G5" s="10">
        <v>15</v>
      </c>
      <c r="H5" s="10">
        <v>13</v>
      </c>
      <c r="I5" s="10">
        <v>2</v>
      </c>
      <c r="J5" s="10">
        <v>1</v>
      </c>
      <c r="K5" s="10">
        <v>38</v>
      </c>
      <c r="L5" s="10">
        <v>32</v>
      </c>
      <c r="M5" s="10">
        <v>23</v>
      </c>
      <c r="N5" s="10">
        <v>30</v>
      </c>
      <c r="O5" s="10">
        <v>20</v>
      </c>
      <c r="P5" s="19" cm="1">
        <f t="array" ref="P5">O5/D5</f>
        <v>0.176991150442478</v>
      </c>
      <c r="Q5" s="13" cm="1">
        <f t="array" ref="Q5">(G5*1+H5*2+I5*3+J5*4)/E5</f>
        <v>0.645569620253165</v>
      </c>
      <c r="R5" s="14" cm="1">
        <f t="array" ref="R5">(F5+N5)/D5</f>
        <v>0.539823008849558</v>
      </c>
      <c r="S5" s="15" cm="1">
        <f t="array" ref="S5">R5+Q5</f>
        <v>1.18539262910272</v>
      </c>
      <c r="T5" s="66" cm="1">
        <f t="array" ref="T5">O5/(D5-(F5+N5))</f>
        <v>0.384615384615385</v>
      </c>
      <c r="U5" s="17" cm="1">
        <f t="array" ref="U5">RANK(R5,$R$4:$R$26)</f>
        <v>5</v>
      </c>
      <c r="V5" s="18" cm="1">
        <f t="array" ref="V5">RANK(S5,$S$4:$S$26)</f>
        <v>5</v>
      </c>
      <c r="W5" s="61"/>
      <c r="X5" s="67">
        <v>0.15711094564408</v>
      </c>
      <c r="Y5" s="68">
        <v>-0.0288912024986986</v>
      </c>
      <c r="Z5" s="67">
        <v>0.410275502606106</v>
      </c>
      <c r="AA5" s="67">
        <v>-0.0484122852680896</v>
      </c>
      <c r="AB5" s="67">
        <v>0.377939212953654</v>
      </c>
      <c r="AC5" s="9"/>
      <c r="AD5" s="70">
        <v>109</v>
      </c>
      <c r="AE5" s="70">
        <v>75</v>
      </c>
      <c r="AF5" s="3"/>
      <c r="AG5" s="70" cm="1">
        <f t="array" ref="AG5">AB5*AD5</f>
        <v>41.1953742119483</v>
      </c>
      <c r="AH5" s="70" cm="1">
        <f t="array" ref="AH5">X5*AE5</f>
        <v>11.783320923306</v>
      </c>
    </row>
    <row r="6" ht="17.25" customHeight="1">
      <c r="A6" t="s" s="8">
        <v>26</v>
      </c>
      <c r="B6" s="10">
        <v>66</v>
      </c>
      <c r="C6" s="65" cm="1">
        <f t="array" ref="C6">F6/E6</f>
        <v>0.540372670807453</v>
      </c>
      <c r="D6" s="10">
        <v>192</v>
      </c>
      <c r="E6" s="10">
        <v>161</v>
      </c>
      <c r="F6" s="10">
        <v>87</v>
      </c>
      <c r="G6" s="10">
        <v>59</v>
      </c>
      <c r="H6" s="10">
        <v>22</v>
      </c>
      <c r="I6" s="10">
        <v>5</v>
      </c>
      <c r="J6" s="10">
        <v>1</v>
      </c>
      <c r="K6" s="10">
        <v>75</v>
      </c>
      <c r="L6" s="10">
        <v>80</v>
      </c>
      <c r="M6" s="10">
        <v>50</v>
      </c>
      <c r="N6" s="10">
        <v>29</v>
      </c>
      <c r="O6" s="10">
        <v>12</v>
      </c>
      <c r="P6" s="19" cm="1">
        <f t="array" ref="P6">O6/D6</f>
        <v>0.0625</v>
      </c>
      <c r="Q6" s="13" cm="1">
        <f t="array" ref="Q6">(G6*1+H6*2+I6*3+J6*4)/E6</f>
        <v>0.75776397515528</v>
      </c>
      <c r="R6" s="14" cm="1">
        <f t="array" ref="R6">(F6+N6)/D6</f>
        <v>0.604166666666667</v>
      </c>
      <c r="S6" s="15" cm="1">
        <f t="array" ref="S6">R6+Q6</f>
        <v>1.36193064182195</v>
      </c>
      <c r="T6" s="66" cm="1">
        <f t="array" ref="T6">O6/(D6-(F6+N6))</f>
        <v>0.157894736842105</v>
      </c>
      <c r="U6" s="17" cm="1">
        <f t="array" ref="U6">RANK(R6,$R$4:$R$26)</f>
        <v>1</v>
      </c>
      <c r="V6" s="18" cm="1">
        <f t="array" ref="V6">RANK(S6,$S$4:$S$26)</f>
        <v>1</v>
      </c>
      <c r="W6" s="61"/>
      <c r="X6" s="67">
        <v>-0.009627329192546609</v>
      </c>
      <c r="Y6" s="68">
        <v>-0.0016025641025641</v>
      </c>
      <c r="Z6" s="67">
        <v>0.0244306418219462</v>
      </c>
      <c r="AA6" s="67">
        <v>-0.0240384615384616</v>
      </c>
      <c r="AB6" s="67">
        <v>0.266930641821946</v>
      </c>
      <c r="AC6" s="9"/>
      <c r="AD6" s="70">
        <v>176</v>
      </c>
      <c r="AE6" s="70">
        <v>150</v>
      </c>
      <c r="AF6" s="3"/>
      <c r="AG6" s="70" cm="1">
        <f t="array" ref="AG6">AB6*AD6</f>
        <v>46.9797929606625</v>
      </c>
      <c r="AH6" s="70" cm="1">
        <f t="array" ref="AH6">X6*AE6</f>
        <v>-1.44409937888199</v>
      </c>
    </row>
    <row r="7" ht="17.25" customHeight="1">
      <c r="A7" t="s" s="8">
        <v>27</v>
      </c>
      <c r="B7" s="10">
        <v>15</v>
      </c>
      <c r="C7" s="65" cm="1">
        <f t="array" ref="C7">F7/E7</f>
        <v>0.333333333333333</v>
      </c>
      <c r="D7" s="10">
        <v>31</v>
      </c>
      <c r="E7" s="10">
        <v>24</v>
      </c>
      <c r="F7" s="10">
        <v>8</v>
      </c>
      <c r="G7" s="10">
        <v>6</v>
      </c>
      <c r="H7" s="10">
        <v>1</v>
      </c>
      <c r="I7" s="10">
        <v>1</v>
      </c>
      <c r="J7" s="10">
        <v>0</v>
      </c>
      <c r="K7" s="10">
        <v>11</v>
      </c>
      <c r="L7" s="10">
        <v>11</v>
      </c>
      <c r="M7" s="10">
        <v>9</v>
      </c>
      <c r="N7" s="10">
        <v>7</v>
      </c>
      <c r="O7" s="10">
        <v>8</v>
      </c>
      <c r="P7" s="19" cm="1">
        <f t="array" ref="P7">O7/D7</f>
        <v>0.258064516129032</v>
      </c>
      <c r="Q7" s="13" cm="1">
        <f t="array" ref="Q7">(G7*1+H7*2+I7*3+J7*4)/E7</f>
        <v>0.458333333333333</v>
      </c>
      <c r="R7" s="14" cm="1">
        <f t="array" ref="R7">(F7+N7)/D7</f>
        <v>0.483870967741935</v>
      </c>
      <c r="S7" s="15" cm="1">
        <f t="array" ref="S7">R7+Q7</f>
        <v>0.942204301075268</v>
      </c>
      <c r="T7" s="66" cm="1">
        <f t="array" ref="T7">O7/(D7-(F7+N7))</f>
        <v>0.5</v>
      </c>
      <c r="U7" s="17" cm="1">
        <f t="array" ref="U7">RANK(R7,$R$4:$R$26)</f>
        <v>10</v>
      </c>
      <c r="V7" s="18" cm="1">
        <f t="array" ref="V7">RANK(S7,$S$4:$S$26)</f>
        <v>11</v>
      </c>
      <c r="W7" s="61"/>
      <c r="X7" s="67">
        <v>0.333333333333333</v>
      </c>
      <c r="Y7" s="68">
        <v>0.258064516129032</v>
      </c>
      <c r="Z7" s="67">
        <v>0.458333333333333</v>
      </c>
      <c r="AA7" s="67">
        <v>0.483870967741935</v>
      </c>
      <c r="AB7" s="67">
        <v>0.942204301075269</v>
      </c>
      <c r="AC7" s="9"/>
      <c r="AD7" s="70">
        <v>11</v>
      </c>
      <c r="AE7" s="70">
        <v>11</v>
      </c>
      <c r="AF7" s="3"/>
      <c r="AG7" s="70" cm="1">
        <f t="array" ref="AG7">AB7*AD7</f>
        <v>10.364247311828</v>
      </c>
      <c r="AH7" s="70" cm="1">
        <f t="array" ref="AH7">X7*AE7</f>
        <v>3.66666666666666</v>
      </c>
    </row>
    <row r="8" ht="17.25" customHeight="1">
      <c r="A8" t="s" s="8">
        <v>28</v>
      </c>
      <c r="B8" s="10">
        <v>53</v>
      </c>
      <c r="C8" s="65" cm="1">
        <f t="array" ref="C8">F8/E8</f>
        <v>0.377551020408163</v>
      </c>
      <c r="D8" s="10">
        <v>128</v>
      </c>
      <c r="E8" s="10">
        <v>98</v>
      </c>
      <c r="F8" s="10">
        <v>37</v>
      </c>
      <c r="G8" s="10">
        <v>26</v>
      </c>
      <c r="H8" s="10">
        <v>7</v>
      </c>
      <c r="I8" s="10">
        <v>3</v>
      </c>
      <c r="J8" s="10">
        <v>1</v>
      </c>
      <c r="K8" s="10">
        <v>41</v>
      </c>
      <c r="L8" s="10">
        <v>36</v>
      </c>
      <c r="M8" s="10">
        <v>21</v>
      </c>
      <c r="N8" s="10">
        <v>28</v>
      </c>
      <c r="O8" s="10">
        <v>25</v>
      </c>
      <c r="P8" s="19" cm="1">
        <f t="array" ref="P8">O8/D8</f>
        <v>0.1953125</v>
      </c>
      <c r="Q8" s="13" cm="1">
        <f t="array" ref="Q8">(G8*1+H8*2+I8*3+J8*4)/E8</f>
        <v>0.540816326530612</v>
      </c>
      <c r="R8" s="14" cm="1">
        <f t="array" ref="R8">(F8+N8)/D8</f>
        <v>0.5078125</v>
      </c>
      <c r="S8" s="15" cm="1">
        <f t="array" ref="S8">R8+Q8</f>
        <v>1.04862882653061</v>
      </c>
      <c r="T8" s="66" cm="1">
        <f t="array" ref="T8">O8/(D8-(F8+N8))</f>
        <v>0.396825396825397</v>
      </c>
      <c r="U8" s="17" cm="1">
        <f t="array" ref="U8">RANK(R8,$R$4:$R$26)</f>
        <v>8</v>
      </c>
      <c r="V8" s="18" cm="1">
        <f t="array" ref="V8">RANK(S8,$S$4:$S$26)</f>
        <v>8</v>
      </c>
      <c r="W8" s="61"/>
      <c r="X8" s="67">
        <v>0.0108843537414966</v>
      </c>
      <c r="Y8" s="68">
        <v>0.00864583333333332</v>
      </c>
      <c r="Z8" s="67">
        <v>-0.009183673469387751</v>
      </c>
      <c r="AA8" s="67">
        <v>0.0278125</v>
      </c>
      <c r="AB8" s="67">
        <v>0.0519307133230651</v>
      </c>
      <c r="AC8" s="9"/>
      <c r="AD8" s="70">
        <v>34</v>
      </c>
      <c r="AE8" s="70">
        <v>22</v>
      </c>
      <c r="AF8" s="3"/>
      <c r="AG8" s="70" cm="1">
        <f t="array" ref="AG8">AB8*AD8</f>
        <v>1.76564425298421</v>
      </c>
      <c r="AH8" s="70" cm="1">
        <f t="array" ref="AH8">X8*AE8</f>
        <v>0.239455782312925</v>
      </c>
    </row>
    <row r="9" ht="17.25" customHeight="1">
      <c r="A9" t="s" s="8">
        <v>29</v>
      </c>
      <c r="B9" s="10">
        <v>35</v>
      </c>
      <c r="C9" s="65" cm="1">
        <f t="array" ref="C9">F9/E9</f>
        <v>0.3</v>
      </c>
      <c r="D9" s="10">
        <v>78</v>
      </c>
      <c r="E9" s="10">
        <v>70</v>
      </c>
      <c r="F9" s="10">
        <v>21</v>
      </c>
      <c r="G9" s="10">
        <v>17</v>
      </c>
      <c r="H9" s="10">
        <v>4</v>
      </c>
      <c r="I9" s="10">
        <v>0</v>
      </c>
      <c r="J9" s="10">
        <v>0</v>
      </c>
      <c r="K9" s="10">
        <v>20</v>
      </c>
      <c r="L9" s="10">
        <v>13</v>
      </c>
      <c r="M9" s="10">
        <v>24</v>
      </c>
      <c r="N9" s="10">
        <v>12</v>
      </c>
      <c r="O9" s="10">
        <v>23</v>
      </c>
      <c r="P9" s="19" cm="1">
        <f t="array" ref="P9">O9/D9</f>
        <v>0.294871794871795</v>
      </c>
      <c r="Q9" s="13" cm="1">
        <f t="array" ref="Q9">(G9*1+H9*2+I9*3+J9*4)/E9</f>
        <v>0.357142857142857</v>
      </c>
      <c r="R9" s="14" cm="1">
        <f t="array" ref="R9">(F9+N9)/D9</f>
        <v>0.423076923076923</v>
      </c>
      <c r="S9" s="15" cm="1">
        <f t="array" ref="S9">R9+Q9</f>
        <v>0.78021978021978</v>
      </c>
      <c r="T9" s="66" cm="1">
        <f t="array" ref="T9">O9/(D9-(F9+N9))</f>
        <v>0.511111111111111</v>
      </c>
      <c r="U9" s="17" cm="1">
        <f t="array" ref="U9">RANK(R9,$R$4:$R$26)</f>
        <v>18</v>
      </c>
      <c r="V9" s="18" cm="1">
        <f t="array" ref="V9">RANK(S9,$S$4:$S$26)</f>
        <v>18</v>
      </c>
      <c r="W9" s="61"/>
      <c r="X9" s="67">
        <v>0.0741935483870968</v>
      </c>
      <c r="Y9" s="68">
        <v>-0.0998650472334683</v>
      </c>
      <c r="Z9" s="67">
        <v>0.0990783410138249</v>
      </c>
      <c r="AA9" s="67">
        <v>0.0546558704453441</v>
      </c>
      <c r="AB9" s="67">
        <v>0.262325043377675</v>
      </c>
      <c r="AC9" s="9"/>
      <c r="AD9" s="3"/>
      <c r="AE9" s="3"/>
      <c r="AF9" s="3"/>
      <c r="AG9" s="3"/>
      <c r="AH9" s="3"/>
    </row>
    <row r="10" ht="17.25" customHeight="1">
      <c r="A10" t="s" s="8">
        <v>69</v>
      </c>
      <c r="B10" s="10">
        <v>22</v>
      </c>
      <c r="C10" s="65" cm="1">
        <f t="array" ref="C10">F10/E10</f>
        <v>0.431372549019608</v>
      </c>
      <c r="D10" s="10">
        <v>62</v>
      </c>
      <c r="E10" s="10">
        <v>51</v>
      </c>
      <c r="F10" s="10">
        <v>22</v>
      </c>
      <c r="G10" s="10">
        <v>17</v>
      </c>
      <c r="H10" s="10">
        <v>5</v>
      </c>
      <c r="I10" s="10">
        <v>0</v>
      </c>
      <c r="J10" s="10">
        <v>0</v>
      </c>
      <c r="K10" s="10">
        <v>15</v>
      </c>
      <c r="L10" s="10">
        <v>19</v>
      </c>
      <c r="M10" s="10">
        <v>18</v>
      </c>
      <c r="N10" s="10">
        <v>11</v>
      </c>
      <c r="O10" s="10">
        <v>3</v>
      </c>
      <c r="P10" s="19" cm="1">
        <f t="array" ref="P10">O10/D10</f>
        <v>0.0483870967741935</v>
      </c>
      <c r="Q10" s="13" cm="1">
        <f t="array" ref="Q10">(G10*1+H10*2+I10*3+J10*4)/E10</f>
        <v>0.529411764705882</v>
      </c>
      <c r="R10" s="14" cm="1">
        <f t="array" ref="R10">(F10+N10)/D10</f>
        <v>0.532258064516129</v>
      </c>
      <c r="S10" s="15" cm="1">
        <f t="array" ref="S10">R10+Q10</f>
        <v>1.06166982922201</v>
      </c>
      <c r="T10" s="66" cm="1">
        <f t="array" ref="T10">O10/(D10-(F10+N10))</f>
        <v>0.103448275862069</v>
      </c>
      <c r="U10" s="17" cm="1">
        <f t="array" ref="U10">RANK(R10,$R$4:$R$26)</f>
        <v>6</v>
      </c>
      <c r="V10" s="18" cm="1">
        <f t="array" ref="V10">RANK(S10,$S$4:$S$26)</f>
        <v>7</v>
      </c>
      <c r="W10" s="61"/>
      <c r="X10" s="67">
        <v>-0.0817853457172343</v>
      </c>
      <c r="Y10" s="68">
        <v>-0.0367192862045299</v>
      </c>
      <c r="Z10" s="67">
        <v>-0.194272445820433</v>
      </c>
      <c r="AA10" s="67">
        <v>-0.0528483184625944</v>
      </c>
      <c r="AB10" s="67">
        <v>-0.438330170777989</v>
      </c>
      <c r="AC10" s="9"/>
      <c r="AD10" s="3"/>
      <c r="AE10" s="3"/>
      <c r="AF10" s="3"/>
      <c r="AG10" s="3"/>
      <c r="AH10" s="3"/>
    </row>
    <row r="11" ht="17.25" customHeight="1">
      <c r="A11" t="s" s="8">
        <v>30</v>
      </c>
      <c r="B11" s="10">
        <v>72</v>
      </c>
      <c r="C11" s="65" cm="1">
        <f t="array" ref="C11">F11/E11</f>
        <v>0.518518518518519</v>
      </c>
      <c r="D11" s="10">
        <v>205</v>
      </c>
      <c r="E11" s="10">
        <v>162</v>
      </c>
      <c r="F11" s="10">
        <v>84</v>
      </c>
      <c r="G11" s="10">
        <v>63</v>
      </c>
      <c r="H11" s="10">
        <v>13</v>
      </c>
      <c r="I11" s="10">
        <v>9</v>
      </c>
      <c r="J11" s="10">
        <v>1</v>
      </c>
      <c r="K11" s="10">
        <v>85</v>
      </c>
      <c r="L11" s="10">
        <v>58</v>
      </c>
      <c r="M11" s="10">
        <v>95</v>
      </c>
      <c r="N11" s="10">
        <v>37</v>
      </c>
      <c r="O11" s="10">
        <v>17</v>
      </c>
      <c r="P11" s="19" cm="1">
        <f t="array" ref="P11">O11/D11</f>
        <v>0.0829268292682927</v>
      </c>
      <c r="Q11" s="13" cm="1">
        <f t="array" ref="Q11">(G11*1+H11*2+I11*3+J11*4)/E11</f>
        <v>0.740740740740741</v>
      </c>
      <c r="R11" s="14" cm="1">
        <f t="array" ref="R11">(F11+N11)/D11</f>
        <v>0.590243902439024</v>
      </c>
      <c r="S11" s="15" cm="1">
        <f t="array" ref="S11">R11+Q11</f>
        <v>1.33098464317977</v>
      </c>
      <c r="T11" s="66" cm="1">
        <f t="array" ref="T11">O11/(D11-(F11+N11))</f>
        <v>0.202380952380952</v>
      </c>
      <c r="U11" s="17" cm="1">
        <f t="array" ref="U11">RANK(R11,$R$4:$R$26)</f>
        <v>2</v>
      </c>
      <c r="V11" s="18" cm="1">
        <f t="array" ref="V11">RANK(S11,$S$4:$S$26)</f>
        <v>2</v>
      </c>
      <c r="W11" s="61"/>
      <c r="X11" s="67">
        <v>0.00536062378167634</v>
      </c>
      <c r="Y11" s="68">
        <v>-0.00217955371043071</v>
      </c>
      <c r="Z11" s="67">
        <v>0.0170565302144249</v>
      </c>
      <c r="AA11" s="67">
        <v>0.00513751946030094</v>
      </c>
      <c r="AB11" s="67">
        <v>-0.169015356820235</v>
      </c>
      <c r="AC11" s="9"/>
      <c r="AD11" s="70">
        <v>158</v>
      </c>
      <c r="AE11" s="70">
        <v>126</v>
      </c>
      <c r="AF11" s="3"/>
      <c r="AG11" s="70" cm="1">
        <f t="array" ref="AG11">AB11*AD11</f>
        <v>-26.7044263775971</v>
      </c>
      <c r="AH11" s="70" cm="1">
        <f t="array" ref="AH11">X11*AE11</f>
        <v>0.675438596491219</v>
      </c>
    </row>
    <row r="12" ht="17.25" customHeight="1">
      <c r="A12" t="s" s="8">
        <v>31</v>
      </c>
      <c r="B12" s="10">
        <v>50</v>
      </c>
      <c r="C12" s="65" cm="1">
        <f t="array" ref="C12">F12/E12</f>
        <v>0.336633663366337</v>
      </c>
      <c r="D12" s="10">
        <v>121</v>
      </c>
      <c r="E12" s="10">
        <v>101</v>
      </c>
      <c r="F12" s="10">
        <v>34</v>
      </c>
      <c r="G12" s="10">
        <v>31</v>
      </c>
      <c r="H12" s="10">
        <v>3</v>
      </c>
      <c r="I12" s="10">
        <v>0</v>
      </c>
      <c r="J12" s="10">
        <v>0</v>
      </c>
      <c r="K12" s="10">
        <v>41</v>
      </c>
      <c r="L12" s="10">
        <v>25</v>
      </c>
      <c r="M12" s="10">
        <v>28</v>
      </c>
      <c r="N12" s="10">
        <v>20</v>
      </c>
      <c r="O12" s="10">
        <v>22</v>
      </c>
      <c r="P12" s="19" cm="1">
        <f t="array" ref="P12">O12/D12</f>
        <v>0.181818181818182</v>
      </c>
      <c r="Q12" s="13" cm="1">
        <f t="array" ref="Q12">(G12*1+H12*2+I12*3+J12*4)/E12</f>
        <v>0.366336633663366</v>
      </c>
      <c r="R12" s="14" cm="1">
        <f t="array" ref="R12">(F12+N12)/D12</f>
        <v>0.446280991735537</v>
      </c>
      <c r="S12" s="15" cm="1">
        <f t="array" ref="S12">R12+Q12</f>
        <v>0.812617625398903</v>
      </c>
      <c r="T12" s="66" cm="1">
        <f t="array" ref="T12">O12/(D12-(F12+N12))</f>
        <v>0.328358208955224</v>
      </c>
      <c r="U12" s="17" cm="1">
        <f t="array" ref="U12">RANK(R12,$R$4:$R$26)</f>
        <v>14</v>
      </c>
      <c r="V12" s="18" cm="1">
        <f t="array" ref="V12">RANK(S12,$S$4:$S$26)</f>
        <v>17</v>
      </c>
      <c r="W12" s="61"/>
      <c r="X12" s="67">
        <v>0.0553836633663367</v>
      </c>
      <c r="Y12" s="68">
        <v>-0.0404040404040404</v>
      </c>
      <c r="Z12" s="67">
        <v>0.0538366336633663</v>
      </c>
      <c r="AA12" s="67">
        <v>0.0851698806244261</v>
      </c>
      <c r="AB12" s="67">
        <v>0.222555513597661</v>
      </c>
      <c r="AC12" s="9"/>
      <c r="AD12" s="3"/>
      <c r="AE12" s="3"/>
      <c r="AF12" s="3"/>
      <c r="AG12" s="3"/>
      <c r="AH12" s="3"/>
    </row>
    <row r="13" ht="17.25" customHeight="1">
      <c r="A13" t="s" s="8">
        <v>32</v>
      </c>
      <c r="B13" s="10">
        <v>28</v>
      </c>
      <c r="C13" s="65" cm="1">
        <f t="array" ref="C13">F13/E13</f>
        <v>0.342105263157895</v>
      </c>
      <c r="D13" s="10">
        <v>56</v>
      </c>
      <c r="E13" s="10">
        <v>38</v>
      </c>
      <c r="F13" s="10">
        <v>13</v>
      </c>
      <c r="G13" s="10">
        <v>10</v>
      </c>
      <c r="H13" s="10">
        <v>2</v>
      </c>
      <c r="I13" s="10">
        <v>1</v>
      </c>
      <c r="J13" s="10">
        <v>0</v>
      </c>
      <c r="K13" s="10">
        <v>21</v>
      </c>
      <c r="L13" s="10">
        <v>11</v>
      </c>
      <c r="M13" s="10">
        <v>15</v>
      </c>
      <c r="N13" s="10">
        <v>11</v>
      </c>
      <c r="O13" s="10">
        <v>4</v>
      </c>
      <c r="P13" s="19" cm="1">
        <f t="array" ref="P13">O13/D13</f>
        <v>0.0714285714285714</v>
      </c>
      <c r="Q13" s="13" cm="1">
        <f t="array" ref="Q13">(G13*1+H13*2+I13*3+J13*4)/E13</f>
        <v>0.447368421052632</v>
      </c>
      <c r="R13" s="14" cm="1">
        <f t="array" ref="R13">(F13+N13)/D13</f>
        <v>0.428571428571429</v>
      </c>
      <c r="S13" s="15" cm="1">
        <f t="array" ref="S13">R13+Q13</f>
        <v>0.875939849624061</v>
      </c>
      <c r="T13" s="66" cm="1">
        <f t="array" ref="T13">O13/(D13-(F13+N13))</f>
        <v>0.125</v>
      </c>
      <c r="U13" s="17" cm="1">
        <f t="array" ref="U13">RANK(R13,$R$4:$R$26)</f>
        <v>16</v>
      </c>
      <c r="V13" s="18" cm="1">
        <f t="array" ref="V13">RANK(S13,$S$4:$S$26)</f>
        <v>14</v>
      </c>
      <c r="W13" s="61"/>
      <c r="X13" s="67">
        <v>0.175438596491228</v>
      </c>
      <c r="Y13" s="68">
        <v>-0.0396825396825397</v>
      </c>
      <c r="Z13" s="67">
        <v>0.280701754385965</v>
      </c>
      <c r="AA13" s="67">
        <v>0.317460317460317</v>
      </c>
      <c r="AB13" s="67">
        <v>0.598162071846282</v>
      </c>
      <c r="AC13" s="9"/>
      <c r="AD13" s="70">
        <v>-15</v>
      </c>
      <c r="AE13" s="70">
        <v>-25</v>
      </c>
      <c r="AF13" s="3"/>
      <c r="AG13" s="70" cm="1">
        <f t="array" ref="AG13">AB13*AD13</f>
        <v>-8.97243107769423</v>
      </c>
      <c r="AH13" s="70" cm="1">
        <f t="array" ref="AH13">X13*AE13</f>
        <v>-4.3859649122807</v>
      </c>
    </row>
    <row r="14" ht="17.25" customHeight="1">
      <c r="A14" t="s" s="8">
        <v>33</v>
      </c>
      <c r="B14" s="10">
        <v>54</v>
      </c>
      <c r="C14" s="65" cm="1">
        <f t="array" ref="C14">F14/E14</f>
        <v>0.487603305785124</v>
      </c>
      <c r="D14" s="10">
        <v>145</v>
      </c>
      <c r="E14" s="10">
        <v>121</v>
      </c>
      <c r="F14" s="10">
        <v>59</v>
      </c>
      <c r="G14" s="10">
        <v>35</v>
      </c>
      <c r="H14" s="10">
        <v>21</v>
      </c>
      <c r="I14" s="10">
        <v>2</v>
      </c>
      <c r="J14" s="10">
        <v>1</v>
      </c>
      <c r="K14" s="10">
        <v>45</v>
      </c>
      <c r="L14" s="10">
        <v>51</v>
      </c>
      <c r="M14" s="10">
        <v>22</v>
      </c>
      <c r="N14" s="10">
        <v>23</v>
      </c>
      <c r="O14" s="10">
        <v>6</v>
      </c>
      <c r="P14" s="19" cm="1">
        <f t="array" ref="P14">O14/D14</f>
        <v>0.0413793103448276</v>
      </c>
      <c r="Q14" s="13" cm="1">
        <f t="array" ref="Q14">(G14*1+H14*2+I14*3+J14*4)/E14</f>
        <v>0.71900826446281</v>
      </c>
      <c r="R14" s="14" cm="1">
        <f t="array" ref="R14">(F14+N14)/D14</f>
        <v>0.56551724137931</v>
      </c>
      <c r="S14" s="15" cm="1">
        <f t="array" ref="S14">R14+Q14</f>
        <v>1.28452550584212</v>
      </c>
      <c r="T14" s="66" cm="1">
        <f t="array" ref="T14">O14/(D14-(F14+N14))</f>
        <v>0.09523809523809521</v>
      </c>
      <c r="U14" s="17" cm="1">
        <f t="array" ref="U14">RANK(R14,$R$4:$R$26)</f>
        <v>3</v>
      </c>
      <c r="V14" s="18" cm="1">
        <f t="array" ref="V14">RANK(S14,$S$4:$S$26)</f>
        <v>3</v>
      </c>
      <c r="W14" s="61"/>
      <c r="X14" s="67">
        <v>-0.0316274634456453</v>
      </c>
      <c r="Y14" s="68">
        <v>-0.0448275862068966</v>
      </c>
      <c r="Z14" s="67">
        <v>-0.146376350921805</v>
      </c>
      <c r="AA14" s="67">
        <v>0.0137931034482759</v>
      </c>
      <c r="AB14" s="67">
        <v>-0.127333468516854</v>
      </c>
      <c r="AC14" s="9"/>
      <c r="AD14" s="70">
        <v>67</v>
      </c>
      <c r="AE14" s="70">
        <v>61</v>
      </c>
      <c r="AF14" s="3"/>
      <c r="AG14" s="70" cm="1">
        <f t="array" ref="AG14">AB14*AD14</f>
        <v>-8.53134239062922</v>
      </c>
      <c r="AH14" s="70" cm="1">
        <f t="array" ref="AH14">X14*AE14</f>
        <v>-1.92927527018436</v>
      </c>
    </row>
    <row r="15" ht="17.25" customHeight="1">
      <c r="A15" t="s" s="8">
        <v>35</v>
      </c>
      <c r="B15" s="10">
        <v>47</v>
      </c>
      <c r="C15" s="65" cm="1">
        <f t="array" ref="C15">F15/E15</f>
        <v>0.270588235294118</v>
      </c>
      <c r="D15" s="10">
        <v>115</v>
      </c>
      <c r="E15" s="10">
        <v>85</v>
      </c>
      <c r="F15" s="10">
        <v>23</v>
      </c>
      <c r="G15" s="10">
        <v>20</v>
      </c>
      <c r="H15" s="10">
        <v>3</v>
      </c>
      <c r="I15" s="10">
        <v>0</v>
      </c>
      <c r="J15" s="10">
        <v>0</v>
      </c>
      <c r="K15" s="10">
        <v>27</v>
      </c>
      <c r="L15" s="10">
        <v>24</v>
      </c>
      <c r="M15" s="10">
        <v>18</v>
      </c>
      <c r="N15" s="10">
        <v>25</v>
      </c>
      <c r="O15" s="10">
        <v>33</v>
      </c>
      <c r="P15" s="19" cm="1">
        <f t="array" ref="P15">O15/D15</f>
        <v>0.28695652173913</v>
      </c>
      <c r="Q15" s="13" cm="1">
        <f t="array" ref="Q15">(G15*1+H15*2+I15*3+J15*4)/E15</f>
        <v>0.305882352941176</v>
      </c>
      <c r="R15" s="14" cm="1">
        <f t="array" ref="R15">(F15+N15)/D15</f>
        <v>0.417391304347826</v>
      </c>
      <c r="S15" s="15" cm="1">
        <f t="array" ref="S15">R15+Q15</f>
        <v>0.7232736572890019</v>
      </c>
      <c r="T15" s="66" cm="1">
        <f t="array" ref="T15">O15/(D15-(F15+N15))</f>
        <v>0.492537313432836</v>
      </c>
      <c r="U15" s="17" cm="1">
        <f t="array" ref="U15">RANK(R15,$R$4:$R$26)</f>
        <v>19</v>
      </c>
      <c r="V15" s="18" cm="1">
        <f t="array" ref="V15">RANK(S15,$S$4:$S$26)</f>
        <v>20</v>
      </c>
      <c r="W15" s="61"/>
      <c r="X15" s="67">
        <v>0.116742081447964</v>
      </c>
      <c r="Y15" s="68">
        <v>-0.06304347826086951</v>
      </c>
      <c r="Z15" s="67">
        <v>0.152036199095023</v>
      </c>
      <c r="AA15" s="67">
        <v>0.117391304347826</v>
      </c>
      <c r="AB15" s="67">
        <v>0.269427503442849</v>
      </c>
      <c r="AC15" s="9"/>
      <c r="AD15" s="70">
        <v>40</v>
      </c>
      <c r="AE15" s="70">
        <v>25</v>
      </c>
      <c r="AF15" s="3"/>
      <c r="AG15" s="70" cm="1">
        <f t="array" ref="AG15">AB15*AD15</f>
        <v>10.777100137714</v>
      </c>
      <c r="AH15" s="70" cm="1">
        <f t="array" ref="AH15">X15*AE15</f>
        <v>2.9185520361991</v>
      </c>
    </row>
    <row r="16" ht="17.25" customHeight="1">
      <c r="A16" t="s" s="8">
        <v>36</v>
      </c>
      <c r="B16" s="10">
        <v>45</v>
      </c>
      <c r="C16" s="65" cm="1">
        <f t="array" ref="C16">F16/E16</f>
        <v>0.352112676056338</v>
      </c>
      <c r="D16" s="10">
        <v>84</v>
      </c>
      <c r="E16" s="10">
        <v>71</v>
      </c>
      <c r="F16" s="10">
        <v>25</v>
      </c>
      <c r="G16" s="10">
        <v>18</v>
      </c>
      <c r="H16" s="10">
        <v>7</v>
      </c>
      <c r="I16" s="10">
        <v>0</v>
      </c>
      <c r="J16" s="10">
        <v>0</v>
      </c>
      <c r="K16" s="10">
        <v>24</v>
      </c>
      <c r="L16" s="10">
        <v>25</v>
      </c>
      <c r="M16" s="10">
        <v>16</v>
      </c>
      <c r="N16" s="10">
        <v>12</v>
      </c>
      <c r="O16" s="10">
        <v>13</v>
      </c>
      <c r="P16" s="19" cm="1">
        <f t="array" ref="P16">O16/D16</f>
        <v>0.154761904761905</v>
      </c>
      <c r="Q16" s="13" cm="1">
        <f t="array" ref="Q16">(G16*1+H16*2+I16*3+J16*4)/E16</f>
        <v>0.450704225352113</v>
      </c>
      <c r="R16" s="14" cm="1">
        <f t="array" ref="R16">(F16+N16)/D16</f>
        <v>0.44047619047619</v>
      </c>
      <c r="S16" s="15" cm="1">
        <f t="array" ref="S16">R16+Q16</f>
        <v>0.891180415828303</v>
      </c>
      <c r="T16" s="66" cm="1">
        <f t="array" ref="T16">O16/(D16-(F16+N16))</f>
        <v>0.276595744680851</v>
      </c>
      <c r="U16" s="17" cm="1">
        <f t="array" ref="U16">RANK(R16,$R$4:$R$26)</f>
        <v>15</v>
      </c>
      <c r="V16" s="18" cm="1">
        <f t="array" ref="V16">RANK(S16,$S$4:$S$26)</f>
        <v>13</v>
      </c>
      <c r="W16" s="61"/>
      <c r="X16" s="67">
        <v>-0.022887323943662</v>
      </c>
      <c r="Y16" s="68">
        <v>0.0119047619047619</v>
      </c>
      <c r="Z16" s="67">
        <v>-0.0492957746478873</v>
      </c>
      <c r="AA16" s="67">
        <v>-0.0833333333333334</v>
      </c>
      <c r="AB16" s="67">
        <v>-0.0532640286161412</v>
      </c>
      <c r="AC16" s="9"/>
      <c r="AD16" s="70">
        <v>48</v>
      </c>
      <c r="AE16" s="70">
        <v>39</v>
      </c>
      <c r="AF16" s="3"/>
      <c r="AG16" s="70" cm="1">
        <f t="array" ref="AG16">AB16*AD16</f>
        <v>-2.55667337357478</v>
      </c>
      <c r="AH16" s="70" cm="1">
        <f t="array" ref="AH16">X16*AE16</f>
        <v>-0.892605633802818</v>
      </c>
    </row>
    <row r="17" ht="17.25" customHeight="1">
      <c r="A17" t="s" s="8">
        <v>37</v>
      </c>
      <c r="B17" s="10">
        <v>43</v>
      </c>
      <c r="C17" s="65" cm="1">
        <f t="array" ref="C17">F17/E17</f>
        <v>0.370786516853933</v>
      </c>
      <c r="D17" s="10">
        <v>117</v>
      </c>
      <c r="E17" s="10">
        <v>89</v>
      </c>
      <c r="F17" s="10">
        <v>33</v>
      </c>
      <c r="G17" s="10">
        <v>26</v>
      </c>
      <c r="H17" s="10">
        <v>3</v>
      </c>
      <c r="I17" s="10">
        <v>4</v>
      </c>
      <c r="J17" s="10">
        <v>0</v>
      </c>
      <c r="K17" s="10">
        <v>37</v>
      </c>
      <c r="L17" s="10">
        <v>18</v>
      </c>
      <c r="M17" s="10">
        <v>35</v>
      </c>
      <c r="N17" s="10">
        <v>26</v>
      </c>
      <c r="O17" s="10">
        <v>19</v>
      </c>
      <c r="P17" s="19" cm="1">
        <f t="array" ref="P17">O17/D17</f>
        <v>0.162393162393162</v>
      </c>
      <c r="Q17" s="13" cm="1">
        <f t="array" ref="Q17">(G17*1+H17*2+I17*3+J17*4)/E17</f>
        <v>0.49438202247191</v>
      </c>
      <c r="R17" s="14" cm="1">
        <f t="array" ref="R17">(F17+N17)/D17</f>
        <v>0.504273504273504</v>
      </c>
      <c r="S17" s="15" cm="1">
        <f t="array" ref="S17">R17+Q17</f>
        <v>0.998655526745414</v>
      </c>
      <c r="T17" s="66" cm="1">
        <f t="array" ref="T17">O17/(D17-(F17+N17))</f>
        <v>0.327586206896552</v>
      </c>
      <c r="U17" s="17" cm="1">
        <f t="array" ref="U17">RANK(R17,$R$4:$R$26)</f>
        <v>9</v>
      </c>
      <c r="V17" s="18" cm="1">
        <f t="array" ref="V17">RANK(S17,$S$4:$S$26)</f>
        <v>9</v>
      </c>
      <c r="W17" s="61"/>
      <c r="X17" s="67">
        <v>0.0707865168539326</v>
      </c>
      <c r="Y17" s="68">
        <v>-0.170940170940171</v>
      </c>
      <c r="Z17" s="67">
        <v>0.0943820224719101</v>
      </c>
      <c r="AA17" s="67">
        <v>0.0876068376068376</v>
      </c>
      <c r="AB17" s="67">
        <v>0.181988860078748</v>
      </c>
      <c r="AC17" s="9"/>
      <c r="AD17" s="70">
        <v>59</v>
      </c>
      <c r="AE17" s="70">
        <v>37</v>
      </c>
      <c r="AF17" s="3"/>
      <c r="AG17" s="70" cm="1">
        <f t="array" ref="AG17">AB17*AD17</f>
        <v>10.7373427446461</v>
      </c>
      <c r="AH17" s="70" cm="1">
        <f t="array" ref="AH17">X17*AE17</f>
        <v>2.61910112359551</v>
      </c>
    </row>
    <row r="18" ht="17.25" customHeight="1">
      <c r="A18" t="s" s="8">
        <v>38</v>
      </c>
      <c r="B18" s="10">
        <v>56</v>
      </c>
      <c r="C18" s="65" cm="1">
        <f t="array" ref="C18">F18/E18</f>
        <v>0.401869158878505</v>
      </c>
      <c r="D18" s="10">
        <v>126</v>
      </c>
      <c r="E18" s="10">
        <v>107</v>
      </c>
      <c r="F18" s="10">
        <v>43</v>
      </c>
      <c r="G18" s="10">
        <v>35</v>
      </c>
      <c r="H18" s="10">
        <v>6</v>
      </c>
      <c r="I18" s="10">
        <v>1</v>
      </c>
      <c r="J18" s="10">
        <v>1</v>
      </c>
      <c r="K18" s="10">
        <v>29</v>
      </c>
      <c r="L18" s="10">
        <v>23</v>
      </c>
      <c r="M18" s="10">
        <v>15</v>
      </c>
      <c r="N18" s="10">
        <v>15</v>
      </c>
      <c r="O18" s="10">
        <v>19</v>
      </c>
      <c r="P18" s="19" cm="1">
        <f t="array" ref="P18">O18/D18</f>
        <v>0.150793650793651</v>
      </c>
      <c r="Q18" s="13" cm="1">
        <f t="array" ref="Q18">(G18*1+H18*2+I18*3+J18*4)/E18</f>
        <v>0.504672897196262</v>
      </c>
      <c r="R18" s="14" cm="1">
        <f t="array" ref="R18">(F18+N18)/D18</f>
        <v>0.46031746031746</v>
      </c>
      <c r="S18" s="15" cm="1">
        <f t="array" ref="S18">R18+Q18</f>
        <v>0.964990357513722</v>
      </c>
      <c r="T18" s="66" cm="1">
        <f t="array" ref="T18">O18/(D18-(F18+N18))</f>
        <v>0.279411764705882</v>
      </c>
      <c r="U18" s="17" cm="1">
        <f t="array" ref="U18">RANK(R18,$R$4:$R$26)</f>
        <v>12</v>
      </c>
      <c r="V18" s="18" cm="1">
        <f t="array" ref="V18">RANK(S18,$S$4:$S$26)</f>
        <v>10</v>
      </c>
      <c r="W18" s="61"/>
      <c r="X18" s="67">
        <v>-0.11425987337956</v>
      </c>
      <c r="Y18" s="68">
        <v>-0.0113685113685114</v>
      </c>
      <c r="Z18" s="67">
        <v>-0.172746457642448</v>
      </c>
      <c r="AA18" s="67">
        <v>-0.107250107250107</v>
      </c>
      <c r="AB18" s="67">
        <v>-0.318342975819611</v>
      </c>
      <c r="AC18" s="9"/>
      <c r="AD18" s="70">
        <v>86</v>
      </c>
      <c r="AE18" s="70">
        <v>73</v>
      </c>
      <c r="AF18" s="3"/>
      <c r="AG18" s="70" cm="1">
        <f t="array" ref="AG18">AB18*AD18</f>
        <v>-27.3774959204865</v>
      </c>
      <c r="AH18" s="70" cm="1">
        <f t="array" ref="AH18">X18*AE18</f>
        <v>-8.340970756707881</v>
      </c>
    </row>
    <row r="19" ht="17.25" customHeight="1">
      <c r="A19" t="s" s="8">
        <v>39</v>
      </c>
      <c r="B19" s="10">
        <v>39</v>
      </c>
      <c r="C19" s="65" cm="1">
        <f t="array" ref="C19">F19/E19</f>
        <v>0.341176470588235</v>
      </c>
      <c r="D19" s="10">
        <v>105</v>
      </c>
      <c r="E19" s="10">
        <v>85</v>
      </c>
      <c r="F19" s="10">
        <v>29</v>
      </c>
      <c r="G19" s="10">
        <v>25</v>
      </c>
      <c r="H19" s="10">
        <v>1</v>
      </c>
      <c r="I19" s="10">
        <v>1</v>
      </c>
      <c r="J19" s="10">
        <v>2</v>
      </c>
      <c r="K19" s="10">
        <v>27</v>
      </c>
      <c r="L19" s="10">
        <v>32</v>
      </c>
      <c r="M19" s="10">
        <v>12</v>
      </c>
      <c r="N19" s="10">
        <v>16</v>
      </c>
      <c r="O19" s="10">
        <v>13</v>
      </c>
      <c r="P19" s="19" cm="1">
        <f t="array" ref="P19">O19/D19</f>
        <v>0.123809523809524</v>
      </c>
      <c r="Q19" s="13" cm="1">
        <f t="array" ref="Q19">(G19*1+H19*2+I19*3+J19*4)/E19</f>
        <v>0.447058823529412</v>
      </c>
      <c r="R19" s="14" cm="1">
        <f t="array" ref="R19">(F19+N19)/D19</f>
        <v>0.428571428571429</v>
      </c>
      <c r="S19" s="15" cm="1">
        <f t="array" ref="S19">R19+Q19</f>
        <v>0.875630252100841</v>
      </c>
      <c r="T19" s="66" cm="1">
        <f t="array" ref="T19">O19/(D19-(F19+N19))</f>
        <v>0.216666666666667</v>
      </c>
      <c r="U19" s="17" cm="1">
        <f t="array" ref="U19">RANK(R19,$R$4:$R$26)</f>
        <v>16</v>
      </c>
      <c r="V19" s="18" cm="1">
        <f t="array" ref="V19">RANK(S19,$S$4:$S$26)</f>
        <v>15</v>
      </c>
      <c r="W19" s="61"/>
      <c r="X19" s="67">
        <v>-0.0411764705882353</v>
      </c>
      <c r="Y19" s="68">
        <v>0.0238095238095238</v>
      </c>
      <c r="Z19" s="67">
        <v>0.0647058823529412</v>
      </c>
      <c r="AA19" s="67">
        <v>-0.0214285714285715</v>
      </c>
      <c r="AB19" s="67">
        <v>0.161993888464477</v>
      </c>
      <c r="AC19" s="9"/>
      <c r="AD19" s="70">
        <v>81</v>
      </c>
      <c r="AE19" s="70">
        <v>66</v>
      </c>
      <c r="AF19" s="3"/>
      <c r="AG19" s="70" cm="1">
        <f t="array" ref="AG19">AB19*AD19</f>
        <v>13.1215049656226</v>
      </c>
      <c r="AH19" s="70" cm="1">
        <f t="array" ref="AH19">X19*AE19</f>
        <v>-2.71764705882353</v>
      </c>
    </row>
    <row r="20" ht="17.25" customHeight="1">
      <c r="A20" t="s" s="8">
        <v>70</v>
      </c>
      <c r="B20" s="10">
        <v>9</v>
      </c>
      <c r="C20" s="65" cm="1">
        <f t="array" ref="C20">F20/E20</f>
        <v>0.294117647058824</v>
      </c>
      <c r="D20" s="10">
        <v>20</v>
      </c>
      <c r="E20" s="10">
        <v>17</v>
      </c>
      <c r="F20" s="10">
        <v>5</v>
      </c>
      <c r="G20" s="10">
        <v>5</v>
      </c>
      <c r="H20" s="10">
        <v>0</v>
      </c>
      <c r="I20" s="10">
        <v>0</v>
      </c>
      <c r="J20" s="10">
        <v>0</v>
      </c>
      <c r="K20" s="10">
        <v>4</v>
      </c>
      <c r="L20" s="10">
        <v>2</v>
      </c>
      <c r="M20" s="10">
        <v>3</v>
      </c>
      <c r="N20" s="10">
        <v>2</v>
      </c>
      <c r="O20" s="10">
        <v>2</v>
      </c>
      <c r="P20" s="19" cm="1">
        <f t="array" ref="P20">O20/D20</f>
        <v>0.1</v>
      </c>
      <c r="Q20" s="13" cm="1">
        <f t="array" ref="Q20">(G20*1+H20*2+I20*3+J20*4)/E20</f>
        <v>0.294117647058824</v>
      </c>
      <c r="R20" s="14" cm="1">
        <f t="array" ref="R20">(F20+N20)/D20</f>
        <v>0.35</v>
      </c>
      <c r="S20" s="15" cm="1">
        <f t="array" ref="S20">R20+Q20</f>
        <v>0.644117647058824</v>
      </c>
      <c r="T20" s="66" cm="1">
        <f t="array" ref="T20">O20/(D20-(F20+N20))</f>
        <v>0.153846153846154</v>
      </c>
      <c r="U20" s="17" cm="1">
        <f t="array" ref="U20">RANK(R20,$R$4:$R$26)</f>
        <v>22</v>
      </c>
      <c r="V20" s="18" cm="1">
        <f t="array" ref="V20">RANK(S20,$S$4:$S$26)</f>
        <v>21</v>
      </c>
      <c r="W20" s="61"/>
      <c r="X20" s="67"/>
      <c r="Y20" s="68"/>
      <c r="Z20" s="67"/>
      <c r="AA20" s="67"/>
      <c r="AB20" s="67"/>
      <c r="AC20" s="9"/>
      <c r="AD20" s="70">
        <v>-18</v>
      </c>
      <c r="AE20" s="70">
        <v>-14</v>
      </c>
      <c r="AF20" s="3"/>
      <c r="AG20" s="70" cm="1">
        <f t="array" ref="AG20">AB20*AD20</f>
        <v>0</v>
      </c>
      <c r="AH20" s="70" cm="1">
        <f t="array" ref="AH20">X20*AE20</f>
        <v>0</v>
      </c>
    </row>
    <row r="21" ht="17.25" customHeight="1">
      <c r="A21" t="s" s="8">
        <v>40</v>
      </c>
      <c r="B21" s="10">
        <v>49</v>
      </c>
      <c r="C21" s="65" cm="1">
        <f t="array" ref="C21">F21/E21</f>
        <v>0.225</v>
      </c>
      <c r="D21" s="10">
        <v>111</v>
      </c>
      <c r="E21" s="10">
        <v>80</v>
      </c>
      <c r="F21" s="10">
        <v>18</v>
      </c>
      <c r="G21" s="10">
        <v>12</v>
      </c>
      <c r="H21" s="10">
        <v>5</v>
      </c>
      <c r="I21" s="10">
        <v>1</v>
      </c>
      <c r="J21" s="10">
        <v>0</v>
      </c>
      <c r="K21" s="10">
        <v>30</v>
      </c>
      <c r="L21" s="10">
        <v>27</v>
      </c>
      <c r="M21" s="10">
        <v>28</v>
      </c>
      <c r="N21" s="10">
        <v>28</v>
      </c>
      <c r="O21" s="10">
        <v>24</v>
      </c>
      <c r="P21" s="19" cm="1">
        <f t="array" ref="P21">O21/D21</f>
        <v>0.216216216216216</v>
      </c>
      <c r="Q21" s="13" cm="1">
        <f t="array" ref="Q21">(G21*1+H21*2+I21*3+J21*4)/E21</f>
        <v>0.3125</v>
      </c>
      <c r="R21" s="14" cm="1">
        <f t="array" ref="R21">(F21+N21)/D21</f>
        <v>0.414414414414414</v>
      </c>
      <c r="S21" s="15" cm="1">
        <f t="array" ref="S21">R21+Q21</f>
        <v>0.726914414414414</v>
      </c>
      <c r="T21" s="66" cm="1">
        <f t="array" ref="T21">O21/(D21-(F21+N21))</f>
        <v>0.369230769230769</v>
      </c>
      <c r="U21" s="17" cm="1">
        <f t="array" ref="U21">RANK(R21,$R$4:$R$26)</f>
        <v>20</v>
      </c>
      <c r="V21" s="18" cm="1">
        <f t="array" ref="V21">RANK(S21,$S$4:$S$26)</f>
        <v>19</v>
      </c>
      <c r="W21" s="61"/>
      <c r="X21" s="67">
        <v>0.0305555555555556</v>
      </c>
      <c r="Y21" s="68">
        <v>-0.145485911443358</v>
      </c>
      <c r="Z21" s="67">
        <v>0.0625</v>
      </c>
      <c r="AA21" s="67">
        <v>0.0314356910101591</v>
      </c>
      <c r="AB21" s="67">
        <v>0.286848732969423</v>
      </c>
      <c r="AC21" s="9"/>
      <c r="AD21" s="70">
        <v>49</v>
      </c>
      <c r="AE21" s="70">
        <v>28</v>
      </c>
      <c r="AF21" s="3"/>
      <c r="AG21" s="70" cm="1">
        <f t="array" ref="AG21">AB21*AD21</f>
        <v>14.0555879155017</v>
      </c>
      <c r="AH21" s="70" cm="1">
        <f t="array" ref="AH21">X21*AE21</f>
        <v>0.855555555555557</v>
      </c>
    </row>
    <row r="22" ht="17.25" customHeight="1">
      <c r="A22" t="s" s="8">
        <v>41</v>
      </c>
      <c r="B22" s="10">
        <v>62</v>
      </c>
      <c r="C22" s="65" cm="1">
        <f t="array" ref="C22">F22/E22</f>
        <v>0.4609375</v>
      </c>
      <c r="D22" s="10">
        <v>150</v>
      </c>
      <c r="E22" s="10">
        <v>128</v>
      </c>
      <c r="F22" s="10">
        <v>59</v>
      </c>
      <c r="G22" s="10">
        <v>44</v>
      </c>
      <c r="H22" s="10">
        <v>13</v>
      </c>
      <c r="I22" s="10">
        <v>0</v>
      </c>
      <c r="J22" s="10">
        <v>2</v>
      </c>
      <c r="K22" s="10">
        <v>51</v>
      </c>
      <c r="L22" s="10">
        <v>47</v>
      </c>
      <c r="M22" s="10">
        <v>26</v>
      </c>
      <c r="N22" s="10">
        <v>22</v>
      </c>
      <c r="O22" s="10">
        <v>19</v>
      </c>
      <c r="P22" s="19" cm="1">
        <f t="array" ref="P22">O22/D22</f>
        <v>0.126666666666667</v>
      </c>
      <c r="Q22" s="13" cm="1">
        <f t="array" ref="Q22">(G22*1+H22*2+I22*3+J22*4)/E22</f>
        <v>0.609375</v>
      </c>
      <c r="R22" s="14" cm="1">
        <f t="array" ref="R22">(F22+N22)/D22</f>
        <v>0.54</v>
      </c>
      <c r="S22" s="15" cm="1">
        <f t="array" ref="S22">R22+Q22</f>
        <v>1.149375</v>
      </c>
      <c r="T22" s="66" cm="1">
        <f t="array" ref="T22">O22/(D22-(F22+N22))</f>
        <v>0.27536231884058</v>
      </c>
      <c r="U22" s="17" cm="1">
        <f t="array" ref="U22">RANK(R22,$R$4:$R$26)</f>
        <v>4</v>
      </c>
      <c r="V22" s="18" cm="1">
        <f t="array" ref="V22">RANK(S22,$S$4:$S$26)</f>
        <v>6</v>
      </c>
      <c r="W22" s="61"/>
      <c r="X22" s="67">
        <v>0.0323660714285715</v>
      </c>
      <c r="Y22" s="68">
        <v>-0.0141784037558685</v>
      </c>
      <c r="Z22" s="67">
        <v>0.06969246031746031</v>
      </c>
      <c r="AA22" s="67">
        <v>0.0470422535211268</v>
      </c>
      <c r="AB22" s="67">
        <v>0.217556818181818</v>
      </c>
      <c r="AC22" s="9"/>
      <c r="AD22" s="70">
        <v>149</v>
      </c>
      <c r="AE22" s="70">
        <v>127</v>
      </c>
      <c r="AF22" s="3"/>
      <c r="AG22" s="70" cm="1">
        <f t="array" ref="AG22">AB22*AD22</f>
        <v>32.4159659090909</v>
      </c>
      <c r="AH22" s="70" cm="1">
        <f t="array" ref="AH22">X22*AE22</f>
        <v>4.11049107142858</v>
      </c>
    </row>
    <row r="23" ht="17.25" customHeight="1">
      <c r="A23" t="s" s="8">
        <v>42</v>
      </c>
      <c r="B23" s="10">
        <v>40</v>
      </c>
      <c r="C23" s="65" cm="1">
        <f t="array" ref="C23">F23/E23</f>
        <v>0.318181818181818</v>
      </c>
      <c r="D23" s="10">
        <v>89</v>
      </c>
      <c r="E23" s="10">
        <v>66</v>
      </c>
      <c r="F23" s="10">
        <v>21</v>
      </c>
      <c r="G23" s="10">
        <v>16</v>
      </c>
      <c r="H23" s="10">
        <v>5</v>
      </c>
      <c r="I23" s="10">
        <v>0</v>
      </c>
      <c r="J23" s="10">
        <v>0</v>
      </c>
      <c r="K23" s="10">
        <v>24</v>
      </c>
      <c r="L23" s="10">
        <v>17</v>
      </c>
      <c r="M23" s="10">
        <v>17</v>
      </c>
      <c r="N23" s="10">
        <v>21</v>
      </c>
      <c r="O23" s="10">
        <v>22</v>
      </c>
      <c r="P23" s="19" cm="1">
        <f t="array" ref="P23">O23/D23</f>
        <v>0.247191011235955</v>
      </c>
      <c r="Q23" s="13" cm="1">
        <f t="array" ref="Q23">(G23*1+H23*2+I23*3+J23*4)/E23</f>
        <v>0.393939393939394</v>
      </c>
      <c r="R23" s="14" cm="1">
        <f t="array" ref="R23">(F23+N23)/D23</f>
        <v>0.471910112359551</v>
      </c>
      <c r="S23" s="15" cm="1">
        <f t="array" ref="S23">R23+Q23</f>
        <v>0.865849506298945</v>
      </c>
      <c r="T23" s="66" cm="1">
        <f t="array" ref="T23">O23/(D23-(F23+N23))</f>
        <v>0.468085106382979</v>
      </c>
      <c r="U23" s="17" cm="1">
        <f t="array" ref="U23">RANK(R23,$R$4:$R$26)</f>
        <v>11</v>
      </c>
      <c r="V23" s="18" cm="1">
        <f t="array" ref="V23">RANK(S23,$S$4:$S$26)</f>
        <v>16</v>
      </c>
      <c r="W23" s="61"/>
      <c r="X23" s="67">
        <v>0.00239234449760767</v>
      </c>
      <c r="Y23" s="68">
        <v>0.0388576779026217</v>
      </c>
      <c r="Z23" s="67">
        <v>0.0781499202551834</v>
      </c>
      <c r="AA23" s="67">
        <v>0.0552434456928839</v>
      </c>
      <c r="AB23" s="67">
        <v>0.143627284076722</v>
      </c>
      <c r="AC23" s="9"/>
      <c r="AD23" s="70">
        <v>77</v>
      </c>
      <c r="AE23" s="70">
        <v>56</v>
      </c>
      <c r="AF23" s="3"/>
      <c r="AG23" s="70" cm="1">
        <f t="array" ref="AG23">AB23*AD23</f>
        <v>11.0593008739076</v>
      </c>
      <c r="AH23" s="70" cm="1">
        <f t="array" ref="AH23">X23*AE23</f>
        <v>0.13397129186603</v>
      </c>
    </row>
    <row r="24" ht="17.25" customHeight="1">
      <c r="A24" t="s" s="8">
        <v>43</v>
      </c>
      <c r="B24" s="10">
        <v>52</v>
      </c>
      <c r="C24" s="65" cm="1">
        <f t="array" ref="C24">F24/E24</f>
        <v>0.320388349514563</v>
      </c>
      <c r="D24" s="10">
        <v>131</v>
      </c>
      <c r="E24" s="10">
        <v>103</v>
      </c>
      <c r="F24" s="10">
        <v>33</v>
      </c>
      <c r="G24" s="10">
        <v>21</v>
      </c>
      <c r="H24" s="10">
        <v>10</v>
      </c>
      <c r="I24" s="10">
        <v>2</v>
      </c>
      <c r="J24" s="10">
        <v>0</v>
      </c>
      <c r="K24" s="10">
        <v>31</v>
      </c>
      <c r="L24" s="10">
        <v>26</v>
      </c>
      <c r="M24" s="10">
        <v>18</v>
      </c>
      <c r="N24" s="10">
        <v>27</v>
      </c>
      <c r="O24" s="10">
        <v>26</v>
      </c>
      <c r="P24" s="19" cm="1">
        <f t="array" ref="P24">O24/D24</f>
        <v>0.198473282442748</v>
      </c>
      <c r="Q24" s="13" cm="1">
        <f t="array" ref="Q24">(G24*1+H24*2+I24*3+J24*4)/E24</f>
        <v>0.45631067961165</v>
      </c>
      <c r="R24" s="14" cm="1">
        <f t="array" ref="R24">(F24+N24)/D24</f>
        <v>0.458015267175573</v>
      </c>
      <c r="S24" s="15" cm="1">
        <f t="array" ref="S24">R24+Q24</f>
        <v>0.914325946787223</v>
      </c>
      <c r="T24" s="66" cm="1">
        <f t="array" ref="T24">O24/(D24-(F24+N24))</f>
        <v>0.366197183098592</v>
      </c>
      <c r="U24" s="17" cm="1">
        <f t="array" ref="U24">RANK(R24,$R$4:$R$26)</f>
        <v>13</v>
      </c>
      <c r="V24" s="18" cm="1">
        <f t="array" ref="V24">RANK(S24,$S$4:$S$26)</f>
        <v>12</v>
      </c>
      <c r="W24" s="61"/>
      <c r="X24" s="67">
        <v>-0.0449962658700522</v>
      </c>
      <c r="Y24" s="68">
        <v>0.0049248953459739</v>
      </c>
      <c r="Z24" s="67">
        <v>-0.0629200896191188</v>
      </c>
      <c r="AA24" s="67">
        <v>-0.00972666830829844</v>
      </c>
      <c r="AB24" s="67">
        <v>0.159939981874942</v>
      </c>
      <c r="AC24" s="9"/>
      <c r="AD24" s="70">
        <v>122</v>
      </c>
      <c r="AE24" s="70">
        <v>97</v>
      </c>
      <c r="AF24" s="3"/>
      <c r="AG24" s="70" cm="1">
        <f t="array" ref="AG24">AB24*AD24</f>
        <v>19.5126777887429</v>
      </c>
      <c r="AH24" s="70" cm="1">
        <f t="array" ref="AH24">X24*AE24</f>
        <v>-4.36463778939506</v>
      </c>
    </row>
    <row r="25" ht="17.25" customHeight="1">
      <c r="A25" t="s" s="8">
        <v>71</v>
      </c>
      <c r="B25" s="10">
        <v>1</v>
      </c>
      <c r="C25" s="65" cm="1">
        <f t="array" ref="C25">F25/E25</f>
        <v>0</v>
      </c>
      <c r="D25" s="10">
        <v>2</v>
      </c>
      <c r="E25" s="10">
        <v>2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9" cm="1">
        <f t="array" ref="P25">O25/D25</f>
        <v>0.5</v>
      </c>
      <c r="Q25" s="13" cm="1">
        <f t="array" ref="Q25">(G25*1+H25*2+I25*3+J25*4)/E25</f>
        <v>0</v>
      </c>
      <c r="R25" s="14" cm="1">
        <f t="array" ref="R25">(F25+N25)/D25</f>
        <v>0</v>
      </c>
      <c r="S25" s="15" cm="1">
        <f t="array" ref="S25">R25+Q25</f>
        <v>0</v>
      </c>
      <c r="T25" s="66" cm="1">
        <f t="array" ref="T25">O25/(D25-(F25+N25))</f>
        <v>0.5</v>
      </c>
      <c r="U25" s="17" cm="1">
        <f t="array" ref="U25">RANK(R25,$R$4:$R$26)</f>
        <v>23</v>
      </c>
      <c r="V25" s="18" cm="1">
        <f t="array" ref="V25">RANK(S25,$S$4:$S$26)</f>
        <v>23</v>
      </c>
      <c r="W25" s="61"/>
      <c r="X25" s="67"/>
      <c r="Y25" s="68"/>
      <c r="Z25" s="67"/>
      <c r="AA25" s="67"/>
      <c r="AB25" s="67"/>
      <c r="AC25" s="9"/>
      <c r="AD25" s="70">
        <v>-32</v>
      </c>
      <c r="AE25" s="70">
        <v>-15</v>
      </c>
      <c r="AF25" s="3"/>
      <c r="AG25" s="70" cm="1">
        <f t="array" ref="AG25">AB25*AD25</f>
        <v>0</v>
      </c>
      <c r="AH25" s="70" cm="1">
        <f t="array" ref="AH25">X25*AE25</f>
        <v>0</v>
      </c>
    </row>
    <row r="26" ht="17.25" customHeight="1">
      <c r="A26" t="s" s="8">
        <v>44</v>
      </c>
      <c r="B26" s="10">
        <v>22</v>
      </c>
      <c r="C26" s="65" cm="1">
        <f t="array" ref="C26">F26/E26</f>
        <v>0.222222222222222</v>
      </c>
      <c r="D26" s="10">
        <v>56</v>
      </c>
      <c r="E26" s="10">
        <v>36</v>
      </c>
      <c r="F26" s="10">
        <v>8</v>
      </c>
      <c r="G26" s="10">
        <v>8</v>
      </c>
      <c r="H26" s="10">
        <v>0</v>
      </c>
      <c r="I26" s="10">
        <v>0</v>
      </c>
      <c r="J26" s="10">
        <v>0</v>
      </c>
      <c r="K26" s="10">
        <v>16</v>
      </c>
      <c r="L26" s="10">
        <v>5</v>
      </c>
      <c r="M26" s="10">
        <v>6</v>
      </c>
      <c r="N26" s="10">
        <v>13</v>
      </c>
      <c r="O26" s="10">
        <v>9</v>
      </c>
      <c r="P26" s="19" cm="1">
        <f t="array" ref="P26">O26/D26</f>
        <v>0.160714285714286</v>
      </c>
      <c r="Q26" s="13" cm="1">
        <f t="array" ref="Q26">(G26*1+H26*2+I26*3+J26*4)/E26</f>
        <v>0.222222222222222</v>
      </c>
      <c r="R26" s="14" cm="1">
        <f t="array" ref="R26">(F26+N26)/D26</f>
        <v>0.375</v>
      </c>
      <c r="S26" s="15" cm="1">
        <f t="array" ref="S26">R26+Q26</f>
        <v>0.597222222222222</v>
      </c>
      <c r="T26" s="66" cm="1">
        <f t="array" ref="T26">O26/(D26-(F26+N26))</f>
        <v>0.257142857142857</v>
      </c>
      <c r="U26" s="17" cm="1">
        <f t="array" ref="U26">RANK(R26,$R$4:$R$26)</f>
        <v>21</v>
      </c>
      <c r="V26" s="18" cm="1">
        <f t="array" ref="V26">RANK(S26,$S$4:$S$26)</f>
        <v>22</v>
      </c>
      <c r="W26" s="61"/>
      <c r="X26" s="67">
        <v>0.131313131313131</v>
      </c>
      <c r="Y26" s="68">
        <v>-0.0267857142857143</v>
      </c>
      <c r="Z26" s="67">
        <v>0.131313131313131</v>
      </c>
      <c r="AA26" s="67">
        <v>0.1875</v>
      </c>
      <c r="AB26" s="67">
        <v>0.318813131313131</v>
      </c>
      <c r="AC26" s="9"/>
      <c r="AD26" s="70">
        <v>19</v>
      </c>
      <c r="AE26" s="70">
        <v>5</v>
      </c>
      <c r="AF26" s="3"/>
      <c r="AG26" s="70" cm="1">
        <f t="array" ref="AG26">AB26*AD26</f>
        <v>6.05744949494949</v>
      </c>
      <c r="AH26" s="70" cm="1">
        <f t="array" ref="AH26">X26*AE26</f>
        <v>0.656565656565655</v>
      </c>
    </row>
    <row r="27" ht="17.25" customHeight="1">
      <c r="A27" t="s" s="29">
        <v>45</v>
      </c>
      <c r="B27" s="30"/>
      <c r="C27" s="31" cm="1">
        <f t="array" ref="C27">F27/E27</f>
        <v>0.393264530146659</v>
      </c>
      <c r="D27" s="32" cm="1">
        <f t="array" ref="D27">SUM(D4:D26)</f>
        <v>2318</v>
      </c>
      <c r="E27" s="32" cm="1">
        <f t="array" ref="E27">SUM(E4:E26)</f>
        <v>1841</v>
      </c>
      <c r="F27" s="32" cm="1">
        <f t="array" ref="F27">SUM(F4:F26)</f>
        <v>724</v>
      </c>
      <c r="G27" s="32" cm="1">
        <f t="array" ref="G27">SUM(G4:G26)</f>
        <v>531</v>
      </c>
      <c r="H27" s="32" cm="1">
        <f t="array" ref="H27">SUM(H4:H26)</f>
        <v>148</v>
      </c>
      <c r="I27" s="32" cm="1">
        <f t="array" ref="I27">SUM(I4:I26)</f>
        <v>35</v>
      </c>
      <c r="J27" s="32" cm="1">
        <f t="array" ref="J27">SUM(J4:J26)</f>
        <v>12</v>
      </c>
      <c r="K27" s="32" cm="1">
        <f t="array" ref="K27">SUM(K4:K26)</f>
        <v>735</v>
      </c>
      <c r="L27" s="32" cm="1">
        <f t="array" ref="L27">SUM(L4:L26)</f>
        <v>608</v>
      </c>
      <c r="M27" s="32" cm="1">
        <f t="array" ref="M27">SUM(M4:M26)</f>
        <v>538</v>
      </c>
      <c r="N27" s="32" cm="1">
        <f t="array" ref="N27">SUM(N4:N26)</f>
        <v>426</v>
      </c>
      <c r="O27" s="32" cm="1">
        <f t="array" ref="O27">SUM(O4:O26)</f>
        <v>355</v>
      </c>
      <c r="P27" s="33" cm="1">
        <f t="array" ref="P27">O27/D27</f>
        <v>0.153149266609146</v>
      </c>
      <c r="Q27" s="31" cm="1">
        <f t="array" ref="Q27">(G27*1+H27*2+I27*3+J27*4)/E27</f>
        <v>0.532319391634981</v>
      </c>
      <c r="R27" s="31" cm="1">
        <f t="array" ref="R27">(F27+N27)/D27</f>
        <v>0.49611734253667</v>
      </c>
      <c r="S27" s="31" cm="1">
        <f t="array" ref="S27">R27+Q27</f>
        <v>1.02843673417165</v>
      </c>
      <c r="T27" s="31"/>
      <c r="U27" s="31"/>
      <c r="V27" s="31"/>
      <c r="W27" s="61"/>
      <c r="X27" s="67">
        <v>0.0136349005170298</v>
      </c>
      <c r="Y27" s="68">
        <v>-0.0335174000575209</v>
      </c>
      <c r="Z27" s="67">
        <v>-0.0176806083650191</v>
      </c>
      <c r="AA27" s="67">
        <v>0.0161173425366696</v>
      </c>
      <c r="AB27" s="67">
        <v>0.0317386209641033</v>
      </c>
      <c r="AC27" s="9"/>
      <c r="AD27" s="3"/>
      <c r="AE27" s="3"/>
      <c r="AF27" s="3"/>
      <c r="AG27" s="3"/>
      <c r="AH27" s="3"/>
    </row>
    <row r="28" ht="16.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4"/>
      <c r="V28" s="34"/>
      <c r="W28" s="3"/>
      <c r="X28" s="34"/>
      <c r="Y28" s="34"/>
      <c r="Z28" s="34"/>
      <c r="AA28" s="34"/>
      <c r="AB28" s="34"/>
      <c r="AC28" s="3"/>
      <c r="AD28" s="3"/>
      <c r="AE28" s="3"/>
      <c r="AF28" s="3"/>
      <c r="AG28" s="3"/>
      <c r="AH28" s="3"/>
    </row>
    <row r="29" ht="17.25" customHeight="1">
      <c r="A29" t="s" s="5">
        <v>46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7"/>
      <c r="U29" s="36"/>
      <c r="V29" s="36"/>
      <c r="W29" s="3"/>
      <c r="X29" s="6"/>
      <c r="Y29" s="6"/>
      <c r="Z29" s="6"/>
      <c r="AA29" s="6"/>
      <c r="AB29" s="6"/>
      <c r="AC29" s="3"/>
      <c r="AD29" s="3"/>
      <c r="AE29" s="3"/>
      <c r="AF29" s="3"/>
      <c r="AG29" s="3"/>
      <c r="AH29" s="3"/>
    </row>
    <row r="30" ht="34.5" customHeight="1">
      <c r="A30" t="s" s="8">
        <v>2</v>
      </c>
      <c r="B30" t="s" s="8">
        <v>3</v>
      </c>
      <c r="C30" t="s" s="8">
        <v>47</v>
      </c>
      <c r="D30" t="s" s="8">
        <v>48</v>
      </c>
      <c r="E30" t="s" s="8">
        <v>49</v>
      </c>
      <c r="F30" t="s" s="8">
        <v>50</v>
      </c>
      <c r="G30" t="s" s="8">
        <v>6</v>
      </c>
      <c r="H30" t="s" s="8">
        <v>51</v>
      </c>
      <c r="I30" t="s" s="8">
        <v>52</v>
      </c>
      <c r="J30" t="s" s="8">
        <v>53</v>
      </c>
      <c r="K30" t="s" s="8">
        <v>54</v>
      </c>
      <c r="L30" t="s" s="8">
        <v>55</v>
      </c>
      <c r="M30" t="s" s="8">
        <v>56</v>
      </c>
      <c r="N30" t="s" s="8">
        <v>57</v>
      </c>
      <c r="O30" t="s" s="8">
        <v>58</v>
      </c>
      <c r="P30" t="s" s="8">
        <v>59</v>
      </c>
      <c r="Q30" t="s" s="8">
        <v>72</v>
      </c>
      <c r="R30" t="s" s="8">
        <v>61</v>
      </c>
      <c r="S30" t="s" s="8">
        <v>62</v>
      </c>
      <c r="T30" t="s" s="8">
        <v>63</v>
      </c>
      <c r="U30" t="s" s="8">
        <v>64</v>
      </c>
      <c r="V30" t="s" s="8">
        <v>65</v>
      </c>
      <c r="W30" s="61"/>
      <c r="X30" t="s" s="8">
        <v>51</v>
      </c>
      <c r="Y30" t="s" s="8">
        <v>61</v>
      </c>
      <c r="Z30" t="s" s="8">
        <v>73</v>
      </c>
      <c r="AA30" t="s" s="8">
        <v>74</v>
      </c>
      <c r="AB30" t="s" s="8">
        <v>65</v>
      </c>
      <c r="AC30" s="9"/>
      <c r="AD30" s="3"/>
      <c r="AE30" s="3"/>
      <c r="AF30" s="3"/>
      <c r="AG30" s="3"/>
      <c r="AH30" s="3"/>
    </row>
    <row r="31" ht="17.25" customHeight="1">
      <c r="A31" t="s" s="38">
        <v>24</v>
      </c>
      <c r="B31" s="10">
        <v>26</v>
      </c>
      <c r="C31" s="10">
        <v>4</v>
      </c>
      <c r="D31" s="10">
        <v>2</v>
      </c>
      <c r="E31" s="10">
        <v>0</v>
      </c>
      <c r="F31" s="10">
        <v>280</v>
      </c>
      <c r="G31" s="10">
        <v>189</v>
      </c>
      <c r="H31" s="39">
        <v>36.999659999330</v>
      </c>
      <c r="I31" s="10">
        <v>71</v>
      </c>
      <c r="J31" s="10">
        <v>1</v>
      </c>
      <c r="K31" s="10">
        <v>76</v>
      </c>
      <c r="L31" s="10">
        <v>13</v>
      </c>
      <c r="M31" s="10">
        <v>28</v>
      </c>
      <c r="N31" s="10">
        <v>104</v>
      </c>
      <c r="O31" s="10">
        <v>73</v>
      </c>
      <c r="P31" s="40" cm="1">
        <f t="array" ref="P31">O31*9/H31</f>
        <v>17.7569199287749</v>
      </c>
      <c r="Q31" s="41" cm="1">
        <f t="array" ref="Q31">(K31+L31)/H31</f>
        <v>2.40542750937743</v>
      </c>
      <c r="R31" s="42" cm="1">
        <f t="array" ref="R31">I31/H31</f>
        <v>1.91893655242469</v>
      </c>
      <c r="S31" s="42" cm="1">
        <f t="array" ref="S31">H31/B31</f>
        <v>1.42306384612808</v>
      </c>
      <c r="T31" s="43" cm="1">
        <f t="array" ref="T31">M31/H31</f>
        <v>0.756763710815371</v>
      </c>
      <c r="U31" s="44" cm="1">
        <f t="array" ref="U31">O31/N31</f>
        <v>0.701923076923077</v>
      </c>
      <c r="V31" s="41" cm="1">
        <f t="array" ref="V31">(I31+K31+L31)/H31</f>
        <v>4.32436406180212</v>
      </c>
      <c r="W31" s="61"/>
      <c r="X31" s="71"/>
      <c r="Y31" s="72"/>
      <c r="Z31" s="71"/>
      <c r="AA31" s="71"/>
      <c r="AB31" s="72"/>
      <c r="AC31" s="9"/>
      <c r="AD31" s="3"/>
      <c r="AE31" s="3"/>
      <c r="AF31" s="3"/>
      <c r="AG31" s="3"/>
      <c r="AH31" s="3"/>
    </row>
    <row r="32" ht="17.25" customHeight="1">
      <c r="A32" t="s" s="38">
        <v>27</v>
      </c>
      <c r="B32" s="10">
        <v>9</v>
      </c>
      <c r="C32" s="10">
        <v>4</v>
      </c>
      <c r="D32" s="10">
        <v>2</v>
      </c>
      <c r="E32" s="10">
        <v>0</v>
      </c>
      <c r="F32" s="10">
        <v>119</v>
      </c>
      <c r="G32" s="10">
        <v>103</v>
      </c>
      <c r="H32" s="39">
        <v>25</v>
      </c>
      <c r="I32" s="10">
        <v>25</v>
      </c>
      <c r="J32" s="10">
        <v>0</v>
      </c>
      <c r="K32" s="10">
        <v>13</v>
      </c>
      <c r="L32" s="10">
        <v>2</v>
      </c>
      <c r="M32" s="10">
        <v>29</v>
      </c>
      <c r="N32" s="10">
        <v>24</v>
      </c>
      <c r="O32" s="10">
        <v>11</v>
      </c>
      <c r="P32" s="40">
        <v>0</v>
      </c>
      <c r="Q32" t="s" s="45">
        <v>66</v>
      </c>
      <c r="R32" t="s" s="45">
        <v>66</v>
      </c>
      <c r="S32" s="42" cm="1">
        <f t="array" ref="S32">H32/B32</f>
        <v>2.77777777777778</v>
      </c>
      <c r="T32" t="s" s="46">
        <v>66</v>
      </c>
      <c r="U32" s="44"/>
      <c r="V32" t="s" s="45">
        <v>66</v>
      </c>
      <c r="W32" s="61"/>
      <c r="X32" s="71">
        <v>-29.999966663</v>
      </c>
      <c r="Y32" s="72"/>
      <c r="Z32" s="72">
        <v>-1.30909206624368</v>
      </c>
      <c r="AA32" s="71">
        <v>1.90000211134568</v>
      </c>
      <c r="AB32" s="72"/>
      <c r="AC32" s="9"/>
      <c r="AD32" s="3"/>
      <c r="AE32" s="3"/>
      <c r="AF32" s="3"/>
      <c r="AG32" s="3"/>
      <c r="AH32" s="3"/>
    </row>
    <row r="33" ht="17.25" customHeight="1">
      <c r="A33" t="s" s="38">
        <v>29</v>
      </c>
      <c r="B33" s="10">
        <v>24</v>
      </c>
      <c r="C33" s="10">
        <v>4</v>
      </c>
      <c r="D33" s="10">
        <v>8</v>
      </c>
      <c r="E33" s="10">
        <v>0</v>
      </c>
      <c r="F33" s="10">
        <v>298</v>
      </c>
      <c r="G33" s="10">
        <v>215</v>
      </c>
      <c r="H33" s="39">
        <v>35.6666329966667</v>
      </c>
      <c r="I33" s="10">
        <v>77</v>
      </c>
      <c r="J33" s="10">
        <v>4</v>
      </c>
      <c r="K33" s="10">
        <v>69</v>
      </c>
      <c r="L33" s="10">
        <v>12</v>
      </c>
      <c r="M33" s="10">
        <v>42</v>
      </c>
      <c r="N33" s="10">
        <v>130</v>
      </c>
      <c r="O33" s="10">
        <v>78</v>
      </c>
      <c r="P33" s="40" cm="1">
        <f t="array" ref="P33">O33*9/H33</f>
        <v>19.682261571077</v>
      </c>
      <c r="Q33" s="41" cm="1">
        <f t="array" ref="Q33">(K33+L33)/H33</f>
        <v>2.27103018127812</v>
      </c>
      <c r="R33" s="42" cm="1">
        <f t="array" ref="R33">I33/H33</f>
        <v>2.15888054269648</v>
      </c>
      <c r="S33" s="42" cm="1">
        <f t="array" ref="S33">H33/B33</f>
        <v>1.48610970819445</v>
      </c>
      <c r="T33" s="43" cm="1">
        <f t="array" ref="T33">M33/H33</f>
        <v>1.17757120510717</v>
      </c>
      <c r="U33" s="44" cm="1">
        <f t="array" ref="U33">O33/N33</f>
        <v>0.6</v>
      </c>
      <c r="V33" s="41" cm="1">
        <f t="array" ref="V33">(I33+K33+L33)/H33</f>
        <v>4.4299107239746</v>
      </c>
      <c r="W33" s="61"/>
      <c r="X33" t="s" s="73">
        <v>66</v>
      </c>
      <c r="Y33" s="72">
        <v>-0.379580995765056</v>
      </c>
      <c r="Z33" s="74">
        <v>53</v>
      </c>
      <c r="AA33" s="75">
        <v>31</v>
      </c>
      <c r="AB33" s="72">
        <v>-0.262396968333092</v>
      </c>
      <c r="AC33" s="9"/>
      <c r="AD33" s="3"/>
      <c r="AE33" s="3"/>
      <c r="AF33" s="3"/>
      <c r="AG33" s="3"/>
      <c r="AH33" s="3"/>
    </row>
    <row r="34" ht="17.25" customHeight="1">
      <c r="A34" t="s" s="38">
        <v>33</v>
      </c>
      <c r="B34" s="10">
        <v>42</v>
      </c>
      <c r="C34" s="10">
        <v>13</v>
      </c>
      <c r="D34" s="10">
        <v>8</v>
      </c>
      <c r="E34" s="10">
        <v>2</v>
      </c>
      <c r="F34" s="10">
        <v>569</v>
      </c>
      <c r="G34" s="10">
        <v>467</v>
      </c>
      <c r="H34" s="39">
        <v>99.999933233330</v>
      </c>
      <c r="I34" s="10">
        <v>141</v>
      </c>
      <c r="J34" s="10">
        <v>2</v>
      </c>
      <c r="K34" s="10">
        <v>89</v>
      </c>
      <c r="L34" s="10">
        <v>18</v>
      </c>
      <c r="M34" s="10">
        <v>132</v>
      </c>
      <c r="N34" s="10">
        <v>151</v>
      </c>
      <c r="O34" s="10">
        <v>95</v>
      </c>
      <c r="P34" s="40" cm="1">
        <f t="array" ref="P34">O34*9/H34</f>
        <v>8.550005708554099</v>
      </c>
      <c r="Q34" s="41" cm="1">
        <f t="array" ref="Q34">(K34+L34)/H34</f>
        <v>1.07000071440385</v>
      </c>
      <c r="R34" s="42" cm="1">
        <f t="array" ref="R34">I34/H34</f>
        <v>1.41000094141068</v>
      </c>
      <c r="S34" s="42" cm="1">
        <f t="array" ref="S34">H34/B34</f>
        <v>2.38095079126976</v>
      </c>
      <c r="T34" s="43" cm="1">
        <f t="array" ref="T34">M34/H34</f>
        <v>1.32000088132063</v>
      </c>
      <c r="U34" s="44" cm="1">
        <f t="array" ref="U34">O34/N34</f>
        <v>0.629139072847682</v>
      </c>
      <c r="V34" s="41" cm="1">
        <f t="array" ref="V34">(I34+K34+L34)/H34</f>
        <v>2.48000165581452</v>
      </c>
      <c r="W34" s="61"/>
      <c r="X34" t="s" s="73">
        <v>66</v>
      </c>
      <c r="Y34" s="72">
        <v>-0.828805028738578</v>
      </c>
      <c r="Z34" s="74">
        <v>1</v>
      </c>
      <c r="AA34" s="75">
        <v>128</v>
      </c>
      <c r="AB34" s="72">
        <v>-4.98268491134966</v>
      </c>
      <c r="AC34" s="9"/>
      <c r="AD34" s="3"/>
      <c r="AE34" s="3"/>
      <c r="AF34" s="3"/>
      <c r="AG34" s="3"/>
      <c r="AH34" s="3"/>
    </row>
    <row r="35" ht="17.25" customHeight="1">
      <c r="A35" t="s" s="38">
        <v>35</v>
      </c>
      <c r="B35" s="10">
        <v>8</v>
      </c>
      <c r="C35" s="10">
        <v>0</v>
      </c>
      <c r="D35" s="10">
        <v>0</v>
      </c>
      <c r="E35" s="10">
        <v>0</v>
      </c>
      <c r="F35" s="10">
        <v>63</v>
      </c>
      <c r="G35" s="10">
        <v>50</v>
      </c>
      <c r="H35" s="39">
        <v>9.666666633</v>
      </c>
      <c r="I35" s="10">
        <v>20</v>
      </c>
      <c r="J35" s="10">
        <v>0</v>
      </c>
      <c r="K35" s="10">
        <v>11</v>
      </c>
      <c r="L35" s="10">
        <v>2</v>
      </c>
      <c r="M35" s="10">
        <v>10</v>
      </c>
      <c r="N35" s="10">
        <v>22</v>
      </c>
      <c r="O35" s="10">
        <v>19</v>
      </c>
      <c r="P35" s="40" cm="1">
        <f t="array" ref="P35">O35*9/H35</f>
        <v>17.6896552340226</v>
      </c>
      <c r="Q35" t="s" s="45">
        <v>66</v>
      </c>
      <c r="R35" t="s" s="45">
        <v>66</v>
      </c>
      <c r="S35" t="s" s="45">
        <v>66</v>
      </c>
      <c r="T35" t="s" s="46">
        <v>66</v>
      </c>
      <c r="U35" s="44"/>
      <c r="V35" t="s" s="45">
        <v>66</v>
      </c>
      <c r="W35" s="61"/>
      <c r="X35" s="71">
        <v>-3.3333000336</v>
      </c>
      <c r="Y35" s="72"/>
      <c r="Z35" s="72">
        <v>-1.96287319810274</v>
      </c>
      <c r="AA35" s="75">
        <v>0.9000089910178189</v>
      </c>
      <c r="AB35" s="72"/>
      <c r="AC35" s="9"/>
      <c r="AD35" s="3"/>
      <c r="AE35" s="3"/>
      <c r="AF35" s="3"/>
      <c r="AG35" s="3"/>
      <c r="AH35" s="3"/>
    </row>
    <row r="36" ht="17.25" customHeight="1">
      <c r="A36" t="s" s="38">
        <v>36</v>
      </c>
      <c r="B36" s="10">
        <v>26</v>
      </c>
      <c r="C36" s="10">
        <v>3</v>
      </c>
      <c r="D36" s="10">
        <v>7</v>
      </c>
      <c r="E36" s="10">
        <v>0</v>
      </c>
      <c r="F36" s="10">
        <v>275</v>
      </c>
      <c r="G36" s="10">
        <v>196</v>
      </c>
      <c r="H36" s="39">
        <v>33.3332593326</v>
      </c>
      <c r="I36" s="10">
        <v>80</v>
      </c>
      <c r="J36" s="10">
        <v>2</v>
      </c>
      <c r="K36" s="10">
        <v>66</v>
      </c>
      <c r="L36" s="10">
        <v>13</v>
      </c>
      <c r="M36" s="10">
        <v>40</v>
      </c>
      <c r="N36" s="10">
        <v>121</v>
      </c>
      <c r="O36" s="10">
        <v>92</v>
      </c>
      <c r="P36" s="40" cm="1">
        <f t="array" ref="P36">O36*9/H36</f>
        <v>24.8400551454689</v>
      </c>
      <c r="Q36" s="41" cm="1">
        <f t="array" ref="Q36">(K36+L36)/H36</f>
        <v>2.37000526146382</v>
      </c>
      <c r="R36" s="42" cm="1">
        <f t="array" ref="R36">I36/H36</f>
        <v>2.40000532806463</v>
      </c>
      <c r="S36" s="42" cm="1">
        <f t="array" ref="S36">H36/B36</f>
        <v>1.28204843586923</v>
      </c>
      <c r="T36" s="43" cm="1">
        <f t="array" ref="T36">M36/H36</f>
        <v>1.20000266403231</v>
      </c>
      <c r="U36" s="44" cm="1">
        <f t="array" ref="U36">O36/N36</f>
        <v>0.760330578512397</v>
      </c>
      <c r="V36" s="41" cm="1">
        <f t="array" ref="V36">(I36+K36+L36)/H36</f>
        <v>4.77001058952845</v>
      </c>
      <c r="W36" s="61"/>
      <c r="X36" s="71">
        <v>6.0002593326</v>
      </c>
      <c r="Y36" s="72">
        <v>0.973158659202813</v>
      </c>
      <c r="Z36" s="72">
        <v>1.49194577293347</v>
      </c>
      <c r="AA36" s="71">
        <v>0.166659463294678</v>
      </c>
      <c r="AB36" s="72">
        <v>2.46510443213629</v>
      </c>
      <c r="AC36" s="9"/>
      <c r="AD36" s="3"/>
      <c r="AE36" s="3"/>
      <c r="AF36" s="3"/>
      <c r="AG36" s="3"/>
      <c r="AH36" s="3"/>
    </row>
    <row r="37" ht="17.25" customHeight="1">
      <c r="A37" t="s" s="38">
        <v>37</v>
      </c>
      <c r="B37" s="10">
        <v>12</v>
      </c>
      <c r="C37" s="10">
        <v>2</v>
      </c>
      <c r="D37" s="10">
        <v>3</v>
      </c>
      <c r="E37" s="10">
        <v>0</v>
      </c>
      <c r="F37" s="10">
        <v>178</v>
      </c>
      <c r="G37" s="10">
        <v>128</v>
      </c>
      <c r="H37" s="39">
        <v>23.6666326333333</v>
      </c>
      <c r="I37" s="10">
        <v>66</v>
      </c>
      <c r="J37" s="10">
        <v>1</v>
      </c>
      <c r="K37" s="10">
        <v>36</v>
      </c>
      <c r="L37" s="10">
        <v>10</v>
      </c>
      <c r="M37" s="10">
        <v>27</v>
      </c>
      <c r="N37" s="10">
        <v>78</v>
      </c>
      <c r="O37" s="10">
        <v>63</v>
      </c>
      <c r="P37" s="40" cm="1">
        <f t="array" ref="P37">O37*9/H37</f>
        <v>23.9577809308371</v>
      </c>
      <c r="Q37" s="41" cm="1">
        <f t="array" ref="Q37">(K37+L37)/H37</f>
        <v>1.94366476687567</v>
      </c>
      <c r="R37" s="42" cm="1">
        <f t="array" ref="R37">I37/H37</f>
        <v>2.78873640464771</v>
      </c>
      <c r="S37" s="42" cm="1">
        <f t="array" ref="S37">H37/B37</f>
        <v>1.97221938611111</v>
      </c>
      <c r="T37" s="43" cm="1">
        <f t="array" ref="T37">M37/H37</f>
        <v>1.14084671099224</v>
      </c>
      <c r="U37" s="44" cm="1">
        <f t="array" ref="U37">O37/N37</f>
        <v>0.807692307692308</v>
      </c>
      <c r="V37" s="41" cm="1">
        <f t="array" ref="V37">(I37+K37+L37)/H37</f>
        <v>4.73240117152338</v>
      </c>
      <c r="W37" s="61"/>
      <c r="X37" s="71"/>
      <c r="Y37" s="72"/>
      <c r="Z37" s="71"/>
      <c r="AA37" s="71"/>
      <c r="AB37" s="72"/>
      <c r="AC37" s="9"/>
      <c r="AD37" s="3"/>
      <c r="AE37" s="3"/>
      <c r="AF37" s="3"/>
      <c r="AG37" s="3"/>
      <c r="AH37" s="3"/>
    </row>
    <row r="38" ht="17.25" customHeight="1">
      <c r="A38" t="s" s="38">
        <v>40</v>
      </c>
      <c r="B38" s="10">
        <v>5</v>
      </c>
      <c r="C38" s="10">
        <v>0</v>
      </c>
      <c r="D38" s="10">
        <v>2</v>
      </c>
      <c r="E38" s="10">
        <v>0</v>
      </c>
      <c r="F38" s="10">
        <v>54</v>
      </c>
      <c r="G38" s="10">
        <v>43</v>
      </c>
      <c r="H38" s="39">
        <v>4.999999966660</v>
      </c>
      <c r="I38" s="10">
        <v>26</v>
      </c>
      <c r="J38" s="10">
        <v>2</v>
      </c>
      <c r="K38" s="10">
        <v>8</v>
      </c>
      <c r="L38" s="10">
        <v>3</v>
      </c>
      <c r="M38" s="10">
        <v>6</v>
      </c>
      <c r="N38" s="10">
        <v>31</v>
      </c>
      <c r="O38" s="10">
        <v>23</v>
      </c>
      <c r="P38" s="40" cm="1">
        <f t="array" ref="P38">O38*9/H38</f>
        <v>41.4000002760552</v>
      </c>
      <c r="Q38" t="s" s="45">
        <v>66</v>
      </c>
      <c r="R38" t="s" s="45">
        <v>66</v>
      </c>
      <c r="S38" t="s" s="45">
        <v>66</v>
      </c>
      <c r="T38" t="s" s="46">
        <v>66</v>
      </c>
      <c r="U38" s="44" cm="1">
        <f t="array" ref="U38">O38/N38</f>
        <v>0.741935483870968</v>
      </c>
      <c r="V38" t="s" s="45">
        <v>66</v>
      </c>
      <c r="W38" s="61"/>
      <c r="X38" s="71">
        <v>3.999999966660</v>
      </c>
      <c r="Y38" s="72"/>
      <c r="Z38" s="72">
        <v>1.2000000146696</v>
      </c>
      <c r="AA38" s="71">
        <v>1.25000001041875</v>
      </c>
      <c r="AB38" s="72"/>
      <c r="AC38" s="9"/>
      <c r="AD38" s="3"/>
      <c r="AE38" s="3"/>
      <c r="AF38" s="3"/>
      <c r="AG38" s="3"/>
      <c r="AH38" s="3"/>
    </row>
    <row r="39" ht="17.25" customHeight="1">
      <c r="A39" t="s" s="38">
        <v>41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39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40"/>
      <c r="Q39" s="76"/>
      <c r="R39" s="76"/>
      <c r="S39" s="40"/>
      <c r="T39" s="76"/>
      <c r="U39" s="76"/>
      <c r="V39" s="76"/>
      <c r="W39" s="61"/>
      <c r="X39" s="71"/>
      <c r="Y39" s="72"/>
      <c r="Z39" s="71"/>
      <c r="AA39" s="71"/>
      <c r="AB39" s="72"/>
      <c r="AC39" s="9"/>
      <c r="AD39" s="3"/>
      <c r="AE39" s="3"/>
      <c r="AF39" s="3"/>
      <c r="AG39" s="3"/>
      <c r="AH39" s="3"/>
    </row>
    <row r="40" ht="17.25" customHeight="1">
      <c r="A40" t="s" s="38">
        <v>42</v>
      </c>
      <c r="B40" s="10">
        <v>8</v>
      </c>
      <c r="C40" s="10">
        <v>2</v>
      </c>
      <c r="D40" s="10">
        <v>2</v>
      </c>
      <c r="E40" s="10">
        <v>1</v>
      </c>
      <c r="F40" s="10">
        <v>102</v>
      </c>
      <c r="G40" s="10">
        <v>55</v>
      </c>
      <c r="H40" s="39">
        <v>13.666633329933</v>
      </c>
      <c r="I40" s="10">
        <v>16</v>
      </c>
      <c r="J40" s="10">
        <v>1</v>
      </c>
      <c r="K40" s="10">
        <v>45</v>
      </c>
      <c r="L40" s="10">
        <v>1</v>
      </c>
      <c r="M40" s="10">
        <v>13</v>
      </c>
      <c r="N40" s="10">
        <v>36</v>
      </c>
      <c r="O40" s="10">
        <v>21</v>
      </c>
      <c r="P40" s="40" cm="1">
        <f t="array" ref="P40">O40*9/H40</f>
        <v>13.8293020261287</v>
      </c>
      <c r="Q40" s="41" cm="1">
        <f t="array" ref="Q40">(K40+L40)/H40</f>
        <v>3.36586186879322</v>
      </c>
      <c r="R40" s="42" cm="1">
        <f t="array" ref="R40">I40/H40</f>
        <v>1.17073456305851</v>
      </c>
      <c r="S40" s="42" cm="1">
        <f t="array" ref="S40">H40/B40</f>
        <v>1.70832916624163</v>
      </c>
      <c r="T40" s="43" cm="1">
        <f t="array" ref="T40">M40/H40</f>
        <v>0.951221832485041</v>
      </c>
      <c r="U40" s="44" cm="1">
        <f t="array" ref="U40">O40/N40</f>
        <v>0.583333333333333</v>
      </c>
      <c r="V40" s="41" cm="1">
        <f t="array" ref="V40">(I40+K40+L40)/H40</f>
        <v>4.53659643185173</v>
      </c>
      <c r="W40" s="61"/>
      <c r="X40" s="71">
        <v>-5.333366670067</v>
      </c>
      <c r="Y40" s="72">
        <v>-0.987160173783594</v>
      </c>
      <c r="Z40" s="72">
        <v>1.20796713195111</v>
      </c>
      <c r="AA40" s="71">
        <v>1.49999062410226</v>
      </c>
      <c r="AB40" s="72">
        <v>0.220806958167521</v>
      </c>
      <c r="AC40" s="9"/>
      <c r="AD40" s="3"/>
      <c r="AE40" s="3"/>
      <c r="AF40" s="3"/>
      <c r="AG40" s="3"/>
      <c r="AH40" s="3"/>
    </row>
    <row r="41" ht="17.25" customHeight="1">
      <c r="A41" t="s" s="38">
        <v>43</v>
      </c>
      <c r="B41" s="10">
        <v>38</v>
      </c>
      <c r="C41" s="10">
        <v>8</v>
      </c>
      <c r="D41" s="10">
        <v>11</v>
      </c>
      <c r="E41" s="10">
        <v>3</v>
      </c>
      <c r="F41" s="10">
        <v>550</v>
      </c>
      <c r="G41" s="10">
        <v>397</v>
      </c>
      <c r="H41" s="39">
        <v>81.666632983</v>
      </c>
      <c r="I41" s="10">
        <v>133</v>
      </c>
      <c r="J41" s="10">
        <v>1</v>
      </c>
      <c r="K41" s="10">
        <v>123</v>
      </c>
      <c r="L41" s="10">
        <v>25</v>
      </c>
      <c r="M41" s="10">
        <v>131</v>
      </c>
      <c r="N41" s="10">
        <v>183</v>
      </c>
      <c r="O41" s="10">
        <v>130</v>
      </c>
      <c r="P41" s="40" cm="1">
        <f t="array" ref="P41">O41*9/H41</f>
        <v>14.3265365212687</v>
      </c>
      <c r="Q41" s="41" cm="1">
        <f t="array" ref="Q41">(K41+L41)/H41</f>
        <v>1.81224564542545</v>
      </c>
      <c r="R41" s="42" cm="1">
        <f t="array" ref="R41">I41/H41</f>
        <v>1.62857210028098</v>
      </c>
      <c r="S41" s="42" cm="1">
        <f t="array" ref="S41">H41/B41</f>
        <v>2.14912192060526</v>
      </c>
      <c r="T41" s="43" cm="1">
        <f t="array" ref="T41">M41/H41</f>
        <v>1.60408229426171</v>
      </c>
      <c r="U41" s="44" cm="1">
        <f t="array" ref="U41">O41/N41</f>
        <v>0.710382513661202</v>
      </c>
      <c r="V41" s="41" cm="1">
        <f t="array" ref="V41">(I41+K41+L41)/H41</f>
        <v>3.44081774570642</v>
      </c>
      <c r="W41" s="61"/>
      <c r="X41" t="s" s="73">
        <v>66</v>
      </c>
      <c r="Y41" t="s" s="73">
        <v>66</v>
      </c>
      <c r="Z41" t="s" s="73">
        <v>66</v>
      </c>
      <c r="AA41" t="s" s="73">
        <v>66</v>
      </c>
      <c r="AB41" t="s" s="73">
        <v>66</v>
      </c>
      <c r="AC41" s="9"/>
      <c r="AD41" s="3"/>
      <c r="AE41" s="3"/>
      <c r="AF41" s="3"/>
      <c r="AG41" s="3"/>
      <c r="AH41" s="3"/>
    </row>
    <row r="42" ht="17.25" customHeight="1">
      <c r="A42" t="s" s="29">
        <v>45</v>
      </c>
      <c r="B42" s="49" cm="1">
        <f t="array" ref="B42">SUM(B31:B41)</f>
        <v>198</v>
      </c>
      <c r="C42" s="49" cm="1">
        <f t="array" ref="C42">SUM(C31:C41)</f>
        <v>40</v>
      </c>
      <c r="D42" s="49" cm="1">
        <f t="array" ref="D42">SUM(D31:D41)</f>
        <v>45</v>
      </c>
      <c r="E42" s="49" cm="1">
        <f t="array" ref="E42">SUM(E31:E41)</f>
        <v>6</v>
      </c>
      <c r="F42" s="49" cm="1">
        <f t="array" ref="F42">SUM(F31:F41)</f>
        <v>2488</v>
      </c>
      <c r="G42" s="49" cm="1">
        <f t="array" ref="G42">SUM(G31:G41)</f>
        <v>1843</v>
      </c>
      <c r="H42" s="50" cm="1">
        <f t="array" ref="H42">SUM(H31:H41)</f>
        <v>364.666051107853</v>
      </c>
      <c r="I42" s="49" cm="1">
        <f t="array" ref="I42">SUM(I31:I41)</f>
        <v>655</v>
      </c>
      <c r="J42" s="49" cm="1">
        <f t="array" ref="J42">SUM(J31:J41)</f>
        <v>14</v>
      </c>
      <c r="K42" s="49" cm="1">
        <f t="array" ref="K42">SUM(K31:K41)</f>
        <v>536</v>
      </c>
      <c r="L42" s="49" cm="1">
        <f t="array" ref="L42">SUM(L31:L41)</f>
        <v>99</v>
      </c>
      <c r="M42" s="49" cm="1">
        <f t="array" ref="M42">SUM(M31:M41)</f>
        <v>458</v>
      </c>
      <c r="N42" s="49" cm="1">
        <f t="array" ref="N42">SUM(N31:N41)</f>
        <v>880</v>
      </c>
      <c r="O42" s="49" cm="1">
        <f t="array" ref="O42">SUM(O31:O41)</f>
        <v>605</v>
      </c>
      <c r="P42" s="51" cm="1">
        <f t="array" ref="P42">O42*9/H42</f>
        <v>14.9314694456973</v>
      </c>
      <c r="Q42" s="52" cm="1">
        <f t="array" ref="Q42">(K42+L42)/H42</f>
        <v>1.74131920992062</v>
      </c>
      <c r="R42" s="53" cm="1">
        <f t="array" ref="R42">I42/H42</f>
        <v>1.79616390944568</v>
      </c>
      <c r="S42" s="53" cm="1">
        <f t="array" ref="S42">H42/B42</f>
        <v>1.84174773286794</v>
      </c>
      <c r="T42" s="54" cm="1">
        <f t="array" ref="T42">M42/H42</f>
        <v>1.25594361912385</v>
      </c>
      <c r="U42" s="55" cm="1">
        <f t="array" ref="U42">O42/N42</f>
        <v>0.6875</v>
      </c>
      <c r="V42" s="52" cm="1">
        <f t="array" ref="V42">(I42+K42+L42)/H42</f>
        <v>3.5374831193663</v>
      </c>
      <c r="W42" s="9"/>
      <c r="X42" s="34"/>
      <c r="Y42" s="34"/>
      <c r="Z42" s="34"/>
      <c r="AA42" s="34"/>
      <c r="AB42" s="34"/>
      <c r="AC42" s="3"/>
      <c r="AD42" s="3"/>
      <c r="AE42" s="3"/>
      <c r="AF42" s="3"/>
      <c r="AG42" s="3"/>
      <c r="AH42" s="3"/>
    </row>
    <row r="43" ht="16.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5"/>
      <c r="U43" s="34"/>
      <c r="V43" s="34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6.5" customHeight="1">
      <c r="A44" s="3"/>
      <c r="B44" s="3"/>
      <c r="C44" s="3"/>
      <c r="D44" s="3"/>
      <c r="E44" s="3"/>
      <c r="F44" s="3"/>
      <c r="G44" s="6"/>
      <c r="H44" s="6"/>
      <c r="I44" s="6"/>
      <c r="J44" s="6"/>
      <c r="K44" s="6"/>
      <c r="L44" s="3"/>
      <c r="M44" s="3"/>
      <c r="N44" s="3"/>
      <c r="O44" s="3"/>
      <c r="P44" s="3"/>
      <c r="Q44" s="3"/>
      <c r="R44" s="3"/>
      <c r="S44" s="3"/>
      <c r="T44" s="4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6.5" customHeight="1">
      <c r="A45" s="3"/>
      <c r="B45" s="3"/>
      <c r="C45" s="3"/>
      <c r="D45" s="3"/>
      <c r="E45" s="3"/>
      <c r="F45" s="57"/>
      <c r="G45" t="s" s="77">
        <v>75</v>
      </c>
      <c r="H45" t="s" s="77">
        <v>76</v>
      </c>
      <c r="I45" t="s" s="77">
        <v>77</v>
      </c>
      <c r="J45" t="s" s="77">
        <v>78</v>
      </c>
      <c r="K45" t="s" s="77">
        <v>79</v>
      </c>
      <c r="L45" s="9"/>
      <c r="M45" s="3"/>
      <c r="N45" s="3"/>
      <c r="O45" s="3"/>
      <c r="P45" s="3"/>
      <c r="Q45" s="3"/>
      <c r="R45" s="3"/>
      <c r="S45" s="78"/>
      <c r="T45" s="4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7.25" customHeight="1">
      <c r="A46" s="3"/>
      <c r="B46" s="3"/>
      <c r="C46" s="3"/>
      <c r="D46" s="3"/>
      <c r="E46" s="3"/>
      <c r="F46" s="57"/>
      <c r="G46" t="s" s="38">
        <v>24</v>
      </c>
      <c r="H46" s="79"/>
      <c r="I46" s="79">
        <v>43.6619718309859</v>
      </c>
      <c r="J46" s="79" cm="1">
        <f t="array" ref="J46">(K31+L31)/F31*100</f>
        <v>31.7857142857143</v>
      </c>
      <c r="K46" s="80">
        <v>45.5696202531646</v>
      </c>
      <c r="L46" s="9"/>
      <c r="M46" s="3"/>
      <c r="N46" s="3"/>
      <c r="O46" s="3"/>
      <c r="P46" s="3"/>
      <c r="Q46" s="3"/>
      <c r="R46" s="3"/>
      <c r="S46" s="3"/>
      <c r="T46" s="4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7.25" customHeight="1">
      <c r="A47" s="3"/>
      <c r="B47" s="3"/>
      <c r="C47" s="3"/>
      <c r="D47" s="3"/>
      <c r="E47" s="3"/>
      <c r="F47" s="57"/>
      <c r="G47" t="s" s="38">
        <v>27</v>
      </c>
      <c r="H47" s="79"/>
      <c r="I47" s="79"/>
      <c r="J47" s="79"/>
      <c r="K47" s="80"/>
      <c r="L47" s="9"/>
      <c r="M47" s="3"/>
      <c r="N47" s="3"/>
      <c r="O47" s="3"/>
      <c r="P47" s="3"/>
      <c r="Q47" s="3"/>
      <c r="R47" s="3"/>
      <c r="S47" s="78"/>
      <c r="T47" s="4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7.25" customHeight="1">
      <c r="A48" s="3"/>
      <c r="B48" s="3"/>
      <c r="C48" s="3"/>
      <c r="D48" s="3"/>
      <c r="E48" s="3"/>
      <c r="F48" s="57"/>
      <c r="G48" t="s" s="38">
        <v>29</v>
      </c>
      <c r="H48" s="79"/>
      <c r="I48" s="79">
        <v>24.7787610619469</v>
      </c>
      <c r="J48" s="79" cm="1">
        <f t="array" ref="J48">(K33+L33)/F33*100</f>
        <v>27.1812080536913</v>
      </c>
      <c r="K48" s="80">
        <v>25</v>
      </c>
      <c r="L48" s="9"/>
      <c r="M48" s="3"/>
      <c r="N48" s="3"/>
      <c r="O48" s="3"/>
      <c r="P48" s="3"/>
      <c r="Q48" s="3"/>
      <c r="R48" s="3"/>
      <c r="S48" s="78"/>
      <c r="T48" s="4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7.25" customHeight="1">
      <c r="A49" s="3"/>
      <c r="B49" s="3"/>
      <c r="C49" s="3"/>
      <c r="D49" s="3"/>
      <c r="E49" s="3"/>
      <c r="F49" s="57"/>
      <c r="G49" t="s" s="38">
        <v>33</v>
      </c>
      <c r="H49" s="79">
        <v>16.6666666666667</v>
      </c>
      <c r="I49" s="79">
        <v>15.6521739130435</v>
      </c>
      <c r="J49" s="79" cm="1">
        <f t="array" ref="J49">(K34+L34)/F34*100</f>
        <v>18.804920913884</v>
      </c>
      <c r="K49" s="80">
        <v>17.4342105263158</v>
      </c>
      <c r="L49" s="9"/>
      <c r="M49" s="3"/>
      <c r="N49" s="3"/>
      <c r="O49" s="3"/>
      <c r="P49" s="3"/>
      <c r="Q49" s="3"/>
      <c r="R49" s="3"/>
      <c r="S49" s="78"/>
      <c r="T49" s="4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7.25" customHeight="1">
      <c r="A50" s="3"/>
      <c r="B50" s="3"/>
      <c r="C50" s="3"/>
      <c r="D50" s="3"/>
      <c r="E50" s="3"/>
      <c r="F50" s="57"/>
      <c r="G50" t="s" s="38">
        <v>35</v>
      </c>
      <c r="H50" s="79"/>
      <c r="I50" s="79"/>
      <c r="J50" s="79" cm="1">
        <f t="array" ref="J50">(K35+L35)/F35*100</f>
        <v>20.6349206349206</v>
      </c>
      <c r="K50" s="80">
        <v>66.6666666666667</v>
      </c>
      <c r="L50" s="9"/>
      <c r="M50" s="3"/>
      <c r="N50" s="3"/>
      <c r="O50" s="3"/>
      <c r="P50" s="3"/>
      <c r="Q50" s="3"/>
      <c r="R50" s="3"/>
      <c r="S50" s="78"/>
      <c r="T50" s="4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7.25" customHeight="1">
      <c r="A51" s="3"/>
      <c r="B51" s="3"/>
      <c r="C51" s="3"/>
      <c r="D51" s="3"/>
      <c r="E51" s="3"/>
      <c r="F51" s="57"/>
      <c r="G51" t="s" s="38">
        <v>36</v>
      </c>
      <c r="H51" s="79">
        <v>37.5</v>
      </c>
      <c r="I51" s="79">
        <v>27.5590551181102</v>
      </c>
      <c r="J51" s="79" cm="1">
        <f t="array" ref="J51">(K36+L36)/F36*100</f>
        <v>28.7272727272727</v>
      </c>
      <c r="K51" s="80">
        <v>30.8823529411765</v>
      </c>
      <c r="L51" s="81"/>
      <c r="M51" s="3"/>
      <c r="N51" s="3"/>
      <c r="O51" s="3"/>
      <c r="P51" s="3"/>
      <c r="Q51" s="3"/>
      <c r="R51" s="3"/>
      <c r="S51" s="3"/>
      <c r="T51" s="4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7.25" customHeight="1">
      <c r="A52" s="3"/>
      <c r="B52" s="3"/>
      <c r="C52" s="3"/>
      <c r="D52" s="3"/>
      <c r="E52" s="3"/>
      <c r="F52" s="57"/>
      <c r="G52" t="s" s="38">
        <v>37</v>
      </c>
      <c r="H52" s="79"/>
      <c r="I52" s="79">
        <v>33.3333333333333</v>
      </c>
      <c r="J52" s="79" cm="1">
        <f t="array" ref="J52">(K37+L37)/F37*100</f>
        <v>25.8426966292135</v>
      </c>
      <c r="K52" s="80">
        <v>26.5486725663717</v>
      </c>
      <c r="L52" s="82"/>
      <c r="M52" s="3"/>
      <c r="N52" s="3"/>
      <c r="O52" s="3"/>
      <c r="P52" s="3"/>
      <c r="Q52" s="3"/>
      <c r="R52" s="3"/>
      <c r="S52" s="3"/>
      <c r="T52" s="4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7.25" customHeight="1">
      <c r="A53" s="3"/>
      <c r="B53" s="3"/>
      <c r="C53" s="3"/>
      <c r="D53" s="3"/>
      <c r="E53" s="3"/>
      <c r="F53" s="57"/>
      <c r="G53" t="s" s="38">
        <v>40</v>
      </c>
      <c r="H53" s="79"/>
      <c r="I53" s="79"/>
      <c r="J53" s="79" cm="1">
        <f t="array" ref="J53">(K38+L38)/F38*100</f>
        <v>20.3703703703704</v>
      </c>
      <c r="K53" s="80">
        <v>19.2307692307692</v>
      </c>
      <c r="L53" s="81"/>
      <c r="M53" s="3"/>
      <c r="N53" s="3"/>
      <c r="O53" s="3"/>
      <c r="P53" s="3"/>
      <c r="Q53" s="3"/>
      <c r="R53" s="3"/>
      <c r="S53" s="3"/>
      <c r="T53" s="4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7.25" customHeight="1">
      <c r="A54" s="3"/>
      <c r="B54" s="3"/>
      <c r="C54" s="3"/>
      <c r="D54" s="3"/>
      <c r="E54" s="3"/>
      <c r="F54" s="57"/>
      <c r="G54" t="s" s="38">
        <v>42</v>
      </c>
      <c r="H54" s="79">
        <v>38.6363636363636</v>
      </c>
      <c r="I54" s="79">
        <v>49.0566037735849</v>
      </c>
      <c r="J54" s="79" cm="1">
        <f t="array" ref="J54">(K40+L40)/F40*100</f>
        <v>45.0980392156863</v>
      </c>
      <c r="K54" s="80">
        <v>44.4444444444444</v>
      </c>
      <c r="L54" s="81"/>
      <c r="M54" s="3"/>
      <c r="N54" s="3"/>
      <c r="O54" s="3"/>
      <c r="P54" s="3"/>
      <c r="Q54" s="3"/>
      <c r="R54" s="3"/>
      <c r="S54" s="3"/>
      <c r="T54" s="4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7.25" customHeight="1">
      <c r="A55" s="3"/>
      <c r="B55" s="3"/>
      <c r="C55" s="3"/>
      <c r="D55" s="3"/>
      <c r="E55" s="3"/>
      <c r="F55" s="57"/>
      <c r="G55" t="s" s="38">
        <v>43</v>
      </c>
      <c r="H55" s="79">
        <v>29.4444444444444</v>
      </c>
      <c r="I55" s="79">
        <v>24.7619047619048</v>
      </c>
      <c r="J55" s="79" cm="1">
        <f t="array" ref="J55">(K41+L41)/F41*100</f>
        <v>26.9090909090909</v>
      </c>
      <c r="K55" s="80">
        <v>27.4261603375527</v>
      </c>
      <c r="L55" s="82"/>
      <c r="M55" s="3"/>
      <c r="N55" s="3"/>
      <c r="O55" s="3"/>
      <c r="P55" s="3"/>
      <c r="Q55" s="3"/>
      <c r="R55" s="3"/>
      <c r="S55" s="3"/>
      <c r="T55" s="4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</sheetData>
  <mergeCells count="1">
    <mergeCell ref="X2:AB2"/>
  </mergeCells>
  <conditionalFormatting sqref="P4:P26">
    <cfRule type="cellIs" dxfId="0" priority="1" operator="greaterThan" stopIfTrue="1">
      <formula>0.3</formula>
    </cfRule>
  </conditionalFormatting>
  <conditionalFormatting sqref="T4:T26">
    <cfRule type="cellIs" dxfId="1" priority="1" operator="greaterThan" stopIfTrue="1">
      <formula>0.35</formula>
    </cfRule>
  </conditionalFormatting>
  <conditionalFormatting sqref="X4:X27 Z4:AB27 X31:X38 AA31:AA32 Z36:AA37 AA38:AA40 X39:X41">
    <cfRule type="cellIs" dxfId="2" priority="1" operator="greaterThanOrEqual" stopIfTrue="1">
      <formula>0</formula>
    </cfRule>
    <cfRule type="cellIs" dxfId="3" priority="2" operator="lessThan" stopIfTrue="1">
      <formula>0</formula>
    </cfRule>
  </conditionalFormatting>
  <conditionalFormatting sqref="Y4:Y27 Y31:Z32 AB31:AB37 Y33:Y38 Z35 Z38 AB38:AB41 Y39:Z40 Y41 H46:K55">
    <cfRule type="cellIs" dxfId="4" priority="1" operator="lessThan" stopIfTrue="1">
      <formula>0</formula>
    </cfRule>
  </conditionalFormatting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E29"/>
  <sheetViews>
    <sheetView workbookViewId="0" showGridLines="0" defaultGridColor="1"/>
  </sheetViews>
  <sheetFormatPr defaultColWidth="9" defaultRowHeight="16.5" customHeight="1" outlineLevelRow="0" outlineLevelCol="0"/>
  <cols>
    <col min="1" max="8" width="11.3516" style="83" customWidth="1"/>
    <col min="9" max="12" width="11.8516" style="83" customWidth="1"/>
    <col min="13" max="13" width="8.85156" style="83" customWidth="1"/>
    <col min="14" max="15" width="11.3516" style="83" customWidth="1"/>
    <col min="16" max="31" width="9" style="83" customWidth="1"/>
    <col min="32" max="16384" width="9" style="83" customWidth="1"/>
  </cols>
  <sheetData>
    <row r="1" ht="26.25" customHeight="1">
      <c r="A1" t="s" s="2">
        <v>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17.25" customHeight="1">
      <c r="A2" t="s" s="5">
        <v>81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7.25" customHeight="1">
      <c r="A3" t="s" s="84">
        <v>2</v>
      </c>
      <c r="B3" t="s" s="84">
        <v>76</v>
      </c>
      <c r="C3" t="s" s="84">
        <v>77</v>
      </c>
      <c r="D3" s="85"/>
      <c r="E3" s="85"/>
      <c r="F3" t="s" s="84">
        <v>78</v>
      </c>
      <c r="G3" s="85"/>
      <c r="H3" s="85"/>
      <c r="I3" s="85"/>
      <c r="J3" t="s" s="86">
        <v>82</v>
      </c>
      <c r="K3" s="87"/>
      <c r="L3" s="88"/>
      <c r="M3" s="9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35.25" customHeight="1">
      <c r="A4" s="89"/>
      <c r="B4" t="s" s="90">
        <v>83</v>
      </c>
      <c r="C4" t="s" s="90">
        <v>84</v>
      </c>
      <c r="D4" t="s" s="90">
        <v>85</v>
      </c>
      <c r="E4" t="s" s="90">
        <v>86</v>
      </c>
      <c r="F4" t="s" s="90">
        <v>87</v>
      </c>
      <c r="G4" t="s" s="90">
        <v>88</v>
      </c>
      <c r="H4" t="s" s="90">
        <v>89</v>
      </c>
      <c r="I4" t="s" s="90">
        <v>86</v>
      </c>
      <c r="J4" t="s" s="90">
        <v>90</v>
      </c>
      <c r="K4" t="s" s="90">
        <v>91</v>
      </c>
      <c r="L4" t="s" s="90">
        <v>92</v>
      </c>
      <c r="M4" s="9"/>
      <c r="N4" s="60"/>
      <c r="O4" s="60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25.5" customHeight="1">
      <c r="A5" t="s" s="91">
        <v>24</v>
      </c>
      <c r="B5" s="92"/>
      <c r="C5" s="92"/>
      <c r="D5" s="92"/>
      <c r="E5" s="92"/>
      <c r="F5" s="93">
        <v>0.25</v>
      </c>
      <c r="G5" s="92"/>
      <c r="H5" s="92"/>
      <c r="I5" s="93">
        <v>0.0909090909090909</v>
      </c>
      <c r="J5" s="93">
        <v>0.545454545454545</v>
      </c>
      <c r="K5" s="93">
        <v>0.333333333333333</v>
      </c>
      <c r="L5" s="94"/>
      <c r="M5" s="62"/>
      <c r="N5" t="s" s="95">
        <v>93</v>
      </c>
      <c r="O5" s="96"/>
      <c r="P5" s="64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25.5" customHeight="1">
      <c r="A6" t="s" s="91">
        <v>25</v>
      </c>
      <c r="B6" s="97">
        <v>0</v>
      </c>
      <c r="C6" s="93">
        <v>0.5</v>
      </c>
      <c r="D6" s="97">
        <v>0</v>
      </c>
      <c r="E6" s="92"/>
      <c r="F6" s="93">
        <v>0.25</v>
      </c>
      <c r="G6" s="92"/>
      <c r="H6" s="92"/>
      <c r="I6" s="97">
        <v>0</v>
      </c>
      <c r="J6" s="93">
        <v>0.111111111111111</v>
      </c>
      <c r="K6" s="92"/>
      <c r="L6" s="94"/>
      <c r="M6" s="62"/>
      <c r="N6" t="s" s="98">
        <v>94</v>
      </c>
      <c r="O6" s="99"/>
      <c r="P6" s="64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25.5" customHeight="1">
      <c r="A7" t="s" s="91">
        <v>26</v>
      </c>
      <c r="B7" s="93">
        <v>0.75</v>
      </c>
      <c r="C7" s="93">
        <v>0.417</v>
      </c>
      <c r="D7" s="93">
        <v>0.474</v>
      </c>
      <c r="E7" s="93">
        <v>0.444444444444444</v>
      </c>
      <c r="F7" s="93">
        <v>0.611111111111111</v>
      </c>
      <c r="G7" s="93">
        <v>0.466666666666667</v>
      </c>
      <c r="H7" s="93">
        <v>0.6</v>
      </c>
      <c r="I7" s="93">
        <v>0.6</v>
      </c>
      <c r="J7" s="92">
        <v>0.619047619047619</v>
      </c>
      <c r="K7" s="93">
        <v>0.444444444444444</v>
      </c>
      <c r="L7" s="94"/>
      <c r="M7" s="62"/>
      <c r="N7" t="s" s="100">
        <v>95</v>
      </c>
      <c r="O7" s="101"/>
      <c r="P7" s="64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25.5" customHeight="1">
      <c r="A8" t="s" s="91">
        <v>27</v>
      </c>
      <c r="B8" s="92"/>
      <c r="C8" s="92"/>
      <c r="D8" s="92"/>
      <c r="E8" s="92"/>
      <c r="F8" s="97">
        <v>0</v>
      </c>
      <c r="G8" s="92"/>
      <c r="H8" s="92"/>
      <c r="I8" s="92"/>
      <c r="J8" s="92"/>
      <c r="K8" s="92"/>
      <c r="L8" s="94"/>
      <c r="M8" s="62"/>
      <c r="N8" t="s" s="102">
        <v>96</v>
      </c>
      <c r="O8" s="103"/>
      <c r="P8" s="64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25.5" customHeight="1">
      <c r="A9" t="s" s="91">
        <v>28</v>
      </c>
      <c r="B9" s="93">
        <v>0.45</v>
      </c>
      <c r="C9" s="93">
        <v>0.455</v>
      </c>
      <c r="D9" s="93">
        <v>0.25</v>
      </c>
      <c r="E9" s="93">
        <v>0.333333333333333</v>
      </c>
      <c r="F9" s="97">
        <v>0</v>
      </c>
      <c r="G9" s="93">
        <v>0.5</v>
      </c>
      <c r="H9" s="93">
        <v>0.166666666666667</v>
      </c>
      <c r="I9" s="93">
        <v>0.5</v>
      </c>
      <c r="J9" s="93">
        <v>0.125</v>
      </c>
      <c r="K9" s="93">
        <v>0.615384615384615</v>
      </c>
      <c r="L9" s="94"/>
      <c r="M9" s="9"/>
      <c r="N9" t="s" s="104">
        <v>97</v>
      </c>
      <c r="O9" s="105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25.5" customHeight="1">
      <c r="A10" t="s" s="91">
        <v>29</v>
      </c>
      <c r="B10" s="93">
        <v>0.333</v>
      </c>
      <c r="C10" s="93">
        <v>0.091</v>
      </c>
      <c r="D10" s="93">
        <v>0.2</v>
      </c>
      <c r="E10" s="92"/>
      <c r="F10" s="93">
        <v>0.25</v>
      </c>
      <c r="G10" s="92"/>
      <c r="H10" s="93">
        <v>0.5</v>
      </c>
      <c r="I10" s="93">
        <v>0.25</v>
      </c>
      <c r="J10" s="97">
        <v>0.416666666666667</v>
      </c>
      <c r="K10" s="92"/>
      <c r="L10" s="106"/>
      <c r="M10" s="9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25.5" customHeight="1">
      <c r="A11" t="s" s="91">
        <v>69</v>
      </c>
      <c r="B11" s="107"/>
      <c r="C11" s="107"/>
      <c r="D11" s="107"/>
      <c r="E11" s="107"/>
      <c r="F11" s="107"/>
      <c r="G11" s="107"/>
      <c r="H11" s="107"/>
      <c r="I11" s="107"/>
      <c r="J11" s="93">
        <v>0.222222222222222</v>
      </c>
      <c r="K11" s="92"/>
      <c r="L11" s="94"/>
      <c r="M11" s="9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25.5" customHeight="1">
      <c r="A12" t="s" s="91">
        <v>30</v>
      </c>
      <c r="B12" s="93">
        <v>0.357</v>
      </c>
      <c r="C12" s="93">
        <v>0.75</v>
      </c>
      <c r="D12" s="93">
        <v>0.542</v>
      </c>
      <c r="E12" s="93">
        <v>0.583333333333333</v>
      </c>
      <c r="F12" s="93">
        <v>0.5</v>
      </c>
      <c r="G12" s="93">
        <v>0.7</v>
      </c>
      <c r="H12" s="93">
        <v>0.5483870967741939</v>
      </c>
      <c r="I12" s="93">
        <v>0.5</v>
      </c>
      <c r="J12" s="92">
        <v>0.545454545454545</v>
      </c>
      <c r="K12" s="93">
        <v>0.666666666666667</v>
      </c>
      <c r="L12" s="94"/>
      <c r="M12" s="9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25.5" customHeight="1">
      <c r="A13" t="s" s="91">
        <v>31</v>
      </c>
      <c r="B13" s="93">
        <v>0.364</v>
      </c>
      <c r="C13" s="93">
        <v>0.231</v>
      </c>
      <c r="D13" s="93">
        <v>0.333</v>
      </c>
      <c r="E13" s="92"/>
      <c r="F13" s="93">
        <v>0.25</v>
      </c>
      <c r="G13" s="93">
        <v>0.285714285714286</v>
      </c>
      <c r="H13" s="93">
        <v>0.25</v>
      </c>
      <c r="I13" s="93">
        <v>0.3</v>
      </c>
      <c r="J13" s="93">
        <v>0.458333333333333</v>
      </c>
      <c r="K13" s="93">
        <v>0.375</v>
      </c>
      <c r="L13" s="94"/>
      <c r="M13" s="9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25.5" customHeight="1">
      <c r="A14" t="s" s="91">
        <v>32</v>
      </c>
      <c r="B14" s="107"/>
      <c r="C14" s="107"/>
      <c r="D14" s="93">
        <v>0.333</v>
      </c>
      <c r="E14" s="97">
        <v>0</v>
      </c>
      <c r="F14" s="93">
        <v>0.666666666666667</v>
      </c>
      <c r="G14" s="97">
        <v>0</v>
      </c>
      <c r="H14" s="93">
        <v>0.333333333333333</v>
      </c>
      <c r="I14" s="93">
        <v>0.285714285714286</v>
      </c>
      <c r="J14" s="93">
        <v>0.444444444444444</v>
      </c>
      <c r="K14" s="93">
        <v>0.285714285714286</v>
      </c>
      <c r="L14" s="94"/>
      <c r="M14" s="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t="25.5" customHeight="1">
      <c r="A15" t="s" s="91">
        <v>33</v>
      </c>
      <c r="B15" s="93">
        <v>0.25</v>
      </c>
      <c r="C15" s="93">
        <v>0.462</v>
      </c>
      <c r="D15" s="93">
        <v>0.435</v>
      </c>
      <c r="E15" s="93">
        <v>0.833333333333333</v>
      </c>
      <c r="F15" s="93">
        <v>0.375</v>
      </c>
      <c r="G15" s="93">
        <v>0.533333333333333</v>
      </c>
      <c r="H15" s="93">
        <v>0.518518518518518</v>
      </c>
      <c r="I15" s="92"/>
      <c r="J15" s="93">
        <v>0.55</v>
      </c>
      <c r="K15" s="93">
        <v>0.388888888888889</v>
      </c>
      <c r="L15" s="94"/>
      <c r="M15" s="9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t="25.5" customHeight="1">
      <c r="A16" t="s" s="91">
        <v>35</v>
      </c>
      <c r="B16" s="107"/>
      <c r="C16" s="97">
        <v>0</v>
      </c>
      <c r="D16" s="93">
        <v>0.222</v>
      </c>
      <c r="E16" s="92"/>
      <c r="F16" s="93">
        <v>0.111111111111111</v>
      </c>
      <c r="G16" s="93">
        <v>0.142857142857143</v>
      </c>
      <c r="H16" s="93">
        <v>0.333333333333333</v>
      </c>
      <c r="I16" s="93">
        <v>0.333333333333333</v>
      </c>
      <c r="J16" s="93">
        <v>0.214285714285714</v>
      </c>
      <c r="K16" s="93">
        <v>0.571428571428571</v>
      </c>
      <c r="L16" s="94"/>
      <c r="M16" s="9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ht="25.5" customHeight="1">
      <c r="A17" t="s" s="91">
        <v>36</v>
      </c>
      <c r="B17" s="93">
        <v>0.429</v>
      </c>
      <c r="C17" s="93">
        <v>0.2</v>
      </c>
      <c r="D17" s="92"/>
      <c r="E17" s="93">
        <v>0.666666666666667</v>
      </c>
      <c r="F17" s="93">
        <v>0.461538461538462</v>
      </c>
      <c r="G17" s="93">
        <v>0.461538461538462</v>
      </c>
      <c r="H17" s="93">
        <v>0.0909090909090909</v>
      </c>
      <c r="I17" s="93">
        <v>0.285714285714286</v>
      </c>
      <c r="J17" s="93">
        <v>0.294117647058824</v>
      </c>
      <c r="K17" s="92"/>
      <c r="L17" s="94"/>
      <c r="M17" s="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ht="25.5" customHeight="1">
      <c r="A18" t="s" s="91">
        <v>37</v>
      </c>
      <c r="B18" s="107"/>
      <c r="C18" s="107"/>
      <c r="D18" s="97">
        <v>0</v>
      </c>
      <c r="E18" s="93">
        <v>0.428571428571429</v>
      </c>
      <c r="F18" s="93">
        <v>0.416666666666667</v>
      </c>
      <c r="G18" s="93">
        <v>0.375</v>
      </c>
      <c r="H18" s="93">
        <v>0.318181818181818</v>
      </c>
      <c r="I18" s="93">
        <v>0.625</v>
      </c>
      <c r="J18" s="93">
        <v>0.307692307692308</v>
      </c>
      <c r="K18" s="93">
        <v>0.6</v>
      </c>
      <c r="L18" s="94"/>
      <c r="M18" s="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25.5" customHeight="1">
      <c r="A19" t="s" s="91">
        <v>38</v>
      </c>
      <c r="B19" s="92"/>
      <c r="C19" s="93">
        <v>0.429</v>
      </c>
      <c r="D19" s="93">
        <v>0.611</v>
      </c>
      <c r="E19" s="93">
        <v>0.4</v>
      </c>
      <c r="F19" s="93">
        <v>0.444444444444444</v>
      </c>
      <c r="G19" s="93">
        <v>0.25</v>
      </c>
      <c r="H19" s="93">
        <v>0.333333333333333</v>
      </c>
      <c r="I19" s="93">
        <v>0.411764705882353</v>
      </c>
      <c r="J19" s="93">
        <v>0.25</v>
      </c>
      <c r="K19" s="93">
        <v>0.428571428571429</v>
      </c>
      <c r="L19" s="94"/>
      <c r="M19" s="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25.5" customHeight="1">
      <c r="A20" t="s" s="91">
        <v>39</v>
      </c>
      <c r="B20" s="93">
        <v>0.429</v>
      </c>
      <c r="C20" s="93">
        <v>0.5</v>
      </c>
      <c r="D20" s="93">
        <v>0.286</v>
      </c>
      <c r="E20" s="93">
        <v>0.5</v>
      </c>
      <c r="F20" s="92"/>
      <c r="G20" s="93">
        <v>0.5</v>
      </c>
      <c r="H20" s="93">
        <v>0.3</v>
      </c>
      <c r="I20" s="93">
        <v>0.4</v>
      </c>
      <c r="J20" s="93">
        <v>0.352941176470588</v>
      </c>
      <c r="K20" s="93">
        <v>0.307692307692308</v>
      </c>
      <c r="L20" s="94"/>
      <c r="M20" s="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25.5" customHeight="1">
      <c r="A21" t="s" s="91">
        <v>70</v>
      </c>
      <c r="B21" s="107"/>
      <c r="C21" s="107"/>
      <c r="D21" s="107"/>
      <c r="E21" s="107"/>
      <c r="F21" s="107"/>
      <c r="G21" s="107"/>
      <c r="H21" s="107"/>
      <c r="I21" s="107"/>
      <c r="J21" s="93">
        <v>0.428571428571429</v>
      </c>
      <c r="K21" s="93">
        <v>0.4</v>
      </c>
      <c r="L21" s="94"/>
      <c r="M21" s="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25.5" customHeight="1">
      <c r="A22" t="s" s="91">
        <v>40</v>
      </c>
      <c r="B22" s="93">
        <v>0.333</v>
      </c>
      <c r="C22" s="93">
        <v>0.143</v>
      </c>
      <c r="D22" s="93">
        <v>0.143</v>
      </c>
      <c r="E22" s="97">
        <v>0</v>
      </c>
      <c r="F22" s="93">
        <v>0.5</v>
      </c>
      <c r="G22" s="92"/>
      <c r="H22" s="97">
        <v>0</v>
      </c>
      <c r="I22" s="92"/>
      <c r="J22" s="93">
        <v>0.5</v>
      </c>
      <c r="K22" s="92"/>
      <c r="L22" s="94"/>
      <c r="M22" s="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25.5" customHeight="1">
      <c r="A23" t="s" s="91">
        <v>41</v>
      </c>
      <c r="B23" s="93">
        <v>0.5600000000000001</v>
      </c>
      <c r="C23" s="93">
        <v>0.545</v>
      </c>
      <c r="D23" s="93">
        <v>0.304</v>
      </c>
      <c r="E23" s="92"/>
      <c r="F23" s="93">
        <v>0.454545454545455</v>
      </c>
      <c r="G23" s="93">
        <v>0.466666666666667</v>
      </c>
      <c r="H23" s="93">
        <v>0.583333333333333</v>
      </c>
      <c r="I23" s="93">
        <v>0.75</v>
      </c>
      <c r="J23" s="92"/>
      <c r="K23" s="92"/>
      <c r="L23" s="94"/>
      <c r="M23" s="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25.5" customHeight="1">
      <c r="A24" t="s" s="91">
        <v>42</v>
      </c>
      <c r="B24" s="93">
        <v>0.25</v>
      </c>
      <c r="C24" s="93">
        <v>0.167</v>
      </c>
      <c r="D24" s="93">
        <v>0.571</v>
      </c>
      <c r="E24" s="92"/>
      <c r="F24" s="93">
        <v>0.4</v>
      </c>
      <c r="G24" s="93">
        <v>0.25</v>
      </c>
      <c r="H24" s="93">
        <v>0.181818181818182</v>
      </c>
      <c r="I24" s="93">
        <v>0.571428571428571</v>
      </c>
      <c r="J24" s="93">
        <v>0.285714285714286</v>
      </c>
      <c r="K24" s="92"/>
      <c r="L24" s="94"/>
      <c r="M24" s="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25.5" customHeight="1">
      <c r="A25" t="s" s="91">
        <v>43</v>
      </c>
      <c r="B25" s="93">
        <v>0.5</v>
      </c>
      <c r="C25" s="93">
        <v>0.2</v>
      </c>
      <c r="D25" s="93">
        <v>0.4</v>
      </c>
      <c r="E25" s="93">
        <v>0.2</v>
      </c>
      <c r="F25" s="93">
        <v>0.222222222222222</v>
      </c>
      <c r="G25" s="93">
        <v>0.363636363636364</v>
      </c>
      <c r="H25" s="93">
        <v>0.285714285714286</v>
      </c>
      <c r="I25" s="93">
        <v>0.375</v>
      </c>
      <c r="J25" s="93">
        <v>0.5161290322580649</v>
      </c>
      <c r="K25" s="93">
        <v>0.3</v>
      </c>
      <c r="L25" s="94"/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25.5" customHeight="1">
      <c r="A26" t="s" s="91">
        <v>71</v>
      </c>
      <c r="B26" s="107"/>
      <c r="C26" s="107"/>
      <c r="D26" s="107"/>
      <c r="E26" s="107"/>
      <c r="F26" s="107"/>
      <c r="G26" s="107"/>
      <c r="H26" s="107"/>
      <c r="I26" s="107"/>
      <c r="J26" s="107"/>
      <c r="K26" s="93">
        <v>0.3</v>
      </c>
      <c r="L26" s="94"/>
      <c r="M26" s="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25.5" customHeight="1">
      <c r="A27" t="s" s="91">
        <v>44</v>
      </c>
      <c r="B27" s="107"/>
      <c r="C27" s="107"/>
      <c r="D27" s="97">
        <v>0</v>
      </c>
      <c r="E27" s="93">
        <v>0.25</v>
      </c>
      <c r="F27" s="97">
        <v>0</v>
      </c>
      <c r="G27" s="97">
        <v>0</v>
      </c>
      <c r="H27" s="93">
        <v>0.5</v>
      </c>
      <c r="I27" s="93">
        <v>0.333333333333333</v>
      </c>
      <c r="J27" s="93">
        <v>0.24</v>
      </c>
      <c r="K27" s="93">
        <v>0.363636363636364</v>
      </c>
      <c r="L27" s="94"/>
      <c r="M27" s="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25.5" customHeight="1">
      <c r="A28" t="s" s="108">
        <v>45</v>
      </c>
      <c r="B28" s="109">
        <v>0.432835820895522</v>
      </c>
      <c r="C28" s="109">
        <v>0.342857142857143</v>
      </c>
      <c r="D28" s="110">
        <v>0.357487922705314</v>
      </c>
      <c r="E28" s="110">
        <v>0.37</v>
      </c>
      <c r="F28" s="110">
        <v>0.386075949367089</v>
      </c>
      <c r="G28" s="110">
        <v>0.387323943661972</v>
      </c>
      <c r="H28" s="110">
        <v>0.424390243902439</v>
      </c>
      <c r="I28" s="110">
        <v>0.373417721518987</v>
      </c>
      <c r="J28" s="110">
        <v>0.400662251655629</v>
      </c>
      <c r="K28" s="110"/>
      <c r="L28" s="110"/>
      <c r="M28" s="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6.5" customHeight="1">
      <c r="A29" s="111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3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</sheetData>
  <mergeCells count="9">
    <mergeCell ref="N8:O8"/>
    <mergeCell ref="N9:O9"/>
    <mergeCell ref="J3:L3"/>
    <mergeCell ref="N5:O5"/>
    <mergeCell ref="A3:A4"/>
    <mergeCell ref="C3:E3"/>
    <mergeCell ref="F3:I3"/>
    <mergeCell ref="N6:O6"/>
    <mergeCell ref="N7:O7"/>
  </mergeCells>
  <conditionalFormatting sqref="B5:J10 L5:L20 J11 B12:J20 J21 L21:L27 B22:J25 B27:J27">
    <cfRule type="cellIs" dxfId="5" priority="1" operator="between" stopIfTrue="1">
      <formula>0.3</formula>
      <formula>0.4999</formula>
    </cfRule>
    <cfRule type="cellIs" dxfId="6" priority="2" operator="between" stopIfTrue="1">
      <formula>0.00001</formula>
      <formula>0.2999</formula>
    </cfRule>
    <cfRule type="cellIs" dxfId="7" priority="3" operator="greaterThan" stopIfTrue="1">
      <formula>0.699</formula>
    </cfRule>
    <cfRule type="cellIs" dxfId="8" priority="4" operator="greaterThanOrEqual" stopIfTrue="1">
      <formula>0.5</formula>
    </cfRule>
  </conditionalFormatting>
  <conditionalFormatting sqref="K5:K27">
    <cfRule type="cellIs" dxfId="9" priority="1" operator="between" stopIfTrue="1">
      <formula>0.3</formula>
      <formula>0.4999</formula>
    </cfRule>
    <cfRule type="cellIs" dxfId="10" priority="2" operator="between" stopIfTrue="1">
      <formula>0.00001</formula>
      <formula>0.2999</formula>
    </cfRule>
    <cfRule type="cellIs" dxfId="11" priority="3" operator="greaterThan" stopIfTrue="1">
      <formula>0.699</formula>
    </cfRule>
    <cfRule type="cellIs" dxfId="12" priority="4" operator="greaterThan" stopIfTrue="1">
      <formula>0.699</formula>
    </cfRule>
    <cfRule type="cellIs" dxfId="13" priority="5" operator="greaterThanOrEqual" stopIfTrue="1">
      <formula>0.5</formula>
    </cfRule>
    <cfRule type="cellIs" dxfId="14" priority="6" operator="greaterThanOrEqual" stopIfTrue="1">
      <formula>0.5</formula>
    </cfRule>
  </conditionalFormatting>
  <conditionalFormatting sqref="N9">
    <cfRule type="cellIs" dxfId="15" priority="1" operator="between" stopIfTrue="1">
      <formula>0.00001</formula>
      <formula>0.25</formula>
    </cfRule>
    <cfRule type="cellIs" dxfId="16" priority="2" operator="greaterThan" stopIfTrue="1">
      <formula>0.699</formula>
    </cfRule>
    <cfRule type="cellIs" dxfId="17" priority="3" operator="greaterThan" stopIfTrue="1">
      <formula>0.499</formula>
    </cfRule>
  </conditionalFormatting>
  <conditionalFormatting sqref="B11:I11 B21:I21 B26:J26">
    <cfRule type="cellIs" dxfId="18" priority="1" operator="between" stopIfTrue="1">
      <formula>0.3</formula>
      <formula>0.4999</formula>
    </cfRule>
    <cfRule type="cellIs" dxfId="19" priority="2" operator="between" stopIfTrue="1">
      <formula>0.00001</formula>
      <formula>0.2999</formula>
    </cfRule>
  </conditionalFormatting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V37"/>
  <sheetViews>
    <sheetView workbookViewId="0" showGridLines="0" defaultGridColor="1"/>
  </sheetViews>
  <sheetFormatPr defaultColWidth="9" defaultRowHeight="16.5" customHeight="1" outlineLevelRow="0" outlineLevelCol="0"/>
  <cols>
    <col min="1" max="22" width="8.85156" style="112" customWidth="1"/>
    <col min="23" max="16384" width="9" style="112" customWidth="1"/>
  </cols>
  <sheetData>
    <row r="1" ht="26.25" customHeight="1">
      <c r="A1" t="s" s="2">
        <v>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3"/>
      <c r="V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6"/>
      <c r="V2" s="6"/>
    </row>
    <row r="3" ht="34.5" customHeight="1">
      <c r="A3" t="s" s="8">
        <v>2</v>
      </c>
      <c r="B3" t="s" s="8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21</v>
      </c>
      <c r="U3" t="s" s="8">
        <v>22</v>
      </c>
      <c r="V3" t="s" s="8">
        <v>23</v>
      </c>
    </row>
    <row r="4" ht="15" customHeight="1">
      <c r="A4" t="s" s="8">
        <v>26</v>
      </c>
      <c r="B4" s="10">
        <v>52</v>
      </c>
      <c r="C4" s="65" cm="1">
        <f t="array" ref="C4">F4/E4</f>
        <v>0.5609756097560979</v>
      </c>
      <c r="D4" s="10">
        <v>150</v>
      </c>
      <c r="E4" s="10">
        <v>123</v>
      </c>
      <c r="F4" s="10">
        <v>69</v>
      </c>
      <c r="G4" s="10">
        <v>50</v>
      </c>
      <c r="H4" s="10">
        <v>14</v>
      </c>
      <c r="I4" s="10">
        <v>4</v>
      </c>
      <c r="J4" s="10">
        <v>1</v>
      </c>
      <c r="K4" s="10">
        <v>57</v>
      </c>
      <c r="L4" s="10">
        <v>62</v>
      </c>
      <c r="M4" s="10">
        <v>39</v>
      </c>
      <c r="N4" s="10">
        <v>25</v>
      </c>
      <c r="O4" s="10">
        <v>9</v>
      </c>
      <c r="P4" s="113" cm="1">
        <f t="array" ref="P4">O4/D4</f>
        <v>0.06</v>
      </c>
      <c r="Q4" s="13" cm="1">
        <f t="array" ref="Q4">(G4*1+H4*2+I4*3+J4*4)/E4</f>
        <v>0.764227642276423</v>
      </c>
      <c r="R4" s="14" cm="1">
        <f t="array" ref="R4">(F4+N4)/D4</f>
        <v>0.626666666666667</v>
      </c>
      <c r="S4" s="15" cm="1">
        <f t="array" ref="S4">R4+Q4</f>
        <v>1.39089430894309</v>
      </c>
      <c r="T4" s="21" cm="1">
        <f t="array" ref="T4">O4/(D4-(F4+N4))</f>
        <v>0.160714285714286</v>
      </c>
      <c r="U4" s="17" cm="1">
        <f t="array" ref="U4">RANK(R4,$R$4:$R$24)</f>
        <v>1</v>
      </c>
      <c r="V4" s="18" cm="1">
        <f t="array" ref="V4">RANK(S4,$S$4:$S$24)</f>
        <v>1</v>
      </c>
    </row>
    <row r="5" ht="17.25" customHeight="1">
      <c r="A5" t="s" s="8">
        <v>30</v>
      </c>
      <c r="B5" s="10">
        <v>54</v>
      </c>
      <c r="C5" s="65" cm="1">
        <f t="array" ref="C5">F5/E5</f>
        <v>0.531914893617021</v>
      </c>
      <c r="D5" s="10">
        <v>168</v>
      </c>
      <c r="E5" s="10">
        <v>141</v>
      </c>
      <c r="F5" s="10">
        <v>75</v>
      </c>
      <c r="G5" s="10">
        <v>54</v>
      </c>
      <c r="H5" s="10">
        <v>12</v>
      </c>
      <c r="I5" s="10">
        <v>8</v>
      </c>
      <c r="J5" s="10">
        <v>1</v>
      </c>
      <c r="K5" s="10">
        <v>69</v>
      </c>
      <c r="L5" s="10">
        <v>50</v>
      </c>
      <c r="M5" s="10">
        <v>79</v>
      </c>
      <c r="N5" s="10">
        <v>22</v>
      </c>
      <c r="O5" s="10">
        <v>12</v>
      </c>
      <c r="P5" s="113" cm="1">
        <f t="array" ref="P5">O5/D5</f>
        <v>0.0714285714285714</v>
      </c>
      <c r="Q5" s="13" cm="1">
        <f t="array" ref="Q5">(G5*1+H5*2+I5*3+J5*4)/E5</f>
        <v>0.75177304964539</v>
      </c>
      <c r="R5" s="14" cm="1">
        <f t="array" ref="R5">(F5+N5)/D5</f>
        <v>0.577380952380952</v>
      </c>
      <c r="S5" s="15" cm="1">
        <f t="array" ref="S5">R5+Q5</f>
        <v>1.32915400202634</v>
      </c>
      <c r="T5" s="21" cm="1">
        <f t="array" ref="T5">O5/(D5-(F5+N5))</f>
        <v>0.169014084507042</v>
      </c>
      <c r="U5" s="17" cm="1">
        <f t="array" ref="U5">RANK(R5,$R$4:$R$24)</f>
        <v>2</v>
      </c>
      <c r="V5" s="18" cm="1">
        <f t="array" ref="V5">RANK(S5,$S$4:$S$24)</f>
        <v>3</v>
      </c>
    </row>
    <row r="6" ht="17.25" customHeight="1">
      <c r="A6" t="s" s="8">
        <v>33</v>
      </c>
      <c r="B6" s="10">
        <v>47</v>
      </c>
      <c r="C6" s="65" cm="1">
        <f t="array" ref="C6">F6/E6</f>
        <v>0.5</v>
      </c>
      <c r="D6" s="10">
        <v>125</v>
      </c>
      <c r="E6" s="10">
        <v>104</v>
      </c>
      <c r="F6" s="10">
        <v>52</v>
      </c>
      <c r="G6" s="10">
        <v>29</v>
      </c>
      <c r="H6" s="10">
        <v>20</v>
      </c>
      <c r="I6" s="10">
        <v>2</v>
      </c>
      <c r="J6" s="10">
        <v>1</v>
      </c>
      <c r="K6" s="10">
        <v>40</v>
      </c>
      <c r="L6" s="10">
        <v>42</v>
      </c>
      <c r="M6" s="10">
        <v>19</v>
      </c>
      <c r="N6" s="10">
        <v>20</v>
      </c>
      <c r="O6" s="10">
        <v>5</v>
      </c>
      <c r="P6" s="113" cm="1">
        <f t="array" ref="P6">O6/D6</f>
        <v>0.04</v>
      </c>
      <c r="Q6" s="13" cm="1">
        <f t="array" ref="Q6">(G6*1+H6*2+I6*3+J6*4)/E6</f>
        <v>0.759615384615385</v>
      </c>
      <c r="R6" s="14" cm="1">
        <f t="array" ref="R6">(F6+N6)/D6</f>
        <v>0.576</v>
      </c>
      <c r="S6" s="15" cm="1">
        <f t="array" ref="S6">R6+Q6</f>
        <v>1.33561538461539</v>
      </c>
      <c r="T6" s="21" cm="1">
        <f t="array" ref="T6">O6/(D6-(F6+N6))</f>
        <v>0.0943396226415094</v>
      </c>
      <c r="U6" s="17" cm="1">
        <f t="array" ref="U6">RANK(R6,$R$4:$R$24)</f>
        <v>3</v>
      </c>
      <c r="V6" s="18" cm="1">
        <f t="array" ref="V6">RANK(S6,$S$4:$S$24)</f>
        <v>2</v>
      </c>
    </row>
    <row r="7" ht="17.25" customHeight="1">
      <c r="A7" t="s" s="8">
        <v>38</v>
      </c>
      <c r="B7" s="10">
        <v>41</v>
      </c>
      <c r="C7" s="65" cm="1">
        <f t="array" ref="C7">F7/E7</f>
        <v>0.428571428571429</v>
      </c>
      <c r="D7" s="10">
        <v>90</v>
      </c>
      <c r="E7" s="10">
        <v>77</v>
      </c>
      <c r="F7" s="10">
        <v>33</v>
      </c>
      <c r="G7" s="10">
        <v>26</v>
      </c>
      <c r="H7" s="10">
        <v>5</v>
      </c>
      <c r="I7" s="10">
        <v>1</v>
      </c>
      <c r="J7" s="10">
        <v>1</v>
      </c>
      <c r="K7" s="10">
        <v>23</v>
      </c>
      <c r="L7" s="10">
        <v>17</v>
      </c>
      <c r="M7" s="10">
        <v>12</v>
      </c>
      <c r="N7" s="10">
        <v>11</v>
      </c>
      <c r="O7" s="10">
        <v>13</v>
      </c>
      <c r="P7" s="113" cm="1">
        <f t="array" ref="P7">O7/D7</f>
        <v>0.144444444444444</v>
      </c>
      <c r="Q7" s="13" cm="1">
        <f t="array" ref="Q7">(G7*1+H7*2+I7*3+J7*4)/E7</f>
        <v>0.558441558441558</v>
      </c>
      <c r="R7" s="14" cm="1">
        <f t="array" ref="R7">(F7+N7)/D7</f>
        <v>0.488888888888889</v>
      </c>
      <c r="S7" s="15" cm="1">
        <f t="array" ref="S7">R7+Q7</f>
        <v>1.04733044733045</v>
      </c>
      <c r="T7" s="20" cm="1">
        <f t="array" ref="T7">O7/(D7-(F7+N7))</f>
        <v>0.282608695652174</v>
      </c>
      <c r="U7" s="17" cm="1">
        <f t="array" ref="U7">RANK(R7,$R$4:$R$24)</f>
        <v>8</v>
      </c>
      <c r="V7" s="18" cm="1">
        <f t="array" ref="V7">RANK(S7,$S$4:$S$24)</f>
        <v>7</v>
      </c>
    </row>
    <row r="8" ht="17.25" customHeight="1">
      <c r="A8" t="s" s="8">
        <v>41</v>
      </c>
      <c r="B8" s="10">
        <v>54</v>
      </c>
      <c r="C8" s="65" cm="1">
        <f t="array" ref="C8">F8/E8</f>
        <v>0.478632478632479</v>
      </c>
      <c r="D8" s="10">
        <v>134</v>
      </c>
      <c r="E8" s="10">
        <v>117</v>
      </c>
      <c r="F8" s="10">
        <v>56</v>
      </c>
      <c r="G8" s="10">
        <v>41</v>
      </c>
      <c r="H8" s="10">
        <v>13</v>
      </c>
      <c r="I8" s="10">
        <v>0</v>
      </c>
      <c r="J8" s="10">
        <v>2</v>
      </c>
      <c r="K8" s="10">
        <v>47</v>
      </c>
      <c r="L8" s="10">
        <v>43</v>
      </c>
      <c r="M8" s="10">
        <v>20</v>
      </c>
      <c r="N8" s="10">
        <v>17</v>
      </c>
      <c r="O8" s="10">
        <v>14</v>
      </c>
      <c r="P8" s="113" cm="1">
        <f t="array" ref="P8">O8/D8</f>
        <v>0.104477611940299</v>
      </c>
      <c r="Q8" s="13" cm="1">
        <f t="array" ref="Q8">(G8*1+H8*2+I8*3+J8*4)/E8</f>
        <v>0.641025641025641</v>
      </c>
      <c r="R8" s="14" cm="1">
        <f t="array" ref="R8">(F8+N8)/D8</f>
        <v>0.544776119402985</v>
      </c>
      <c r="S8" s="15" cm="1">
        <f t="array" ref="S8">R8+Q8</f>
        <v>1.18580176042863</v>
      </c>
      <c r="T8" s="20" cm="1">
        <f t="array" ref="T8">O8/(D8-(F8+N8))</f>
        <v>0.229508196721311</v>
      </c>
      <c r="U8" s="17" cm="1">
        <f t="array" ref="U8">RANK(R8,$R$4:$R$24)</f>
        <v>4</v>
      </c>
      <c r="V8" s="18" cm="1">
        <f t="array" ref="V8">RANK(S8,$S$4:$S$24)</f>
        <v>4</v>
      </c>
    </row>
    <row r="9" ht="17.25" customHeight="1">
      <c r="A9" t="s" s="8">
        <v>36</v>
      </c>
      <c r="B9" s="10">
        <v>37</v>
      </c>
      <c r="C9" s="65" cm="1">
        <f t="array" ref="C9">F9/E9</f>
        <v>0.35</v>
      </c>
      <c r="D9" s="10">
        <v>68</v>
      </c>
      <c r="E9" s="10">
        <v>60</v>
      </c>
      <c r="F9" s="10">
        <v>21</v>
      </c>
      <c r="G9" s="10">
        <v>16</v>
      </c>
      <c r="H9" s="10">
        <v>5</v>
      </c>
      <c r="I9" s="10">
        <v>0</v>
      </c>
      <c r="J9" s="10">
        <v>0</v>
      </c>
      <c r="K9" s="10">
        <v>17</v>
      </c>
      <c r="L9" s="10">
        <v>22</v>
      </c>
      <c r="M9" s="10">
        <v>13</v>
      </c>
      <c r="N9" s="10">
        <v>7</v>
      </c>
      <c r="O9" s="10">
        <v>13</v>
      </c>
      <c r="P9" s="113" cm="1">
        <f t="array" ref="P9">O9/D9</f>
        <v>0.191176470588235</v>
      </c>
      <c r="Q9" s="13" cm="1">
        <f t="array" ref="Q9">(G9*1+H9*2+I9*3+J9*4)/E9</f>
        <v>0.433333333333333</v>
      </c>
      <c r="R9" s="14" cm="1">
        <f t="array" ref="R9">(F9+N9)/D9</f>
        <v>0.411764705882353</v>
      </c>
      <c r="S9" s="15" cm="1">
        <f t="array" ref="S9">R9+Q9</f>
        <v>0.845098039215686</v>
      </c>
      <c r="T9" s="16" cm="1">
        <f t="array" ref="T9">O9/(D9-(F9+N9))</f>
        <v>0.325</v>
      </c>
      <c r="U9" s="17" cm="1">
        <f t="array" ref="U9">RANK(R9,$R$4:$R$24)</f>
        <v>13</v>
      </c>
      <c r="V9" s="18" cm="1">
        <f t="array" ref="V9">RANK(S9,$S$4:$S$24)</f>
        <v>11</v>
      </c>
    </row>
    <row r="10" ht="17.25" customHeight="1">
      <c r="A10" t="s" s="8">
        <v>37</v>
      </c>
      <c r="B10" s="10">
        <v>28</v>
      </c>
      <c r="C10" s="65" cm="1">
        <f t="array" ref="C10">F10/E10</f>
        <v>0.382352941176471</v>
      </c>
      <c r="D10" s="10">
        <v>88</v>
      </c>
      <c r="E10" s="10">
        <v>68</v>
      </c>
      <c r="F10" s="10">
        <v>26</v>
      </c>
      <c r="G10" s="10">
        <v>19</v>
      </c>
      <c r="H10" s="10">
        <v>3</v>
      </c>
      <c r="I10" s="10">
        <v>4</v>
      </c>
      <c r="J10" s="10">
        <v>0</v>
      </c>
      <c r="K10" s="10">
        <v>27</v>
      </c>
      <c r="L10" s="10">
        <v>14</v>
      </c>
      <c r="M10" s="10">
        <v>25</v>
      </c>
      <c r="N10" s="10">
        <v>19</v>
      </c>
      <c r="O10" s="10">
        <v>13</v>
      </c>
      <c r="P10" s="113" cm="1">
        <f t="array" ref="P10">O10/D10</f>
        <v>0.147727272727273</v>
      </c>
      <c r="Q10" s="13" cm="1">
        <f t="array" ref="Q10">(G10*1+H10*2+I10*3+J10*4)/E10</f>
        <v>0.544117647058824</v>
      </c>
      <c r="R10" s="14" cm="1">
        <f t="array" ref="R10">(F10+N10)/D10</f>
        <v>0.511363636363636</v>
      </c>
      <c r="S10" s="15" cm="1">
        <f t="array" ref="S10">R10+Q10</f>
        <v>1.05548128342246</v>
      </c>
      <c r="T10" s="16" cm="1">
        <f t="array" ref="T10">O10/(D10-(F10+N10))</f>
        <v>0.302325581395349</v>
      </c>
      <c r="U10" s="17" cm="1">
        <f t="array" ref="U10">RANK(R10,$R$4:$R$24)</f>
        <v>6</v>
      </c>
      <c r="V10" s="18" cm="1">
        <f t="array" ref="V10">RANK(S10,$S$4:$S$24)</f>
        <v>6</v>
      </c>
    </row>
    <row r="11" ht="17.25" customHeight="1">
      <c r="A11" t="s" s="8">
        <v>28</v>
      </c>
      <c r="B11" s="10">
        <v>44</v>
      </c>
      <c r="C11" s="65" cm="1">
        <f t="array" ref="C11">F11/E11</f>
        <v>0.364705882352941</v>
      </c>
      <c r="D11" s="10">
        <v>112</v>
      </c>
      <c r="E11" s="10">
        <v>85</v>
      </c>
      <c r="F11" s="10">
        <v>31</v>
      </c>
      <c r="G11" s="10">
        <v>20</v>
      </c>
      <c r="H11" s="10">
        <v>7</v>
      </c>
      <c r="I11" s="10">
        <v>3</v>
      </c>
      <c r="J11" s="10">
        <v>1</v>
      </c>
      <c r="K11" s="10">
        <v>35</v>
      </c>
      <c r="L11" s="10">
        <v>33</v>
      </c>
      <c r="M11" s="10">
        <v>19</v>
      </c>
      <c r="N11" s="10">
        <v>26</v>
      </c>
      <c r="O11" s="10">
        <v>23</v>
      </c>
      <c r="P11" s="113" cm="1">
        <f t="array" ref="P11">O11/D11</f>
        <v>0.205357142857143</v>
      </c>
      <c r="Q11" s="13" cm="1">
        <f t="array" ref="Q11">(G11*1+H11*2+I11*3+J11*4)/E11</f>
        <v>0.552941176470588</v>
      </c>
      <c r="R11" s="14" cm="1">
        <f t="array" ref="R11">(F11+N11)/D11</f>
        <v>0.508928571428571</v>
      </c>
      <c r="S11" s="15" cm="1">
        <f t="array" ref="S11">R11+Q11</f>
        <v>1.06186974789916</v>
      </c>
      <c r="T11" s="20" cm="1">
        <f t="array" ref="T11">O11/(D11-(F11+N11))</f>
        <v>0.418181818181818</v>
      </c>
      <c r="U11" s="17" cm="1">
        <f t="array" ref="U11">RANK(R11,$R$4:$R$24)</f>
        <v>7</v>
      </c>
      <c r="V11" s="18" cm="1">
        <f t="array" ref="V11">RANK(S11,$S$4:$S$24)</f>
        <v>5</v>
      </c>
    </row>
    <row r="12" ht="17.25" customHeight="1">
      <c r="A12" t="s" s="8">
        <v>43</v>
      </c>
      <c r="B12" s="10">
        <v>44</v>
      </c>
      <c r="C12" s="65" cm="1">
        <f t="array" ref="C12">F12/E12</f>
        <v>0.340425531914894</v>
      </c>
      <c r="D12" s="10">
        <v>115</v>
      </c>
      <c r="E12" s="10">
        <v>94</v>
      </c>
      <c r="F12" s="10">
        <v>32</v>
      </c>
      <c r="G12" s="10">
        <v>20</v>
      </c>
      <c r="H12" s="10">
        <v>10</v>
      </c>
      <c r="I12" s="10">
        <v>2</v>
      </c>
      <c r="J12" s="10">
        <v>0</v>
      </c>
      <c r="K12" s="10">
        <v>28</v>
      </c>
      <c r="L12" s="10">
        <v>25</v>
      </c>
      <c r="M12" s="10">
        <v>17</v>
      </c>
      <c r="N12" s="10">
        <v>20</v>
      </c>
      <c r="O12" s="10">
        <v>20</v>
      </c>
      <c r="P12" s="113" cm="1">
        <f t="array" ref="P12">O12/D12</f>
        <v>0.173913043478261</v>
      </c>
      <c r="Q12" s="13" cm="1">
        <f t="array" ref="Q12">(G12*1+H12*2+I12*3+J12*4)/E12</f>
        <v>0.48936170212766</v>
      </c>
      <c r="R12" s="14" cm="1">
        <f t="array" ref="R12">(F12+N12)/D12</f>
        <v>0.452173913043478</v>
      </c>
      <c r="S12" s="15" cm="1">
        <f t="array" ref="S12">R12+Q12</f>
        <v>0.941535615171138</v>
      </c>
      <c r="T12" s="20" cm="1">
        <f t="array" ref="T12">O12/(D12-(F12+N12))</f>
        <v>0.317460317460317</v>
      </c>
      <c r="U12" s="17" cm="1">
        <f t="array" ref="U12">RANK(R12,$R$4:$R$24)</f>
        <v>10</v>
      </c>
      <c r="V12" s="18" cm="1">
        <f t="array" ref="V12">RANK(S12,$S$4:$S$24)</f>
        <v>8</v>
      </c>
    </row>
    <row r="13" ht="17.25" customHeight="1">
      <c r="A13" t="s" s="8">
        <v>39</v>
      </c>
      <c r="B13" s="10">
        <v>31</v>
      </c>
      <c r="C13" s="65" cm="1">
        <f t="array" ref="C13">F13/E13</f>
        <v>0.353846153846154</v>
      </c>
      <c r="D13" s="10">
        <v>80</v>
      </c>
      <c r="E13" s="10">
        <v>65</v>
      </c>
      <c r="F13" s="10">
        <v>23</v>
      </c>
      <c r="G13" s="10">
        <v>22</v>
      </c>
      <c r="H13" s="10">
        <v>0</v>
      </c>
      <c r="I13" s="10">
        <v>0</v>
      </c>
      <c r="J13" s="10">
        <v>1</v>
      </c>
      <c r="K13" s="10">
        <v>20</v>
      </c>
      <c r="L13" s="10">
        <v>22</v>
      </c>
      <c r="M13" s="10">
        <v>7</v>
      </c>
      <c r="N13" s="10">
        <v>13</v>
      </c>
      <c r="O13" s="10">
        <v>10</v>
      </c>
      <c r="P13" s="113" cm="1">
        <f t="array" ref="P13">O13/D13</f>
        <v>0.125</v>
      </c>
      <c r="Q13" s="13" cm="1">
        <f t="array" ref="Q13">(G13*1+H13*2+I13*3+J13*4)/E13</f>
        <v>0.4</v>
      </c>
      <c r="R13" s="14" cm="1">
        <f t="array" ref="R13">(F13+N13)/D13</f>
        <v>0.45</v>
      </c>
      <c r="S13" s="15" cm="1">
        <f t="array" ref="S13">R13+Q13</f>
        <v>0.85</v>
      </c>
      <c r="T13" s="23" cm="1">
        <f t="array" ref="T13">O13/(D13-(F13+N13))</f>
        <v>0.227272727272727</v>
      </c>
      <c r="U13" s="17" cm="1">
        <f t="array" ref="U13">RANK(R13,$R$4:$R$24)</f>
        <v>11</v>
      </c>
      <c r="V13" s="18" cm="1">
        <f t="array" ref="V13">RANK(S13,$S$4:$S$24)</f>
        <v>10</v>
      </c>
    </row>
    <row r="14" ht="17.25" customHeight="1">
      <c r="A14" t="s" s="8">
        <v>42</v>
      </c>
      <c r="B14" s="10">
        <v>34</v>
      </c>
      <c r="C14" s="65" cm="1">
        <f t="array" ref="C14">F14/E14</f>
        <v>0.339285714285714</v>
      </c>
      <c r="D14" s="10">
        <v>74</v>
      </c>
      <c r="E14" s="10">
        <v>56</v>
      </c>
      <c r="F14" s="10">
        <v>19</v>
      </c>
      <c r="G14" s="10">
        <v>15</v>
      </c>
      <c r="H14" s="10">
        <v>4</v>
      </c>
      <c r="I14" s="10">
        <v>0</v>
      </c>
      <c r="J14" s="10">
        <v>0</v>
      </c>
      <c r="K14" s="10">
        <v>22</v>
      </c>
      <c r="L14" s="10">
        <v>17</v>
      </c>
      <c r="M14" s="10">
        <v>16</v>
      </c>
      <c r="N14" s="10">
        <v>16</v>
      </c>
      <c r="O14" s="10">
        <v>18</v>
      </c>
      <c r="P14" s="113" cm="1">
        <f t="array" ref="P14">O14/D14</f>
        <v>0.243243243243243</v>
      </c>
      <c r="Q14" s="13" cm="1">
        <f t="array" ref="Q14">(G14*1+H14*2+I14*3+J14*4)/E14</f>
        <v>0.410714285714286</v>
      </c>
      <c r="R14" s="14" cm="1">
        <f t="array" ref="R14">(F14+N14)/D14</f>
        <v>0.472972972972973</v>
      </c>
      <c r="S14" s="15" cm="1">
        <f t="array" ref="S14">R14+Q14</f>
        <v>0.8836872586872589</v>
      </c>
      <c r="T14" s="114" cm="1">
        <f t="array" ref="T14">O14/(D14-(F14+N14))</f>
        <v>0.461538461538462</v>
      </c>
      <c r="U14" s="17" cm="1">
        <f t="array" ref="U14">RANK(R14,$R$4:$R$24)</f>
        <v>9</v>
      </c>
      <c r="V14" s="18" cm="1">
        <f t="array" ref="V14">RANK(S14,$S$4:$S$24)</f>
        <v>9</v>
      </c>
    </row>
    <row r="15" ht="17.25" customHeight="1">
      <c r="A15" t="s" s="8">
        <v>32</v>
      </c>
      <c r="B15" s="10">
        <v>20</v>
      </c>
      <c r="C15" s="65" cm="1">
        <f t="array" ref="C15">F15/E15</f>
        <v>0.307692307692308</v>
      </c>
      <c r="D15" s="10">
        <v>41</v>
      </c>
      <c r="E15" s="10">
        <v>26</v>
      </c>
      <c r="F15" s="10">
        <v>8</v>
      </c>
      <c r="G15" s="10">
        <v>7</v>
      </c>
      <c r="H15" s="10">
        <v>1</v>
      </c>
      <c r="I15" s="10">
        <v>0</v>
      </c>
      <c r="J15" s="10">
        <v>0</v>
      </c>
      <c r="K15" s="10">
        <v>16</v>
      </c>
      <c r="L15" s="10">
        <v>5</v>
      </c>
      <c r="M15" s="10">
        <v>11</v>
      </c>
      <c r="N15" s="10">
        <v>8</v>
      </c>
      <c r="O15" s="10">
        <v>2</v>
      </c>
      <c r="P15" s="113" cm="1">
        <f t="array" ref="P15">O15/D15</f>
        <v>0.048780487804878</v>
      </c>
      <c r="Q15" s="13" cm="1">
        <f t="array" ref="Q15">(G15*1+H15*2+I15*3+J15*4)/E15</f>
        <v>0.346153846153846</v>
      </c>
      <c r="R15" s="14" cm="1">
        <f t="array" ref="R15">(F15+N15)/D15</f>
        <v>0.390243902439024</v>
      </c>
      <c r="S15" s="15" cm="1">
        <f t="array" ref="S15">R15+Q15</f>
        <v>0.73639774859287</v>
      </c>
      <c r="T15" s="22" cm="1">
        <f t="array" ref="T15">O15/(D15-(F15+N15))</f>
        <v>0.08</v>
      </c>
      <c r="U15" s="17" cm="1">
        <f t="array" ref="U15">RANK(R15,$R$4:$R$24)</f>
        <v>16</v>
      </c>
      <c r="V15" s="18" cm="1">
        <f t="array" ref="V15">RANK(S15,$S$4:$S$24)</f>
        <v>13</v>
      </c>
    </row>
    <row r="16" ht="17.25" customHeight="1">
      <c r="A16" t="s" s="8">
        <v>31</v>
      </c>
      <c r="B16" s="10">
        <v>34</v>
      </c>
      <c r="C16" s="65" cm="1">
        <f t="array" ref="C16">F16/E16</f>
        <v>0.278688524590164</v>
      </c>
      <c r="D16" s="10">
        <v>69</v>
      </c>
      <c r="E16" s="10">
        <v>61</v>
      </c>
      <c r="F16" s="10">
        <v>17</v>
      </c>
      <c r="G16" s="10">
        <v>15</v>
      </c>
      <c r="H16" s="10">
        <v>2</v>
      </c>
      <c r="I16" s="10">
        <v>0</v>
      </c>
      <c r="J16" s="10">
        <v>0</v>
      </c>
      <c r="K16" s="10">
        <v>20</v>
      </c>
      <c r="L16" s="10">
        <v>15</v>
      </c>
      <c r="M16" s="10">
        <v>15</v>
      </c>
      <c r="N16" s="10">
        <v>8</v>
      </c>
      <c r="O16" s="10">
        <v>14</v>
      </c>
      <c r="P16" s="113" cm="1">
        <f t="array" ref="P16">O16/D16</f>
        <v>0.202898550724638</v>
      </c>
      <c r="Q16" s="13" cm="1">
        <f t="array" ref="Q16">(G16*1+H16*2+I16*3+J16*4)/E16</f>
        <v>0.311475409836066</v>
      </c>
      <c r="R16" s="14" cm="1">
        <f t="array" ref="R16">(F16+N16)/D16</f>
        <v>0.36231884057971</v>
      </c>
      <c r="S16" s="15" cm="1">
        <f t="array" ref="S16">R16+Q16</f>
        <v>0.673794250415776</v>
      </c>
      <c r="T16" s="20" cm="1">
        <f t="array" ref="T16">O16/(D16-(F16+N16))</f>
        <v>0.318181818181818</v>
      </c>
      <c r="U16" s="17" cm="1">
        <f t="array" ref="U16">RANK(R16,$R$4:$R$24)</f>
        <v>19</v>
      </c>
      <c r="V16" s="18" cm="1">
        <f t="array" ref="V16">RANK(S16,$S$4:$S$24)</f>
        <v>14</v>
      </c>
    </row>
    <row r="17" ht="17.25" customHeight="1">
      <c r="A17" t="s" s="8">
        <v>29</v>
      </c>
      <c r="B17" s="10">
        <v>22</v>
      </c>
      <c r="C17" s="65" cm="1">
        <f t="array" ref="C17">F17/E17</f>
        <v>0.234042553191489</v>
      </c>
      <c r="D17" s="10">
        <v>48</v>
      </c>
      <c r="E17" s="10">
        <v>47</v>
      </c>
      <c r="F17" s="10">
        <v>11</v>
      </c>
      <c r="G17" s="10">
        <v>10</v>
      </c>
      <c r="H17" s="10">
        <v>1</v>
      </c>
      <c r="I17" s="10">
        <v>0</v>
      </c>
      <c r="J17" s="10">
        <v>0</v>
      </c>
      <c r="K17" s="10">
        <v>10</v>
      </c>
      <c r="L17" s="10">
        <v>6</v>
      </c>
      <c r="M17" s="10">
        <v>8</v>
      </c>
      <c r="N17" s="10">
        <v>6</v>
      </c>
      <c r="O17" s="10">
        <v>16</v>
      </c>
      <c r="P17" s="115" cm="1">
        <f t="array" ref="P17">O17/D17</f>
        <v>0.333333333333333</v>
      </c>
      <c r="Q17" s="13" cm="1">
        <f t="array" ref="Q17">(G17*1+H17*2+I17*3+J17*4)/E17</f>
        <v>0.25531914893617</v>
      </c>
      <c r="R17" s="14" cm="1">
        <f t="array" ref="R17">(F17+N17)/D17</f>
        <v>0.354166666666667</v>
      </c>
      <c r="S17" s="15" cm="1">
        <f t="array" ref="S17">R17+Q17</f>
        <v>0.609485815602837</v>
      </c>
      <c r="T17" s="20" cm="1">
        <f t="array" ref="T17">O17/(D17-(F17+N17))</f>
        <v>0.5161290322580649</v>
      </c>
      <c r="U17" s="17" cm="1">
        <f t="array" ref="U17">RANK(R17,$R$4:$R$24)</f>
        <v>20</v>
      </c>
      <c r="V17" s="18" cm="1">
        <f t="array" ref="V17">RANK(S17,$S$4:$S$24)</f>
        <v>19</v>
      </c>
    </row>
    <row r="18" ht="17.25" customHeight="1">
      <c r="A18" t="s" s="8">
        <v>25</v>
      </c>
      <c r="B18" s="10">
        <v>29</v>
      </c>
      <c r="C18" s="65" cm="1">
        <f t="array" ref="C18">F18/E18</f>
        <v>0.193548387096774</v>
      </c>
      <c r="D18" s="10">
        <v>55</v>
      </c>
      <c r="E18" s="10">
        <v>31</v>
      </c>
      <c r="F18" s="10">
        <v>6</v>
      </c>
      <c r="G18" s="10">
        <v>4</v>
      </c>
      <c r="H18" s="10">
        <v>2</v>
      </c>
      <c r="I18" s="10">
        <v>0</v>
      </c>
      <c r="J18" s="10">
        <v>0</v>
      </c>
      <c r="K18" s="10">
        <v>12</v>
      </c>
      <c r="L18" s="10">
        <v>8</v>
      </c>
      <c r="M18" s="10">
        <v>6</v>
      </c>
      <c r="N18" s="10">
        <v>23</v>
      </c>
      <c r="O18" s="10">
        <v>17</v>
      </c>
      <c r="P18" s="113" cm="1">
        <f t="array" ref="P18">O18/D18</f>
        <v>0.309090909090909</v>
      </c>
      <c r="Q18" s="13" cm="1">
        <f t="array" ref="Q18">(G18*1+H18*2+I18*3+J18*4)/E18</f>
        <v>0.258064516129032</v>
      </c>
      <c r="R18" s="14" cm="1">
        <f t="array" ref="R18">(F18+N18)/D18</f>
        <v>0.527272727272727</v>
      </c>
      <c r="S18" s="15" cm="1">
        <f t="array" ref="S18">R18+Q18</f>
        <v>0.785337243401759</v>
      </c>
      <c r="T18" s="20" cm="1">
        <f t="array" ref="T18">O18/(D18-(F18+N18))</f>
        <v>0.653846153846154</v>
      </c>
      <c r="U18" s="17" cm="1">
        <f t="array" ref="U18">RANK(R18,$R$4:$R$24)</f>
        <v>5</v>
      </c>
      <c r="V18" s="18" cm="1">
        <f t="array" ref="V18">RANK(S18,$S$4:$S$24)</f>
        <v>12</v>
      </c>
    </row>
    <row r="19" ht="17.25" customHeight="1">
      <c r="A19" t="s" s="8">
        <v>40</v>
      </c>
      <c r="B19" s="10">
        <v>33</v>
      </c>
      <c r="C19" s="65" cm="1">
        <f t="array" ref="C19">F19/E19</f>
        <v>0.181818181818182</v>
      </c>
      <c r="D19" s="10">
        <v>64</v>
      </c>
      <c r="E19" s="10">
        <v>44</v>
      </c>
      <c r="F19" s="10">
        <v>8</v>
      </c>
      <c r="G19" s="10">
        <v>6</v>
      </c>
      <c r="H19" s="10">
        <v>2</v>
      </c>
      <c r="I19" s="10">
        <v>0</v>
      </c>
      <c r="J19" s="10">
        <v>0</v>
      </c>
      <c r="K19" s="10">
        <v>16</v>
      </c>
      <c r="L19" s="10">
        <v>16</v>
      </c>
      <c r="M19" s="10">
        <v>17</v>
      </c>
      <c r="N19" s="10">
        <v>20</v>
      </c>
      <c r="O19" s="10">
        <v>18</v>
      </c>
      <c r="P19" s="113" cm="1">
        <f t="array" ref="P19">O19/D19</f>
        <v>0.28125</v>
      </c>
      <c r="Q19" s="13" cm="1">
        <f t="array" ref="Q19">(G19*1+H19*2+I19*3+J19*4)/E19</f>
        <v>0.227272727272727</v>
      </c>
      <c r="R19" s="14" cm="1">
        <f t="array" ref="R19">(F19+N19)/D19</f>
        <v>0.4375</v>
      </c>
      <c r="S19" s="15" cm="1">
        <f t="array" ref="S19">R19+Q19</f>
        <v>0.664772727272727</v>
      </c>
      <c r="T19" s="20" cm="1">
        <f t="array" ref="T19">O19/(D19-(F19+N19))</f>
        <v>0.5</v>
      </c>
      <c r="U19" s="17" cm="1">
        <f t="array" ref="U19">RANK(R19,$R$4:$R$24)</f>
        <v>12</v>
      </c>
      <c r="V19" s="18" cm="1">
        <f t="array" ref="V19">RANK(S19,$S$4:$S$24)</f>
        <v>16</v>
      </c>
    </row>
    <row r="20" ht="17.25" customHeight="1">
      <c r="A20" t="s" s="8">
        <v>24</v>
      </c>
      <c r="B20" s="10">
        <v>20</v>
      </c>
      <c r="C20" s="65" cm="1">
        <f t="array" ref="C20">F20/E20</f>
        <v>0.142857142857143</v>
      </c>
      <c r="D20" s="10">
        <v>25</v>
      </c>
      <c r="E20" s="10">
        <v>21</v>
      </c>
      <c r="F20" s="10">
        <v>3</v>
      </c>
      <c r="G20" s="10">
        <v>2</v>
      </c>
      <c r="H20" s="10">
        <v>0</v>
      </c>
      <c r="I20" s="10">
        <v>1</v>
      </c>
      <c r="J20" s="10">
        <v>0</v>
      </c>
      <c r="K20" s="10">
        <v>8</v>
      </c>
      <c r="L20" s="10">
        <v>4</v>
      </c>
      <c r="M20" s="10">
        <v>10</v>
      </c>
      <c r="N20" s="10">
        <v>4</v>
      </c>
      <c r="O20" s="10">
        <v>11</v>
      </c>
      <c r="P20" s="115" cm="1">
        <f t="array" ref="P20">O20/D20</f>
        <v>0.44</v>
      </c>
      <c r="Q20" s="13" cm="1">
        <f t="array" ref="Q20">(G20*1+H20*2+I20*3+J20*4)/E20</f>
        <v>0.238095238095238</v>
      </c>
      <c r="R20" s="14" cm="1">
        <f t="array" ref="R20">(F20+N20)/D20</f>
        <v>0.28</v>
      </c>
      <c r="S20" s="15" cm="1">
        <f t="array" ref="S20">R20+Q20</f>
        <v>0.5180952380952381</v>
      </c>
      <c r="T20" s="16" cm="1">
        <f t="array" ref="T20">O20/(D20-(F20+N20))</f>
        <v>0.611111111111111</v>
      </c>
      <c r="U20" s="17" cm="1">
        <f t="array" ref="U20">RANK(R20,$R$4:$R$24)</f>
        <v>21</v>
      </c>
      <c r="V20" s="18" cm="1">
        <f t="array" ref="V20">RANK(S20,$S$4:$S$24)</f>
        <v>20</v>
      </c>
    </row>
    <row r="21" ht="17.25" customHeight="1">
      <c r="A21" t="s" s="8">
        <v>34</v>
      </c>
      <c r="B21" s="10">
        <v>14</v>
      </c>
      <c r="C21" s="65" cm="1">
        <f t="array" ref="C21">F21/E21</f>
        <v>0.166666666666667</v>
      </c>
      <c r="D21" s="10">
        <v>33</v>
      </c>
      <c r="E21" s="10">
        <v>24</v>
      </c>
      <c r="F21" s="10">
        <v>4</v>
      </c>
      <c r="G21" s="10">
        <v>3</v>
      </c>
      <c r="H21" s="10">
        <v>0</v>
      </c>
      <c r="I21" s="10">
        <v>1</v>
      </c>
      <c r="J21" s="10">
        <v>0</v>
      </c>
      <c r="K21" s="10">
        <v>10</v>
      </c>
      <c r="L21" s="10">
        <v>2</v>
      </c>
      <c r="M21" s="10">
        <v>5</v>
      </c>
      <c r="N21" s="10">
        <v>9</v>
      </c>
      <c r="O21" s="10">
        <v>11</v>
      </c>
      <c r="P21" s="113" cm="1">
        <f t="array" ref="P21">O21/D21</f>
        <v>0.333333333333333</v>
      </c>
      <c r="Q21" s="13" cm="1">
        <f t="array" ref="Q21">(G21*1+H21*2+I21*3+J21*4)/E21</f>
        <v>0.25</v>
      </c>
      <c r="R21" s="14" cm="1">
        <f t="array" ref="R21">(F21+N21)/D21</f>
        <v>0.393939393939394</v>
      </c>
      <c r="S21" s="15" cm="1">
        <f t="array" ref="S21">R21+Q21</f>
        <v>0.643939393939394</v>
      </c>
      <c r="T21" s="25" cm="1">
        <f t="array" ref="T21">O21/(D21-(F21+N21))</f>
        <v>0.55</v>
      </c>
      <c r="U21" s="17" cm="1">
        <f t="array" ref="U21">RANK(R21,$R$4:$R$24)</f>
        <v>15</v>
      </c>
      <c r="V21" s="18" cm="1">
        <f t="array" ref="V21">RANK(S21,$S$4:$S$24)</f>
        <v>17</v>
      </c>
    </row>
    <row r="22" ht="17.25" customHeight="1">
      <c r="A22" t="s" s="8">
        <v>35</v>
      </c>
      <c r="B22" s="10">
        <v>35</v>
      </c>
      <c r="C22" s="65" cm="1">
        <f t="array" ref="C22">F22/E22</f>
        <v>0.216666666666667</v>
      </c>
      <c r="D22" s="10">
        <v>86</v>
      </c>
      <c r="E22" s="10">
        <v>60</v>
      </c>
      <c r="F22" s="10">
        <v>13</v>
      </c>
      <c r="G22" s="10">
        <v>10</v>
      </c>
      <c r="H22" s="10">
        <v>3</v>
      </c>
      <c r="I22" s="10">
        <v>0</v>
      </c>
      <c r="J22" s="10">
        <v>0</v>
      </c>
      <c r="K22" s="10">
        <v>18</v>
      </c>
      <c r="L22" s="10">
        <v>17</v>
      </c>
      <c r="M22" s="10">
        <v>14</v>
      </c>
      <c r="N22" s="10">
        <v>22</v>
      </c>
      <c r="O22" s="10">
        <v>32</v>
      </c>
      <c r="P22" s="113" cm="1">
        <f t="array" ref="P22">O22/D22</f>
        <v>0.372093023255814</v>
      </c>
      <c r="Q22" s="13" cm="1">
        <f t="array" ref="Q22">(G22*1+H22*2+I22*3+J22*4)/E22</f>
        <v>0.266666666666667</v>
      </c>
      <c r="R22" s="14" cm="1">
        <f t="array" ref="R22">(F22+N22)/D22</f>
        <v>0.406976744186047</v>
      </c>
      <c r="S22" s="15" cm="1">
        <f t="array" ref="S22">R22+Q22</f>
        <v>0.673643410852714</v>
      </c>
      <c r="T22" s="26" cm="1">
        <f t="array" ref="T22">O22/(D22-(F22+N22))</f>
        <v>0.627450980392157</v>
      </c>
      <c r="U22" s="17" cm="1">
        <f t="array" ref="U22">RANK(R22,$R$4:$R$24)</f>
        <v>14</v>
      </c>
      <c r="V22" s="18" cm="1">
        <f t="array" ref="V22">RANK(S22,$S$4:$S$24)</f>
        <v>15</v>
      </c>
    </row>
    <row r="23" ht="17.25" customHeight="1">
      <c r="A23" t="s" s="8">
        <v>44</v>
      </c>
      <c r="B23" s="10">
        <v>20</v>
      </c>
      <c r="C23" s="65" cm="1">
        <f t="array" ref="C23">F23/E23</f>
        <v>0.242424242424242</v>
      </c>
      <c r="D23" s="10">
        <v>52</v>
      </c>
      <c r="E23" s="10">
        <v>33</v>
      </c>
      <c r="F23" s="10">
        <v>8</v>
      </c>
      <c r="G23" s="10">
        <v>8</v>
      </c>
      <c r="H23" s="10">
        <v>0</v>
      </c>
      <c r="I23" s="10">
        <v>0</v>
      </c>
      <c r="J23" s="10">
        <v>0</v>
      </c>
      <c r="K23" s="10">
        <v>16</v>
      </c>
      <c r="L23" s="10">
        <v>5</v>
      </c>
      <c r="M23" s="10">
        <v>4</v>
      </c>
      <c r="N23" s="10">
        <v>12</v>
      </c>
      <c r="O23" s="10">
        <v>9</v>
      </c>
      <c r="P23" s="113" cm="1">
        <f t="array" ref="P23">O23/D23</f>
        <v>0.173076923076923</v>
      </c>
      <c r="Q23" s="13" cm="1">
        <f t="array" ref="Q23">(G23*1+H23*2+I23*3+J23*4)/E23</f>
        <v>0.242424242424242</v>
      </c>
      <c r="R23" s="14" cm="1">
        <f t="array" ref="R23">(F23+N23)/D23</f>
        <v>0.384615384615385</v>
      </c>
      <c r="S23" s="15" cm="1">
        <f t="array" ref="S23">R23+Q23</f>
        <v>0.627039627039627</v>
      </c>
      <c r="T23" s="116" cm="1">
        <f t="array" ref="T23">O23/(D23-(F23+N23))</f>
        <v>0.28125</v>
      </c>
      <c r="U23" s="17" cm="1">
        <f t="array" ref="U23">RANK(R23,$R$4:$R$24)</f>
        <v>17</v>
      </c>
      <c r="V23" s="18" cm="1">
        <f t="array" ref="V23">RANK(S23,$S$4:$S$24)</f>
        <v>18</v>
      </c>
    </row>
    <row r="24" ht="17.25" customHeight="1">
      <c r="A24" t="s" s="8">
        <v>27</v>
      </c>
      <c r="B24" s="10">
        <v>4</v>
      </c>
      <c r="C24" s="65" cm="1">
        <f t="array" ref="C24">F24/E24</f>
        <v>0</v>
      </c>
      <c r="D24" s="10">
        <v>11</v>
      </c>
      <c r="E24" s="10">
        <v>7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4</v>
      </c>
      <c r="L24" s="10">
        <v>6</v>
      </c>
      <c r="M24" s="10">
        <v>1</v>
      </c>
      <c r="N24" s="10">
        <v>4</v>
      </c>
      <c r="O24" s="10">
        <v>2</v>
      </c>
      <c r="P24" s="113" cm="1">
        <f t="array" ref="P24">O24/D24</f>
        <v>0.181818181818182</v>
      </c>
      <c r="Q24" s="13" cm="1">
        <f t="array" ref="Q24">(G24*1+H24*2+I24*3+J24*4)/E24</f>
        <v>0</v>
      </c>
      <c r="R24" s="14" cm="1">
        <f t="array" ref="R24">(F24+N24)/D24</f>
        <v>0.363636363636364</v>
      </c>
      <c r="S24" s="15" cm="1">
        <f t="array" ref="S24">R24+Q24</f>
        <v>0.363636363636364</v>
      </c>
      <c r="T24" s="28" cm="1">
        <f t="array" ref="T24">O24/(D24-(F24+N24))</f>
        <v>0.285714285714286</v>
      </c>
      <c r="U24" s="17" cm="1">
        <f t="array" ref="U24">RANK(R24,$R$4:$R$24)</f>
        <v>18</v>
      </c>
      <c r="V24" s="18" cm="1">
        <f t="array" ref="V24">RANK(S24,$S$4:$S$24)</f>
        <v>21</v>
      </c>
    </row>
    <row r="25" ht="17.25" customHeight="1">
      <c r="A25" t="s" s="29">
        <v>45</v>
      </c>
      <c r="B25" s="30"/>
      <c r="C25" s="31" cm="1">
        <f t="array" ref="C25">F25/E25</f>
        <v>0.383184523809524</v>
      </c>
      <c r="D25" s="32" cm="1">
        <f t="array" ref="D25">SUM(D4:D24)</f>
        <v>1688</v>
      </c>
      <c r="E25" s="32" cm="1">
        <f t="array" ref="E25">SUM(E4:E24)</f>
        <v>1344</v>
      </c>
      <c r="F25" s="32" cm="1">
        <f t="array" ref="F25">SUM(F4:F24)</f>
        <v>515</v>
      </c>
      <c r="G25" s="32" cm="1">
        <f t="array" ref="G25">SUM(G4:G24)</f>
        <v>377</v>
      </c>
      <c r="H25" s="32" cm="1">
        <f t="array" ref="H25">SUM(H4:H24)</f>
        <v>104</v>
      </c>
      <c r="I25" s="32" cm="1">
        <f t="array" ref="I25">SUM(I4:I24)</f>
        <v>26</v>
      </c>
      <c r="J25" s="32" cm="1">
        <f t="array" ref="J25">SUM(J4:J24)</f>
        <v>8</v>
      </c>
      <c r="K25" s="32" cm="1">
        <f t="array" ref="K25">SUM(K4:K24)</f>
        <v>515</v>
      </c>
      <c r="L25" s="32" cm="1">
        <f t="array" ref="L25">SUM(L4:L24)</f>
        <v>431</v>
      </c>
      <c r="M25" s="32" cm="1">
        <f t="array" ref="M25">SUM(M4:M24)</f>
        <v>357</v>
      </c>
      <c r="N25" s="32" cm="1">
        <f t="array" ref="N25">SUM(N4:N24)</f>
        <v>312</v>
      </c>
      <c r="O25" s="32" cm="1">
        <f t="array" ref="O25">SUM(O4:O24)</f>
        <v>282</v>
      </c>
      <c r="P25" s="33" cm="1">
        <f t="array" ref="P25">O25/D25</f>
        <v>0.167061611374408</v>
      </c>
      <c r="Q25" s="31" cm="1">
        <f t="array" ref="Q25">(G25*1+H25*2+I25*3+J25*4)/E25</f>
        <v>0.517113095238095</v>
      </c>
      <c r="R25" s="31" cm="1">
        <f t="array" ref="R25">(F25+N25)/D25</f>
        <v>0.489928909952607</v>
      </c>
      <c r="S25" s="31" cm="1">
        <f t="array" ref="S25">R25+Q25</f>
        <v>1.0070420051907</v>
      </c>
      <c r="T25" s="31"/>
      <c r="U25" s="31"/>
      <c r="V25" s="31"/>
    </row>
    <row r="26" ht="16.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4"/>
      <c r="V26" s="34"/>
    </row>
    <row r="27" ht="17.25" customHeight="1">
      <c r="A27" t="s" s="5">
        <v>46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7"/>
      <c r="U27" s="36"/>
      <c r="V27" s="36"/>
    </row>
    <row r="28" ht="34.5" customHeight="1">
      <c r="A28" t="s" s="8">
        <v>2</v>
      </c>
      <c r="B28" t="s" s="8">
        <v>3</v>
      </c>
      <c r="C28" t="s" s="8">
        <v>47</v>
      </c>
      <c r="D28" t="s" s="8">
        <v>48</v>
      </c>
      <c r="E28" t="s" s="8">
        <v>49</v>
      </c>
      <c r="F28" t="s" s="8">
        <v>50</v>
      </c>
      <c r="G28" t="s" s="8">
        <v>6</v>
      </c>
      <c r="H28" t="s" s="8">
        <v>51</v>
      </c>
      <c r="I28" t="s" s="8">
        <v>52</v>
      </c>
      <c r="J28" t="s" s="8">
        <v>53</v>
      </c>
      <c r="K28" t="s" s="8">
        <v>54</v>
      </c>
      <c r="L28" t="s" s="8">
        <v>55</v>
      </c>
      <c r="M28" t="s" s="8">
        <v>56</v>
      </c>
      <c r="N28" t="s" s="8">
        <v>57</v>
      </c>
      <c r="O28" t="s" s="8">
        <v>58</v>
      </c>
      <c r="P28" t="s" s="8">
        <v>59</v>
      </c>
      <c r="Q28" t="s" s="8">
        <v>60</v>
      </c>
      <c r="R28" t="s" s="8">
        <v>61</v>
      </c>
      <c r="S28" t="s" s="8">
        <v>62</v>
      </c>
      <c r="T28" t="s" s="8">
        <v>63</v>
      </c>
      <c r="U28" t="s" s="8">
        <v>64</v>
      </c>
      <c r="V28" t="s" s="8">
        <v>65</v>
      </c>
    </row>
    <row r="29" ht="17.25" customHeight="1">
      <c r="A29" t="s" s="38">
        <v>24</v>
      </c>
      <c r="B29" s="10">
        <v>15</v>
      </c>
      <c r="C29" s="10">
        <v>1</v>
      </c>
      <c r="D29" s="10">
        <v>2</v>
      </c>
      <c r="E29" s="10">
        <v>0</v>
      </c>
      <c r="F29" s="10">
        <v>105</v>
      </c>
      <c r="G29" s="10">
        <v>52</v>
      </c>
      <c r="H29" s="39">
        <v>8.999659999329999</v>
      </c>
      <c r="I29" s="10">
        <v>19</v>
      </c>
      <c r="J29" s="10">
        <v>0</v>
      </c>
      <c r="K29" s="10">
        <v>48</v>
      </c>
      <c r="L29" s="10">
        <v>4</v>
      </c>
      <c r="M29" s="10">
        <v>5</v>
      </c>
      <c r="N29" s="10">
        <v>56</v>
      </c>
      <c r="O29" s="10">
        <v>36</v>
      </c>
      <c r="P29" s="40" cm="1">
        <f t="array" ref="P29">O29*9/H29</f>
        <v>36.0013600540599</v>
      </c>
      <c r="Q29" s="41" cm="1">
        <f t="array" ref="Q29">(K29+L29)/H29</f>
        <v>5.777996058059</v>
      </c>
      <c r="R29" s="42" cm="1">
        <f t="array" ref="R29">I29/H29</f>
        <v>2.11119086736771</v>
      </c>
      <c r="S29" s="42" cm="1">
        <f t="array" ref="S29">H29/B29</f>
        <v>0.599977333288667</v>
      </c>
      <c r="T29" s="43" cm="1">
        <f t="array" ref="T29">M29/H29</f>
        <v>0.555576544044135</v>
      </c>
      <c r="U29" s="44" cm="1">
        <f t="array" ref="U29">O29/N29</f>
        <v>0.642857142857143</v>
      </c>
      <c r="V29" s="41" cm="1">
        <f t="array" ref="V29">(I29+K29+L29)/H29</f>
        <v>7.88918692542671</v>
      </c>
    </row>
    <row r="30" ht="17.25" customHeight="1">
      <c r="A30" t="s" s="38">
        <v>27</v>
      </c>
      <c r="B30" s="10">
        <v>1</v>
      </c>
      <c r="C30" s="10">
        <v>0</v>
      </c>
      <c r="D30" s="10">
        <v>0</v>
      </c>
      <c r="E30" s="10">
        <v>0</v>
      </c>
      <c r="F30" s="10">
        <v>1</v>
      </c>
      <c r="G30" s="10">
        <v>0</v>
      </c>
      <c r="H30" s="39">
        <v>0</v>
      </c>
      <c r="I30" s="10">
        <v>0</v>
      </c>
      <c r="J30" s="10">
        <v>0</v>
      </c>
      <c r="K30" s="10">
        <v>1</v>
      </c>
      <c r="L30" s="10">
        <v>0</v>
      </c>
      <c r="M30" s="10">
        <v>0</v>
      </c>
      <c r="N30" s="10">
        <v>0</v>
      </c>
      <c r="O30" s="10">
        <v>0</v>
      </c>
      <c r="P30" s="40">
        <v>0</v>
      </c>
      <c r="Q30" t="s" s="45">
        <v>66</v>
      </c>
      <c r="R30" t="s" s="45">
        <v>66</v>
      </c>
      <c r="S30" s="42" cm="1">
        <f t="array" ref="S30">H30/B30</f>
        <v>0</v>
      </c>
      <c r="T30" t="s" s="46">
        <v>66</v>
      </c>
      <c r="U30" t="s" s="45">
        <v>66</v>
      </c>
      <c r="V30" t="s" s="45">
        <v>66</v>
      </c>
    </row>
    <row r="31" ht="17.25" customHeight="1">
      <c r="A31" t="s" s="38">
        <v>29</v>
      </c>
      <c r="B31" s="10">
        <v>12</v>
      </c>
      <c r="C31" s="10">
        <v>2</v>
      </c>
      <c r="D31" s="10">
        <v>2</v>
      </c>
      <c r="E31" s="10">
        <v>0</v>
      </c>
      <c r="F31" s="10">
        <v>128</v>
      </c>
      <c r="G31" s="10">
        <v>96</v>
      </c>
      <c r="H31" s="39">
        <v>13.99996633</v>
      </c>
      <c r="I31" s="10">
        <v>37</v>
      </c>
      <c r="J31" s="10">
        <v>3</v>
      </c>
      <c r="K31" s="10">
        <v>27</v>
      </c>
      <c r="L31" s="10">
        <v>5</v>
      </c>
      <c r="M31" s="10">
        <v>13</v>
      </c>
      <c r="N31" s="10">
        <v>55</v>
      </c>
      <c r="O31" s="10">
        <v>33</v>
      </c>
      <c r="P31" s="40" cm="1">
        <f t="array" ref="P31">O31*9/H31</f>
        <v>21.2143367347656</v>
      </c>
      <c r="Q31" s="41" cm="1">
        <f t="array" ref="Q31">(K31+L31)/H31</f>
        <v>2.28571978287036</v>
      </c>
      <c r="R31" s="42" cm="1">
        <f t="array" ref="R31">I31/H31</f>
        <v>2.64286349894386</v>
      </c>
      <c r="S31" s="42" cm="1">
        <f t="array" ref="S31">H31/B31</f>
        <v>1.16666386083333</v>
      </c>
      <c r="T31" s="43" cm="1">
        <f t="array" ref="T31">M31/H31</f>
        <v>0.928573661791085</v>
      </c>
      <c r="U31" s="44" cm="1">
        <f t="array" ref="U31">O31/N31</f>
        <v>0.6</v>
      </c>
      <c r="V31" s="41" cm="1">
        <f t="array" ref="V31">(I31+K31+L31)/H31</f>
        <v>4.92858328181422</v>
      </c>
    </row>
    <row r="32" ht="17.25" customHeight="1">
      <c r="A32" t="s" s="38">
        <v>33</v>
      </c>
      <c r="B32" s="10">
        <v>35</v>
      </c>
      <c r="C32" s="10">
        <v>11</v>
      </c>
      <c r="D32" s="10">
        <v>7</v>
      </c>
      <c r="E32" s="10">
        <v>2</v>
      </c>
      <c r="F32" s="10">
        <v>475</v>
      </c>
      <c r="G32" s="10">
        <v>403</v>
      </c>
      <c r="H32" s="39">
        <v>88.333266633330</v>
      </c>
      <c r="I32" s="10">
        <v>110</v>
      </c>
      <c r="J32" s="10">
        <v>1</v>
      </c>
      <c r="K32" s="10">
        <v>65</v>
      </c>
      <c r="L32" s="10">
        <v>14</v>
      </c>
      <c r="M32" s="10">
        <v>121</v>
      </c>
      <c r="N32" s="10">
        <v>115</v>
      </c>
      <c r="O32" s="10">
        <v>69</v>
      </c>
      <c r="P32" s="40" cm="1">
        <f t="array" ref="P32">O32*9/H32</f>
        <v>7.03019398770523</v>
      </c>
      <c r="Q32" s="41" cm="1">
        <f t="array" ref="Q32">(K32+L32)/H32</f>
        <v>0.89434029795284</v>
      </c>
      <c r="R32" s="42" cm="1">
        <f t="array" ref="R32">I32/H32</f>
        <v>1.24528395917484</v>
      </c>
      <c r="S32" s="42" cm="1">
        <f t="array" ref="S32">H32/B32</f>
        <v>2.52380761809514</v>
      </c>
      <c r="T32" s="43" cm="1">
        <f t="array" ref="T32">M32/H32</f>
        <v>1.36981235509232</v>
      </c>
      <c r="U32" s="44" cm="1">
        <f t="array" ref="U32">O32/N32</f>
        <v>0.6</v>
      </c>
      <c r="V32" s="41" cm="1">
        <f t="array" ref="V32">(I32+K32+L32)/H32</f>
        <v>2.13962425712768</v>
      </c>
    </row>
    <row r="33" ht="17.25" customHeight="1">
      <c r="A33" t="s" s="38">
        <v>36</v>
      </c>
      <c r="B33" s="10">
        <v>19</v>
      </c>
      <c r="C33" s="10">
        <v>2</v>
      </c>
      <c r="D33" s="10">
        <v>5</v>
      </c>
      <c r="E33" s="10">
        <v>0</v>
      </c>
      <c r="F33" s="10">
        <v>207</v>
      </c>
      <c r="G33" s="10">
        <v>143</v>
      </c>
      <c r="H33" s="39">
        <v>25.9999266666</v>
      </c>
      <c r="I33" s="10">
        <v>58</v>
      </c>
      <c r="J33" s="10">
        <v>2</v>
      </c>
      <c r="K33" s="10">
        <v>61</v>
      </c>
      <c r="L33" s="10">
        <v>4</v>
      </c>
      <c r="M33" s="10">
        <v>27</v>
      </c>
      <c r="N33" s="10">
        <v>87</v>
      </c>
      <c r="O33" s="10">
        <v>68</v>
      </c>
      <c r="P33" s="40" cm="1">
        <f t="array" ref="P33">O33*9/H33</f>
        <v>23.5385279292417</v>
      </c>
      <c r="Q33" s="41" cm="1">
        <f t="array" ref="Q33">(K33+L33)/H33</f>
        <v>2.50000705130835</v>
      </c>
      <c r="R33" s="42" cm="1">
        <f t="array" ref="R33">I33/H33</f>
        <v>2.23077552270591</v>
      </c>
      <c r="S33" s="42" cm="1">
        <f t="array" ref="S33">H33/B33</f>
        <v>1.36841719297895</v>
      </c>
      <c r="T33" s="43" cm="1">
        <f t="array" ref="T33">M33/H33</f>
        <v>1.03846446746655</v>
      </c>
      <c r="U33" s="44" cm="1">
        <f t="array" ref="U33">O33/N33</f>
        <v>0.781609195402299</v>
      </c>
      <c r="V33" s="41" cm="1">
        <f t="array" ref="V33">(I33+K33+L33)/H33</f>
        <v>4.73078257401426</v>
      </c>
    </row>
    <row r="34" ht="17.25" customHeight="1">
      <c r="A34" t="s" s="38">
        <v>37</v>
      </c>
      <c r="B34" s="10">
        <v>11</v>
      </c>
      <c r="C34" s="10">
        <v>2</v>
      </c>
      <c r="D34" s="10">
        <v>3</v>
      </c>
      <c r="E34" s="10">
        <v>0</v>
      </c>
      <c r="F34" s="10">
        <v>173</v>
      </c>
      <c r="G34" s="10">
        <v>127</v>
      </c>
      <c r="H34" s="39">
        <v>23.3332993</v>
      </c>
      <c r="I34" s="10">
        <v>66</v>
      </c>
      <c r="J34" s="10">
        <v>1</v>
      </c>
      <c r="K34" s="10">
        <v>33</v>
      </c>
      <c r="L34" s="10">
        <v>9</v>
      </c>
      <c r="M34" s="10">
        <v>27</v>
      </c>
      <c r="N34" s="10">
        <v>74</v>
      </c>
      <c r="O34" s="10">
        <v>62</v>
      </c>
      <c r="P34" s="40">
        <v>0</v>
      </c>
      <c r="Q34" s="41" cm="1">
        <f t="array" ref="Q34">(K34+L34)/H34</f>
        <v>1.8000026254324</v>
      </c>
      <c r="R34" s="42" cm="1">
        <f t="array" ref="R34">I34/H34</f>
        <v>2.82857555425092</v>
      </c>
      <c r="S34" s="42" cm="1">
        <f t="array" ref="S34">H34/B34</f>
        <v>2.12120902727273</v>
      </c>
      <c r="T34" s="47" cm="1">
        <f t="array" ref="T34">M34/H34</f>
        <v>1.15714454492083</v>
      </c>
      <c r="U34" t="s" s="45">
        <v>66</v>
      </c>
      <c r="V34" s="48" cm="1">
        <f t="array" ref="V34">(I34+K34+L34)/H34</f>
        <v>4.62857817968332</v>
      </c>
    </row>
    <row r="35" ht="17.25" customHeight="1">
      <c r="A35" t="s" s="38">
        <v>42</v>
      </c>
      <c r="B35" s="10">
        <v>8</v>
      </c>
      <c r="C35" s="10">
        <v>2</v>
      </c>
      <c r="D35" s="10">
        <v>2</v>
      </c>
      <c r="E35" s="10">
        <v>1</v>
      </c>
      <c r="F35" s="10">
        <v>102</v>
      </c>
      <c r="G35" s="10">
        <v>55</v>
      </c>
      <c r="H35" s="39">
        <v>13.666633329933</v>
      </c>
      <c r="I35" s="10">
        <v>16</v>
      </c>
      <c r="J35" s="10">
        <v>1</v>
      </c>
      <c r="K35" s="10">
        <v>45</v>
      </c>
      <c r="L35" s="10">
        <v>1</v>
      </c>
      <c r="M35" s="10">
        <v>13</v>
      </c>
      <c r="N35" s="10">
        <v>36</v>
      </c>
      <c r="O35" s="10">
        <v>21</v>
      </c>
      <c r="P35" s="40" cm="1">
        <f t="array" ref="P35">O35*9/H35</f>
        <v>13.8293020261287</v>
      </c>
      <c r="Q35" s="41" cm="1">
        <f t="array" ref="Q35">(K35+L35)/H35</f>
        <v>3.36586186879322</v>
      </c>
      <c r="R35" s="42" cm="1">
        <f t="array" ref="R35">I35/H35</f>
        <v>1.17073456305851</v>
      </c>
      <c r="S35" s="42" cm="1">
        <f t="array" ref="S35">H35/B35</f>
        <v>1.70832916624163</v>
      </c>
      <c r="T35" s="43" cm="1">
        <f t="array" ref="T35">M35/H35</f>
        <v>0.951221832485041</v>
      </c>
      <c r="U35" s="44" cm="1">
        <f t="array" ref="U35">O35/N35</f>
        <v>0.583333333333333</v>
      </c>
      <c r="V35" s="41" cm="1">
        <f t="array" ref="V35">(I35+K35+L35)/H35</f>
        <v>4.53659643185173</v>
      </c>
    </row>
    <row r="36" ht="17.25" customHeight="1">
      <c r="A36" t="s" s="38">
        <v>43</v>
      </c>
      <c r="B36" s="10">
        <v>38</v>
      </c>
      <c r="C36" s="10">
        <v>8</v>
      </c>
      <c r="D36" s="10">
        <v>11</v>
      </c>
      <c r="E36" s="10">
        <v>3</v>
      </c>
      <c r="F36" s="10">
        <v>550</v>
      </c>
      <c r="G36" s="10">
        <v>397</v>
      </c>
      <c r="H36" s="39">
        <v>81.666632983</v>
      </c>
      <c r="I36" s="10">
        <v>133</v>
      </c>
      <c r="J36" s="10">
        <v>1</v>
      </c>
      <c r="K36" s="10">
        <v>123</v>
      </c>
      <c r="L36" s="10">
        <v>25</v>
      </c>
      <c r="M36" s="10">
        <v>131</v>
      </c>
      <c r="N36" s="10">
        <v>183</v>
      </c>
      <c r="O36" s="10">
        <v>130</v>
      </c>
      <c r="P36" s="40" cm="1">
        <f t="array" ref="P36">O36*9/H36</f>
        <v>14.3265365212687</v>
      </c>
      <c r="Q36" s="41" cm="1">
        <f t="array" ref="Q36">(K36+L36)/H36</f>
        <v>1.81224564542545</v>
      </c>
      <c r="R36" s="42" cm="1">
        <f t="array" ref="R36">I36/H36</f>
        <v>1.62857210028098</v>
      </c>
      <c r="S36" s="42" cm="1">
        <f t="array" ref="S36">H36/B36</f>
        <v>2.14912192060526</v>
      </c>
      <c r="T36" s="43" cm="1">
        <f t="array" ref="T36">M36/H36</f>
        <v>1.60408229426171</v>
      </c>
      <c r="U36" s="44" cm="1">
        <f t="array" ref="U36">O36/N36</f>
        <v>0.710382513661202</v>
      </c>
      <c r="V36" s="41" cm="1">
        <f t="array" ref="V36">(I36+K36+L36)/H36</f>
        <v>3.44081774570642</v>
      </c>
    </row>
    <row r="37" ht="17.25" customHeight="1">
      <c r="A37" t="s" s="29">
        <v>45</v>
      </c>
      <c r="B37" s="49" cm="1">
        <f t="array" ref="B37">SUM(B29:B36)</f>
        <v>139</v>
      </c>
      <c r="C37" s="49" cm="1">
        <f t="array" ref="C37">SUM(C29:C36)</f>
        <v>28</v>
      </c>
      <c r="D37" s="49" cm="1">
        <f t="array" ref="D37">SUM(D29:D36)</f>
        <v>32</v>
      </c>
      <c r="E37" s="49" cm="1">
        <f t="array" ref="E37">SUM(E29:E36)</f>
        <v>6</v>
      </c>
      <c r="F37" s="49" cm="1">
        <f t="array" ref="F37">SUM(F29:F36)</f>
        <v>1741</v>
      </c>
      <c r="G37" s="49" cm="1">
        <f t="array" ref="G37">SUM(G29:G36)</f>
        <v>1273</v>
      </c>
      <c r="H37" s="50" cm="1">
        <f t="array" ref="H37">SUM(H29:H36)</f>
        <v>255.999385242193</v>
      </c>
      <c r="I37" s="49" cm="1">
        <f t="array" ref="I37">SUM(I29:I36)</f>
        <v>439</v>
      </c>
      <c r="J37" s="49" cm="1">
        <f t="array" ref="J37">SUM(J29:J36)</f>
        <v>9</v>
      </c>
      <c r="K37" s="49" cm="1">
        <f t="array" ref="K37">SUM(K29:K36)</f>
        <v>403</v>
      </c>
      <c r="L37" s="49" cm="1">
        <f t="array" ref="L37">SUM(L29:L36)</f>
        <v>62</v>
      </c>
      <c r="M37" s="49" cm="1">
        <f t="array" ref="M37">SUM(M29:M36)</f>
        <v>337</v>
      </c>
      <c r="N37" s="49" cm="1">
        <f t="array" ref="N37">SUM(N29:N36)</f>
        <v>606</v>
      </c>
      <c r="O37" s="49" cm="1">
        <f t="array" ref="O37">SUM(O29:O36)</f>
        <v>419</v>
      </c>
      <c r="P37" s="51" cm="1">
        <f t="array" ref="P37">O37*9/H37</f>
        <v>14.7305041237985</v>
      </c>
      <c r="Q37" s="52" cm="1">
        <f t="array" ref="Q37">(K37+L37)/H37</f>
        <v>1.81641061192424</v>
      </c>
      <c r="R37" s="53" cm="1">
        <f t="array" ref="R37">I37/H37</f>
        <v>1.7148478680317</v>
      </c>
      <c r="S37" s="53" cm="1">
        <f t="array" ref="S37">H37/B37</f>
        <v>1.841722195987</v>
      </c>
      <c r="T37" s="54" cm="1">
        <f t="array" ref="T37">M37/H37</f>
        <v>1.31640941122251</v>
      </c>
      <c r="U37" s="55" cm="1">
        <f t="array" ref="U37">O37/N37</f>
        <v>0.691419141914191</v>
      </c>
      <c r="V37" s="52" cm="1">
        <f t="array" ref="V37">(I37+K37+L37)/H37</f>
        <v>3.53125847995593</v>
      </c>
    </row>
  </sheetData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R35"/>
  <sheetViews>
    <sheetView workbookViewId="0" showGridLines="0" defaultGridColor="1"/>
  </sheetViews>
  <sheetFormatPr defaultColWidth="9" defaultRowHeight="16.5" customHeight="1" outlineLevelRow="0" outlineLevelCol="0"/>
  <cols>
    <col min="1" max="17" width="8.17188" style="117" customWidth="1"/>
    <col min="18" max="18" width="9" style="117" customWidth="1"/>
    <col min="19" max="16384" width="9" style="117" customWidth="1"/>
  </cols>
  <sheetData>
    <row r="1" ht="26.25" customHeight="1">
      <c r="A1" t="s" s="2">
        <v>98</v>
      </c>
      <c r="B1" s="118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ht="17.25" customHeight="1">
      <c r="A3" t="s" s="38">
        <v>2</v>
      </c>
      <c r="B3" t="s" s="8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18</v>
      </c>
      <c r="Q3" t="s" s="8">
        <v>19</v>
      </c>
      <c r="R3" t="s" s="8">
        <v>20</v>
      </c>
    </row>
    <row r="4" ht="17.25" customHeight="1">
      <c r="A4" t="s" s="38">
        <v>24</v>
      </c>
      <c r="B4" s="10">
        <v>2</v>
      </c>
      <c r="C4" s="119">
        <v>0</v>
      </c>
      <c r="D4" s="10">
        <v>1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3" cm="1">
        <f t="array" ref="P4">(G4*1+H4*2+I4*3+J4*4)/E4</f>
        <v>0</v>
      </c>
      <c r="Q4" s="13">
        <v>0</v>
      </c>
      <c r="R4" s="120" cm="1">
        <f t="array" ref="R4">Q4+P4</f>
        <v>0</v>
      </c>
    </row>
    <row r="5" ht="17.25" customHeight="1">
      <c r="A5" t="s" s="38">
        <v>25</v>
      </c>
      <c r="B5" s="10">
        <v>6</v>
      </c>
      <c r="C5" s="119">
        <v>0</v>
      </c>
      <c r="D5" s="10">
        <v>11</v>
      </c>
      <c r="E5" s="10">
        <v>3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2</v>
      </c>
      <c r="L5" s="10">
        <v>1</v>
      </c>
      <c r="M5" s="10">
        <v>2</v>
      </c>
      <c r="N5" s="10">
        <v>8</v>
      </c>
      <c r="O5" s="10">
        <v>3</v>
      </c>
      <c r="P5" s="13" cm="1">
        <f t="array" ref="P5">(G5*1+H5*2+I5*3+J5*4)/E5</f>
        <v>0</v>
      </c>
      <c r="Q5" s="13">
        <v>0.727</v>
      </c>
      <c r="R5" s="120" cm="1">
        <f t="array" ref="R5">Q5+P5</f>
        <v>0.727</v>
      </c>
    </row>
    <row r="6" ht="17.25" customHeight="1">
      <c r="A6" t="s" s="38">
        <v>26</v>
      </c>
      <c r="B6" s="10">
        <v>9</v>
      </c>
      <c r="C6" s="119">
        <v>0.75</v>
      </c>
      <c r="D6" s="10">
        <v>28</v>
      </c>
      <c r="E6" s="10">
        <v>20</v>
      </c>
      <c r="F6" s="10">
        <v>15</v>
      </c>
      <c r="G6" s="10">
        <v>10</v>
      </c>
      <c r="H6" s="10">
        <v>4</v>
      </c>
      <c r="I6" s="10">
        <v>1</v>
      </c>
      <c r="J6" s="10">
        <v>0</v>
      </c>
      <c r="K6" s="10">
        <v>14</v>
      </c>
      <c r="L6" s="10">
        <v>11</v>
      </c>
      <c r="M6" s="10">
        <v>11</v>
      </c>
      <c r="N6" s="10">
        <v>8</v>
      </c>
      <c r="O6" s="10">
        <v>1</v>
      </c>
      <c r="P6" s="13" cm="1">
        <f t="array" ref="P6">(G6*1+H6*2+I6*3+J6*4)/E6</f>
        <v>1.05</v>
      </c>
      <c r="Q6" s="13">
        <v>0.821</v>
      </c>
      <c r="R6" s="120" cm="1">
        <f t="array" ref="R6">Q6+P6</f>
        <v>1.871</v>
      </c>
    </row>
    <row r="7" ht="17.25" customHeight="1">
      <c r="A7" t="s" s="38">
        <v>27</v>
      </c>
      <c r="B7" s="10">
        <v>0</v>
      </c>
      <c r="C7" s="119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3">
        <v>0</v>
      </c>
      <c r="Q7" s="13">
        <v>0</v>
      </c>
      <c r="R7" s="120" cm="1">
        <f t="array" ref="R7">Q7+P7</f>
        <v>0</v>
      </c>
    </row>
    <row r="8" ht="17.25" customHeight="1">
      <c r="A8" t="s" s="38">
        <v>28</v>
      </c>
      <c r="B8" s="10">
        <v>9</v>
      </c>
      <c r="C8" s="119">
        <v>0.45</v>
      </c>
      <c r="D8" s="10">
        <v>22</v>
      </c>
      <c r="E8" s="10">
        <v>20</v>
      </c>
      <c r="F8" s="10">
        <v>9</v>
      </c>
      <c r="G8" s="10">
        <v>6</v>
      </c>
      <c r="H8" s="10">
        <v>3</v>
      </c>
      <c r="I8" s="10">
        <v>0</v>
      </c>
      <c r="J8" s="10">
        <v>0</v>
      </c>
      <c r="K8" s="10">
        <v>8</v>
      </c>
      <c r="L8" s="10">
        <v>9</v>
      </c>
      <c r="M8" s="10">
        <v>6</v>
      </c>
      <c r="N8" s="10">
        <v>2</v>
      </c>
      <c r="O8" s="10">
        <v>4</v>
      </c>
      <c r="P8" s="13" cm="1">
        <f t="array" ref="P8">(G8*1+H8*2+I8*3+J8*4)/E8</f>
        <v>0.6</v>
      </c>
      <c r="Q8" s="13">
        <v>0.5</v>
      </c>
      <c r="R8" s="120" cm="1">
        <f t="array" ref="R8">Q8+P8</f>
        <v>1.1</v>
      </c>
    </row>
    <row r="9" ht="17.25" customHeight="1">
      <c r="A9" t="s" s="38">
        <v>29</v>
      </c>
      <c r="B9" s="10">
        <v>5</v>
      </c>
      <c r="C9" s="119">
        <v>0.333</v>
      </c>
      <c r="D9" s="10">
        <v>13</v>
      </c>
      <c r="E9" s="10">
        <v>12</v>
      </c>
      <c r="F9" s="10">
        <v>4</v>
      </c>
      <c r="G9" s="10">
        <v>3</v>
      </c>
      <c r="H9" s="10">
        <v>1</v>
      </c>
      <c r="I9" s="10">
        <v>0</v>
      </c>
      <c r="J9" s="10">
        <v>0</v>
      </c>
      <c r="K9" s="10">
        <v>2</v>
      </c>
      <c r="L9" s="10">
        <v>1</v>
      </c>
      <c r="M9" s="10">
        <v>2</v>
      </c>
      <c r="N9" s="10">
        <v>1</v>
      </c>
      <c r="O9" s="10">
        <v>4</v>
      </c>
      <c r="P9" s="13" cm="1">
        <f t="array" ref="P9">(G9*1+H9*2+I9*3+J9*4)/E9</f>
        <v>0.416666666666667</v>
      </c>
      <c r="Q9" s="13">
        <v>0.385</v>
      </c>
      <c r="R9" s="120" cm="1">
        <f t="array" ref="R9">Q9+P9</f>
        <v>0.801666666666667</v>
      </c>
    </row>
    <row r="10" ht="17.25" customHeight="1">
      <c r="A10" t="s" s="38">
        <v>30</v>
      </c>
      <c r="B10" s="10">
        <v>9</v>
      </c>
      <c r="C10" s="119">
        <v>0.357</v>
      </c>
      <c r="D10" s="10">
        <v>31</v>
      </c>
      <c r="E10" s="10">
        <v>28</v>
      </c>
      <c r="F10" s="10">
        <v>10</v>
      </c>
      <c r="G10" s="10">
        <v>6</v>
      </c>
      <c r="H10" s="10">
        <v>3</v>
      </c>
      <c r="I10" s="10">
        <v>1</v>
      </c>
      <c r="J10" s="10">
        <v>0</v>
      </c>
      <c r="K10" s="10">
        <v>7</v>
      </c>
      <c r="L10" s="10">
        <v>8</v>
      </c>
      <c r="M10" s="10">
        <v>5</v>
      </c>
      <c r="N10" s="10">
        <v>3</v>
      </c>
      <c r="O10" s="10">
        <v>5</v>
      </c>
      <c r="P10" s="13" cm="1">
        <f t="array" ref="P10">(G10*1+H10*2+I10*3+J10*4)/E10</f>
        <v>0.535714285714286</v>
      </c>
      <c r="Q10" s="13">
        <v>0.419</v>
      </c>
      <c r="R10" s="120" cm="1">
        <f t="array" ref="R10">Q10+P10</f>
        <v>0.954714285714286</v>
      </c>
    </row>
    <row r="11" ht="17.25" customHeight="1">
      <c r="A11" t="s" s="38">
        <v>31</v>
      </c>
      <c r="B11" s="10">
        <v>5</v>
      </c>
      <c r="C11" s="119">
        <v>0.364</v>
      </c>
      <c r="D11" s="10">
        <v>13</v>
      </c>
      <c r="E11" s="10">
        <v>11</v>
      </c>
      <c r="F11" s="10">
        <v>4</v>
      </c>
      <c r="G11" s="10">
        <v>4</v>
      </c>
      <c r="H11" s="10">
        <v>0</v>
      </c>
      <c r="I11" s="10">
        <v>0</v>
      </c>
      <c r="J11" s="10">
        <v>0</v>
      </c>
      <c r="K11" s="10">
        <v>4</v>
      </c>
      <c r="L11" s="10">
        <v>5</v>
      </c>
      <c r="M11" s="10">
        <v>3</v>
      </c>
      <c r="N11" s="10">
        <v>2</v>
      </c>
      <c r="O11" s="10">
        <v>4</v>
      </c>
      <c r="P11" s="13" cm="1">
        <f t="array" ref="P11">(G11*1+H11*2+I11*3+J11*4)/E11</f>
        <v>0.363636363636364</v>
      </c>
      <c r="Q11" s="13">
        <v>0.462</v>
      </c>
      <c r="R11" s="120" cm="1">
        <f t="array" ref="R11">Q11+P11</f>
        <v>0.8256363636363639</v>
      </c>
    </row>
    <row r="12" ht="17.25" customHeight="1">
      <c r="A12" t="s" s="38">
        <v>32</v>
      </c>
      <c r="B12" s="10">
        <v>0</v>
      </c>
      <c r="C12" s="119"/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3">
        <v>0</v>
      </c>
      <c r="Q12" s="13">
        <v>0</v>
      </c>
      <c r="R12" s="120" cm="1">
        <f t="array" ref="R12">Q12+P12</f>
        <v>0</v>
      </c>
    </row>
    <row r="13" ht="17.25" customHeight="1">
      <c r="A13" t="s" s="38">
        <v>33</v>
      </c>
      <c r="B13" s="10">
        <v>4</v>
      </c>
      <c r="C13" s="119">
        <v>0.25</v>
      </c>
      <c r="D13" s="10">
        <v>6</v>
      </c>
      <c r="E13" s="10">
        <v>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>
        <v>3</v>
      </c>
      <c r="M13" s="10">
        <v>0</v>
      </c>
      <c r="N13" s="10">
        <v>2</v>
      </c>
      <c r="O13" s="10">
        <v>1</v>
      </c>
      <c r="P13" s="13" cm="1">
        <f t="array" ref="P13">(G13*1+H13*2+I13*3+J13*4)/E13</f>
        <v>1</v>
      </c>
      <c r="Q13" s="13">
        <v>0.5</v>
      </c>
      <c r="R13" s="120" cm="1">
        <f t="array" ref="R13">Q13+P13</f>
        <v>1.5</v>
      </c>
    </row>
    <row r="14" ht="17.25" customHeight="1">
      <c r="A14" t="s" s="38">
        <v>34</v>
      </c>
      <c r="B14" s="10">
        <v>7</v>
      </c>
      <c r="C14" s="119">
        <v>0.286</v>
      </c>
      <c r="D14" s="10">
        <v>17</v>
      </c>
      <c r="E14" s="10">
        <v>14</v>
      </c>
      <c r="F14" s="10">
        <v>4</v>
      </c>
      <c r="G14" s="10">
        <v>3</v>
      </c>
      <c r="H14" s="10">
        <v>0</v>
      </c>
      <c r="I14" s="10">
        <v>1</v>
      </c>
      <c r="J14" s="10">
        <v>0</v>
      </c>
      <c r="K14" s="10">
        <v>6</v>
      </c>
      <c r="L14" s="10">
        <v>1</v>
      </c>
      <c r="M14" s="10">
        <v>3</v>
      </c>
      <c r="N14" s="10">
        <v>3</v>
      </c>
      <c r="O14" s="10">
        <v>5</v>
      </c>
      <c r="P14" s="13" cm="1">
        <f t="array" ref="P14">(G14*1+H14*2+I14*3+J14*4)/E14</f>
        <v>0.428571428571429</v>
      </c>
      <c r="Q14" s="13">
        <v>0.412</v>
      </c>
      <c r="R14" s="120" cm="1">
        <f t="array" ref="R14">Q14+P14</f>
        <v>0.840571428571429</v>
      </c>
    </row>
    <row r="15" ht="17.25" customHeight="1">
      <c r="A15" t="s" s="38">
        <v>35</v>
      </c>
      <c r="B15" s="10">
        <v>0</v>
      </c>
      <c r="C15" s="119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3">
        <v>0</v>
      </c>
      <c r="Q15" s="13">
        <v>0</v>
      </c>
      <c r="R15" s="120" cm="1">
        <f t="array" ref="R15">Q15+P15</f>
        <v>0</v>
      </c>
    </row>
    <row r="16" ht="17.25" customHeight="1">
      <c r="A16" t="s" s="38">
        <v>36</v>
      </c>
      <c r="B16" s="10">
        <v>6</v>
      </c>
      <c r="C16" s="119">
        <v>0.429</v>
      </c>
      <c r="D16" s="10">
        <v>9</v>
      </c>
      <c r="E16" s="10">
        <v>7</v>
      </c>
      <c r="F16" s="10">
        <v>3</v>
      </c>
      <c r="G16" s="10">
        <v>2</v>
      </c>
      <c r="H16" s="10">
        <v>1</v>
      </c>
      <c r="I16" s="10">
        <v>0</v>
      </c>
      <c r="J16" s="10">
        <v>0</v>
      </c>
      <c r="K16" s="10">
        <v>1</v>
      </c>
      <c r="L16" s="10">
        <v>3</v>
      </c>
      <c r="M16" s="10">
        <v>2</v>
      </c>
      <c r="N16" s="10">
        <v>2</v>
      </c>
      <c r="O16" s="10">
        <v>1</v>
      </c>
      <c r="P16" s="13" cm="1">
        <f t="array" ref="P16">(G16*1+H16*2+I16*3+J16*4)/E16</f>
        <v>0.571428571428571</v>
      </c>
      <c r="Q16" s="13">
        <v>0.556</v>
      </c>
      <c r="R16" s="120" cm="1">
        <f t="array" ref="R16">Q16+P16</f>
        <v>1.12742857142857</v>
      </c>
    </row>
    <row r="17" ht="17.25" customHeight="1">
      <c r="A17" t="s" s="38">
        <v>37</v>
      </c>
      <c r="B17" s="10">
        <v>0</v>
      </c>
      <c r="C17" s="119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3">
        <v>0</v>
      </c>
      <c r="Q17" s="13">
        <v>0</v>
      </c>
      <c r="R17" s="120" cm="1">
        <f t="array" ref="R17">Q17+P17</f>
        <v>0</v>
      </c>
    </row>
    <row r="18" ht="17.25" customHeight="1">
      <c r="A18" t="s" s="38">
        <v>38</v>
      </c>
      <c r="B18" s="10">
        <v>1</v>
      </c>
      <c r="C18" s="119">
        <v>0</v>
      </c>
      <c r="D18" s="10">
        <v>1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3" cm="1">
        <f t="array" ref="P18">(G18*1+H18*2+I18*3+J18*4)/E18</f>
        <v>0</v>
      </c>
      <c r="Q18" s="13">
        <v>0</v>
      </c>
      <c r="R18" s="120" cm="1">
        <f t="array" ref="R18">Q18+P18</f>
        <v>0</v>
      </c>
    </row>
    <row r="19" ht="17.25" customHeight="1">
      <c r="A19" t="s" s="38">
        <v>39</v>
      </c>
      <c r="B19" s="10">
        <v>7</v>
      </c>
      <c r="C19" s="119">
        <v>0.429</v>
      </c>
      <c r="D19" s="10">
        <v>18</v>
      </c>
      <c r="E19" s="10">
        <v>14</v>
      </c>
      <c r="F19" s="10">
        <v>6</v>
      </c>
      <c r="G19" s="10">
        <v>6</v>
      </c>
      <c r="H19" s="10">
        <v>0</v>
      </c>
      <c r="I19" s="10">
        <v>0</v>
      </c>
      <c r="J19" s="10">
        <v>0</v>
      </c>
      <c r="K19" s="10">
        <v>7</v>
      </c>
      <c r="L19" s="10">
        <v>7</v>
      </c>
      <c r="M19" s="10">
        <v>3</v>
      </c>
      <c r="N19" s="10">
        <v>4</v>
      </c>
      <c r="O19" s="10">
        <v>2</v>
      </c>
      <c r="P19" s="13" cm="1">
        <f t="array" ref="P19">(G19*1+H19*2+I19*3+J19*4)/E19</f>
        <v>0.428571428571429</v>
      </c>
      <c r="Q19" s="13">
        <v>0.556</v>
      </c>
      <c r="R19" s="120" cm="1">
        <f t="array" ref="R19">Q19+P19</f>
        <v>0.984571428571429</v>
      </c>
    </row>
    <row r="20" ht="17.25" customHeight="1">
      <c r="A20" t="s" s="38">
        <v>40</v>
      </c>
      <c r="B20" s="10">
        <v>8</v>
      </c>
      <c r="C20" s="119">
        <v>0.333</v>
      </c>
      <c r="D20" s="10">
        <v>18</v>
      </c>
      <c r="E20" s="10">
        <v>15</v>
      </c>
      <c r="F20" s="10">
        <v>5</v>
      </c>
      <c r="G20" s="10">
        <v>3</v>
      </c>
      <c r="H20" s="10">
        <v>2</v>
      </c>
      <c r="I20" s="10">
        <v>0</v>
      </c>
      <c r="J20" s="10">
        <v>0</v>
      </c>
      <c r="K20" s="10">
        <v>4</v>
      </c>
      <c r="L20" s="10">
        <v>8</v>
      </c>
      <c r="M20" s="10">
        <v>6</v>
      </c>
      <c r="N20" s="10">
        <v>3</v>
      </c>
      <c r="O20" s="10">
        <v>2</v>
      </c>
      <c r="P20" s="13" cm="1">
        <f t="array" ref="P20">(G20*1+H20*2+I20*3+J20*4)/E20</f>
        <v>0.466666666666667</v>
      </c>
      <c r="Q20" s="13">
        <v>0.444</v>
      </c>
      <c r="R20" s="120" cm="1">
        <f t="array" ref="R20">Q20+P20</f>
        <v>0.910666666666667</v>
      </c>
    </row>
    <row r="21" ht="17.25" customHeight="1">
      <c r="A21" t="s" s="38">
        <v>41</v>
      </c>
      <c r="B21" s="10">
        <v>9</v>
      </c>
      <c r="C21" s="119">
        <v>0.5600000000000001</v>
      </c>
      <c r="D21" s="10">
        <v>27</v>
      </c>
      <c r="E21" s="10">
        <v>25</v>
      </c>
      <c r="F21" s="10">
        <v>14</v>
      </c>
      <c r="G21" s="10">
        <v>13</v>
      </c>
      <c r="H21" s="10">
        <v>1</v>
      </c>
      <c r="I21" s="10">
        <v>0</v>
      </c>
      <c r="J21" s="10">
        <v>0</v>
      </c>
      <c r="K21" s="10">
        <v>5</v>
      </c>
      <c r="L21" s="10">
        <v>9</v>
      </c>
      <c r="M21" s="10">
        <v>4</v>
      </c>
      <c r="N21" s="10">
        <v>2</v>
      </c>
      <c r="O21" s="10">
        <v>2</v>
      </c>
      <c r="P21" s="13" cm="1">
        <f t="array" ref="P21">(G21*1+H21*2+I21*3+J21*4)/E21</f>
        <v>0.6</v>
      </c>
      <c r="Q21" s="13">
        <v>0.593</v>
      </c>
      <c r="R21" s="120" cm="1">
        <f t="array" ref="R21">Q21+P21</f>
        <v>1.193</v>
      </c>
    </row>
    <row r="22" ht="17.25" customHeight="1">
      <c r="A22" t="s" s="38">
        <v>42</v>
      </c>
      <c r="B22" s="10">
        <v>3</v>
      </c>
      <c r="C22" s="119">
        <v>0.25</v>
      </c>
      <c r="D22" s="10">
        <v>6</v>
      </c>
      <c r="E22" s="10">
        <v>4</v>
      </c>
      <c r="F22" s="10">
        <v>1</v>
      </c>
      <c r="G22" s="10">
        <v>1</v>
      </c>
      <c r="H22" s="10">
        <v>0</v>
      </c>
      <c r="I22" s="10">
        <v>0</v>
      </c>
      <c r="J22" s="10">
        <v>0</v>
      </c>
      <c r="K22" s="10">
        <v>5</v>
      </c>
      <c r="L22" s="10">
        <v>1</v>
      </c>
      <c r="M22" s="10">
        <v>4</v>
      </c>
      <c r="N22" s="10">
        <v>2</v>
      </c>
      <c r="O22" s="10">
        <v>1</v>
      </c>
      <c r="P22" s="13" cm="1">
        <f t="array" ref="P22">(G22*1+H22*2+I22*3+J22*4)/E22</f>
        <v>0.25</v>
      </c>
      <c r="Q22" s="13">
        <v>0.5</v>
      </c>
      <c r="R22" s="120" cm="1">
        <f t="array" ref="R22">Q22+P22</f>
        <v>0.75</v>
      </c>
    </row>
    <row r="23" ht="17.25" customHeight="1">
      <c r="A23" t="s" s="38">
        <v>43</v>
      </c>
      <c r="B23" s="10">
        <v>9</v>
      </c>
      <c r="C23" s="119">
        <v>0.5</v>
      </c>
      <c r="D23" s="10">
        <v>24</v>
      </c>
      <c r="E23" s="10">
        <v>22</v>
      </c>
      <c r="F23" s="10">
        <v>11</v>
      </c>
      <c r="G23" s="10">
        <v>6</v>
      </c>
      <c r="H23" s="10">
        <v>4</v>
      </c>
      <c r="I23" s="10">
        <v>1</v>
      </c>
      <c r="J23" s="10">
        <v>0</v>
      </c>
      <c r="K23" s="10">
        <v>9</v>
      </c>
      <c r="L23" s="10">
        <v>6</v>
      </c>
      <c r="M23" s="10">
        <v>3</v>
      </c>
      <c r="N23" s="10">
        <v>2</v>
      </c>
      <c r="O23" s="10">
        <v>3</v>
      </c>
      <c r="P23" s="13" cm="1">
        <f t="array" ref="P23">(G23*1+H23*2+I23*3+J23*4)/E23</f>
        <v>0.772727272727273</v>
      </c>
      <c r="Q23" s="13">
        <v>0.542</v>
      </c>
      <c r="R23" s="120" cm="1">
        <f t="array" ref="R23">Q23+P23</f>
        <v>1.31472727272727</v>
      </c>
    </row>
    <row r="24" ht="17.25" customHeight="1">
      <c r="A24" t="s" s="38">
        <v>44</v>
      </c>
      <c r="B24" s="10">
        <v>0</v>
      </c>
      <c r="C24" s="119"/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3">
        <v>0</v>
      </c>
      <c r="Q24" s="13">
        <v>0</v>
      </c>
      <c r="R24" s="120" cm="1">
        <f t="array" ref="R24">Q24+P24</f>
        <v>0</v>
      </c>
    </row>
    <row r="25" ht="17.25" customHeight="1">
      <c r="A25" t="s" s="29">
        <v>45</v>
      </c>
      <c r="B25" s="121"/>
      <c r="C25" s="122" cm="1">
        <f t="array" ref="C25">F25/E25</f>
        <v>0.432835820895522</v>
      </c>
      <c r="D25" s="123" cm="1">
        <f t="array" ref="D25">SUM(D4:D24)</f>
        <v>245</v>
      </c>
      <c r="E25" s="123" cm="1">
        <f t="array" ref="E25">SUM(E4:E24)</f>
        <v>201</v>
      </c>
      <c r="F25" s="123" cm="1">
        <f t="array" ref="F25">SUM(F4:F24)</f>
        <v>87</v>
      </c>
      <c r="G25" s="123" cm="1">
        <f t="array" ref="G25">SUM(G4:G24)</f>
        <v>63</v>
      </c>
      <c r="H25" s="123" cm="1">
        <f t="array" ref="H25">SUM(H4:H24)</f>
        <v>19</v>
      </c>
      <c r="I25" s="123" cm="1">
        <f t="array" ref="I25">SUM(I4:I24)</f>
        <v>4</v>
      </c>
      <c r="J25" s="123" cm="1">
        <f t="array" ref="J25">SUM(J4:J24)</f>
        <v>1</v>
      </c>
      <c r="K25" s="123" cm="1">
        <f t="array" ref="K25">SUM(K4:K23)</f>
        <v>76</v>
      </c>
      <c r="L25" s="123" cm="1">
        <f t="array" ref="L25">SUM(L4:L23)</f>
        <v>73</v>
      </c>
      <c r="M25" s="123" cm="1">
        <f t="array" ref="M25">SUM(M4:M23)</f>
        <v>54</v>
      </c>
      <c r="N25" s="123" cm="1">
        <f t="array" ref="N25">SUM(N4:N23)</f>
        <v>44</v>
      </c>
      <c r="O25" s="123" cm="1">
        <f t="array" ref="O25">SUM(O4:O23)</f>
        <v>40</v>
      </c>
      <c r="P25" s="121"/>
      <c r="Q25" s="121"/>
      <c r="R25" s="121"/>
    </row>
    <row r="26" ht="16.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</row>
    <row r="27" ht="17.25" customHeight="1">
      <c r="A27" t="s" s="5">
        <v>46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3"/>
      <c r="R27" s="3"/>
    </row>
    <row r="28" ht="17.25" customHeight="1">
      <c r="A28" t="s" s="8">
        <v>2</v>
      </c>
      <c r="B28" t="s" s="8">
        <v>3</v>
      </c>
      <c r="C28" t="s" s="8">
        <v>47</v>
      </c>
      <c r="D28" t="s" s="8">
        <v>48</v>
      </c>
      <c r="E28" t="s" s="8">
        <v>49</v>
      </c>
      <c r="F28" t="s" s="8">
        <v>50</v>
      </c>
      <c r="G28" t="s" s="8">
        <v>6</v>
      </c>
      <c r="H28" t="s" s="8">
        <v>51</v>
      </c>
      <c r="I28" t="s" s="8">
        <v>52</v>
      </c>
      <c r="J28" t="s" s="8">
        <v>53</v>
      </c>
      <c r="K28" t="s" s="8">
        <v>54</v>
      </c>
      <c r="L28" t="s" s="8">
        <v>55</v>
      </c>
      <c r="M28" t="s" s="8">
        <v>56</v>
      </c>
      <c r="N28" t="s" s="8">
        <v>57</v>
      </c>
      <c r="O28" t="s" s="8">
        <v>58</v>
      </c>
      <c r="P28" t="s" s="8">
        <v>59</v>
      </c>
      <c r="Q28" s="9"/>
      <c r="R28" s="3"/>
    </row>
    <row r="29" ht="17.25" customHeight="1">
      <c r="A29" t="s" s="8">
        <v>27</v>
      </c>
      <c r="B29" s="10">
        <v>1</v>
      </c>
      <c r="C29" s="10">
        <v>0</v>
      </c>
      <c r="D29" s="10">
        <v>0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0</v>
      </c>
      <c r="K29" s="10">
        <v>1</v>
      </c>
      <c r="L29" s="10">
        <v>0</v>
      </c>
      <c r="M29" s="10">
        <v>0</v>
      </c>
      <c r="N29" s="10">
        <v>0</v>
      </c>
      <c r="O29" s="10">
        <v>0</v>
      </c>
      <c r="P29" s="40">
        <v>0</v>
      </c>
      <c r="Q29" s="9"/>
      <c r="R29" s="3"/>
    </row>
    <row r="30" ht="17.25" customHeight="1">
      <c r="A30" t="s" s="8">
        <v>24</v>
      </c>
      <c r="B30" s="10">
        <v>2</v>
      </c>
      <c r="C30" s="10">
        <v>0</v>
      </c>
      <c r="D30" s="10">
        <v>0</v>
      </c>
      <c r="E30" s="10">
        <v>0</v>
      </c>
      <c r="F30" s="10">
        <v>2</v>
      </c>
      <c r="G30" s="10">
        <v>0</v>
      </c>
      <c r="H30" s="10">
        <v>0</v>
      </c>
      <c r="I30" s="10">
        <v>0</v>
      </c>
      <c r="J30" s="10">
        <v>0</v>
      </c>
      <c r="K30" s="10">
        <v>2</v>
      </c>
      <c r="L30" s="10">
        <v>0</v>
      </c>
      <c r="M30" s="10">
        <v>0</v>
      </c>
      <c r="N30" s="10">
        <v>1</v>
      </c>
      <c r="O30" s="10">
        <v>0</v>
      </c>
      <c r="P30" s="40">
        <v>0</v>
      </c>
      <c r="Q30" s="9"/>
      <c r="R30" s="3"/>
    </row>
    <row r="31" ht="17.25" customHeight="1">
      <c r="A31" t="s" s="8">
        <v>33</v>
      </c>
      <c r="B31" s="10">
        <v>4</v>
      </c>
      <c r="C31" s="10">
        <v>2</v>
      </c>
      <c r="D31" s="10">
        <v>0</v>
      </c>
      <c r="E31" s="10">
        <v>0</v>
      </c>
      <c r="F31" s="10">
        <v>36</v>
      </c>
      <c r="G31" s="10">
        <v>30</v>
      </c>
      <c r="H31" s="10">
        <v>7.1</v>
      </c>
      <c r="I31" s="10">
        <v>10</v>
      </c>
      <c r="J31" s="10">
        <v>0</v>
      </c>
      <c r="K31" s="10">
        <v>6</v>
      </c>
      <c r="L31" s="10">
        <v>0</v>
      </c>
      <c r="M31" s="10">
        <v>5</v>
      </c>
      <c r="N31" s="10">
        <v>7</v>
      </c>
      <c r="O31" s="10">
        <v>3</v>
      </c>
      <c r="P31" s="40" cm="1">
        <f t="array" ref="P31">O31*9/H31</f>
        <v>3.80281690140845</v>
      </c>
      <c r="Q31" s="9"/>
      <c r="R31" s="3"/>
    </row>
    <row r="32" ht="17.25" customHeight="1">
      <c r="A32" t="s" s="8">
        <v>43</v>
      </c>
      <c r="B32" s="10">
        <v>9</v>
      </c>
      <c r="C32" s="10">
        <v>2</v>
      </c>
      <c r="D32" s="10">
        <v>4</v>
      </c>
      <c r="E32" s="10">
        <v>1</v>
      </c>
      <c r="F32" s="10">
        <v>180</v>
      </c>
      <c r="G32" s="10">
        <v>126</v>
      </c>
      <c r="H32" s="10">
        <v>26</v>
      </c>
      <c r="I32" s="10">
        <v>40</v>
      </c>
      <c r="J32" s="10">
        <v>0</v>
      </c>
      <c r="K32" s="10">
        <v>46</v>
      </c>
      <c r="L32" s="10">
        <v>7</v>
      </c>
      <c r="M32" s="10">
        <v>55</v>
      </c>
      <c r="N32" s="10">
        <v>58</v>
      </c>
      <c r="O32" s="10">
        <v>25</v>
      </c>
      <c r="P32" s="40" cm="1">
        <f t="array" ref="P32">O32*9/H32</f>
        <v>8.65384615384615</v>
      </c>
      <c r="Q32" s="9"/>
      <c r="R32" s="3"/>
    </row>
    <row r="33" ht="17.25" customHeight="1">
      <c r="A33" t="s" s="8">
        <v>42</v>
      </c>
      <c r="B33" s="10">
        <v>3</v>
      </c>
      <c r="C33" s="10">
        <v>2</v>
      </c>
      <c r="D33" s="10">
        <v>0</v>
      </c>
      <c r="E33" s="10">
        <v>0</v>
      </c>
      <c r="F33" s="10">
        <v>44</v>
      </c>
      <c r="G33" s="10">
        <v>26</v>
      </c>
      <c r="H33" s="10">
        <v>7</v>
      </c>
      <c r="I33" s="10">
        <v>9</v>
      </c>
      <c r="J33" s="10">
        <v>0</v>
      </c>
      <c r="K33" s="10">
        <v>17</v>
      </c>
      <c r="L33" s="10">
        <v>0</v>
      </c>
      <c r="M33" s="10">
        <v>10</v>
      </c>
      <c r="N33" s="10">
        <v>10</v>
      </c>
      <c r="O33" s="10">
        <v>8</v>
      </c>
      <c r="P33" s="40" cm="1">
        <f t="array" ref="P33">O33*9/H33</f>
        <v>10.2857142857143</v>
      </c>
      <c r="Q33" s="9"/>
      <c r="R33" s="3"/>
    </row>
    <row r="34" ht="17.25" customHeight="1">
      <c r="A34" t="s" s="8">
        <v>36</v>
      </c>
      <c r="B34" s="10">
        <v>3</v>
      </c>
      <c r="C34" s="10">
        <v>0</v>
      </c>
      <c r="D34" s="10">
        <v>0</v>
      </c>
      <c r="E34" s="10">
        <v>0</v>
      </c>
      <c r="F34" s="10">
        <v>16</v>
      </c>
      <c r="G34" s="10">
        <v>9</v>
      </c>
      <c r="H34" s="10">
        <v>2</v>
      </c>
      <c r="I34" s="10">
        <v>4</v>
      </c>
      <c r="J34" s="10">
        <v>0</v>
      </c>
      <c r="K34" s="10">
        <v>6</v>
      </c>
      <c r="L34" s="10">
        <v>0</v>
      </c>
      <c r="M34" s="10">
        <v>2</v>
      </c>
      <c r="N34" s="10">
        <v>6</v>
      </c>
      <c r="O34" s="10">
        <v>5</v>
      </c>
      <c r="P34" s="40" cm="1">
        <f t="array" ref="P34">O34*9/H34</f>
        <v>22.5</v>
      </c>
      <c r="Q34" s="9"/>
      <c r="R34" s="3"/>
    </row>
    <row r="35" ht="17.25" customHeight="1">
      <c r="A35" t="s" s="29">
        <v>45</v>
      </c>
      <c r="B35" s="124"/>
      <c r="C35" s="49" cm="1">
        <f t="array" ref="C35">SUM(C29:C34)</f>
        <v>6</v>
      </c>
      <c r="D35" s="49" cm="1">
        <f t="array" ref="D35">SUM(D29:D34)</f>
        <v>4</v>
      </c>
      <c r="E35" s="49" cm="1">
        <f t="array" ref="E35">SUM(E29:E34)</f>
        <v>1</v>
      </c>
      <c r="F35" s="49" cm="1">
        <f t="array" ref="F35">SUM(F29:F34)</f>
        <v>279</v>
      </c>
      <c r="G35" s="49" cm="1">
        <f t="array" ref="G35">SUM(G29:G34)</f>
        <v>191</v>
      </c>
      <c r="H35" s="50" cm="1">
        <f t="array" ref="H35">SUM(H29:H34)</f>
        <v>42.1</v>
      </c>
      <c r="I35" s="49" cm="1">
        <f t="array" ref="I35">SUM(I29:I34)</f>
        <v>63</v>
      </c>
      <c r="J35" s="49" cm="1">
        <f t="array" ref="J35">SUM(J29:J34)</f>
        <v>0</v>
      </c>
      <c r="K35" s="49" cm="1">
        <f t="array" ref="K35">SUM(K29:K34)</f>
        <v>78</v>
      </c>
      <c r="L35" s="49" cm="1">
        <f t="array" ref="L35">SUM(L29:L34)</f>
        <v>7</v>
      </c>
      <c r="M35" s="49" cm="1">
        <f t="array" ref="M35">SUM(M29:M34)</f>
        <v>72</v>
      </c>
      <c r="N35" s="49" cm="1">
        <f t="array" ref="N35">SUM(N29:N34)</f>
        <v>82</v>
      </c>
      <c r="O35" s="49" cm="1">
        <f t="array" ref="O35">SUM(O29:O34)</f>
        <v>41</v>
      </c>
      <c r="P35" s="51" cm="1">
        <f t="array" ref="P35">O35*9/H35</f>
        <v>8.76484560570071</v>
      </c>
      <c r="Q35" s="9"/>
      <c r="R35" s="3"/>
    </row>
  </sheetData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U35"/>
  <sheetViews>
    <sheetView workbookViewId="0" showGridLines="0" defaultGridColor="1"/>
  </sheetViews>
  <sheetFormatPr defaultColWidth="9" defaultRowHeight="16.5" customHeight="1" outlineLevelRow="0" outlineLevelCol="0"/>
  <cols>
    <col min="1" max="20" width="8.17188" style="125" customWidth="1"/>
    <col min="21" max="21" width="8" style="125" customWidth="1"/>
    <col min="22" max="16384" width="9" style="125" customWidth="1"/>
  </cols>
  <sheetData>
    <row r="1" ht="26.25" customHeight="1">
      <c r="A1" t="s" s="2">
        <v>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3"/>
      <c r="T2" s="3"/>
      <c r="U2" s="3"/>
    </row>
    <row r="3" ht="18.75" customHeight="1">
      <c r="A3" t="s" s="38">
        <v>2</v>
      </c>
      <c r="B3" t="s" s="8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18</v>
      </c>
      <c r="Q3" t="s" s="8">
        <v>19</v>
      </c>
      <c r="R3" t="s" s="8">
        <v>20</v>
      </c>
      <c r="S3" s="9"/>
      <c r="T3" s="3"/>
      <c r="U3" s="3"/>
    </row>
    <row r="4" ht="16.5" customHeight="1">
      <c r="A4" t="s" s="38">
        <v>24</v>
      </c>
      <c r="B4" s="10">
        <v>1</v>
      </c>
      <c r="C4" s="65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3">
        <v>0</v>
      </c>
      <c r="Q4" s="13">
        <v>0</v>
      </c>
      <c r="R4" s="15" cm="1">
        <f t="array" ref="R4">Q4+P4</f>
        <v>0</v>
      </c>
      <c r="S4" s="9"/>
      <c r="T4" s="3"/>
      <c r="U4" s="3"/>
    </row>
    <row r="5" ht="17.25" customHeight="1">
      <c r="A5" t="s" s="38">
        <v>25</v>
      </c>
      <c r="B5" s="10">
        <v>5</v>
      </c>
      <c r="C5" s="65">
        <v>0.5</v>
      </c>
      <c r="D5" s="10">
        <v>12</v>
      </c>
      <c r="E5" s="10">
        <v>8</v>
      </c>
      <c r="F5" s="10">
        <v>4</v>
      </c>
      <c r="G5" s="10">
        <v>4</v>
      </c>
      <c r="H5" s="10">
        <v>0</v>
      </c>
      <c r="I5" s="10">
        <v>0</v>
      </c>
      <c r="J5" s="10">
        <v>0</v>
      </c>
      <c r="K5" s="10">
        <v>3</v>
      </c>
      <c r="L5" s="10">
        <v>5</v>
      </c>
      <c r="M5" s="10">
        <v>1</v>
      </c>
      <c r="N5" s="10">
        <v>4</v>
      </c>
      <c r="O5" s="10">
        <v>3</v>
      </c>
      <c r="P5" s="13" cm="1">
        <f t="array" ref="P5">(G5*1+H5*2+I5*3+J5*4)/E5</f>
        <v>0.5</v>
      </c>
      <c r="Q5" s="13">
        <v>0.667</v>
      </c>
      <c r="R5" s="15" cm="1">
        <f t="array" ref="R5">Q5+P5</f>
        <v>1.167</v>
      </c>
      <c r="S5" s="9"/>
      <c r="T5" s="3"/>
      <c r="U5" s="3"/>
    </row>
    <row r="6" ht="17.25" customHeight="1">
      <c r="A6" t="s" s="38">
        <v>26</v>
      </c>
      <c r="B6" s="10">
        <v>6</v>
      </c>
      <c r="C6" s="65">
        <v>0.417</v>
      </c>
      <c r="D6" s="10">
        <v>15</v>
      </c>
      <c r="E6" s="10">
        <v>12</v>
      </c>
      <c r="F6" s="10">
        <v>5</v>
      </c>
      <c r="G6" s="10">
        <v>3</v>
      </c>
      <c r="H6" s="10">
        <v>1</v>
      </c>
      <c r="I6" s="10">
        <v>1</v>
      </c>
      <c r="J6" s="10">
        <v>0</v>
      </c>
      <c r="K6" s="10">
        <v>8</v>
      </c>
      <c r="L6" s="10">
        <v>7</v>
      </c>
      <c r="M6" s="10">
        <v>3</v>
      </c>
      <c r="N6" s="10">
        <v>3</v>
      </c>
      <c r="O6" s="10">
        <v>2</v>
      </c>
      <c r="P6" s="13" cm="1">
        <f t="array" ref="P6">(G6*1+H6*2+I6*3+J6*4)/E6</f>
        <v>0.666666666666667</v>
      </c>
      <c r="Q6" s="13">
        <v>0.533</v>
      </c>
      <c r="R6" s="15" cm="1">
        <f t="array" ref="R6">Q6+P6</f>
        <v>1.19966666666667</v>
      </c>
      <c r="S6" s="9"/>
      <c r="T6" s="3"/>
      <c r="U6" s="3"/>
    </row>
    <row r="7" ht="17.25" customHeight="1">
      <c r="A7" t="s" s="38">
        <v>27</v>
      </c>
      <c r="B7" s="10">
        <v>1</v>
      </c>
      <c r="C7" s="65">
        <v>0</v>
      </c>
      <c r="D7" s="10">
        <v>4</v>
      </c>
      <c r="E7" s="10">
        <v>4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3</v>
      </c>
      <c r="M7" s="10">
        <v>0</v>
      </c>
      <c r="N7" s="10">
        <v>0</v>
      </c>
      <c r="O7" s="10">
        <v>0</v>
      </c>
      <c r="P7" s="13" cm="1">
        <f t="array" ref="P7">(G7*1+H7*2+I7*3+J7*4)/E7</f>
        <v>0</v>
      </c>
      <c r="Q7" s="13">
        <v>0</v>
      </c>
      <c r="R7" s="15" cm="1">
        <f t="array" ref="R7">Q7+P7</f>
        <v>0</v>
      </c>
      <c r="S7" s="9"/>
      <c r="T7" s="3"/>
      <c r="U7" s="3"/>
    </row>
    <row r="8" ht="17.25" customHeight="1">
      <c r="A8" t="s" s="38">
        <v>28</v>
      </c>
      <c r="B8" s="10">
        <v>7</v>
      </c>
      <c r="C8" s="65">
        <v>0.455</v>
      </c>
      <c r="D8" s="10">
        <v>17</v>
      </c>
      <c r="E8" s="10">
        <v>11</v>
      </c>
      <c r="F8" s="10">
        <v>5</v>
      </c>
      <c r="G8" s="10">
        <v>3</v>
      </c>
      <c r="H8" s="10">
        <v>1</v>
      </c>
      <c r="I8" s="10">
        <v>1</v>
      </c>
      <c r="J8" s="10">
        <v>0</v>
      </c>
      <c r="K8" s="10">
        <v>6</v>
      </c>
      <c r="L8" s="10">
        <v>4</v>
      </c>
      <c r="M8" s="10">
        <v>2</v>
      </c>
      <c r="N8" s="10">
        <v>6</v>
      </c>
      <c r="O8" s="10">
        <v>1</v>
      </c>
      <c r="P8" s="13" cm="1">
        <f t="array" ref="P8">(G8*1+H8*2+I8*3+J8*4)/E8</f>
        <v>0.727272727272727</v>
      </c>
      <c r="Q8" s="13">
        <v>0.647</v>
      </c>
      <c r="R8" s="15" cm="1">
        <f t="array" ref="R8">Q8+P8</f>
        <v>1.37427272727273</v>
      </c>
      <c r="S8" s="9"/>
      <c r="T8" s="3"/>
      <c r="U8" s="3"/>
    </row>
    <row r="9" ht="17.25" customHeight="1">
      <c r="A9" t="s" s="38">
        <v>29</v>
      </c>
      <c r="B9" s="10">
        <v>6</v>
      </c>
      <c r="C9" s="65">
        <v>0.091</v>
      </c>
      <c r="D9" s="10">
        <v>16</v>
      </c>
      <c r="E9" s="10">
        <v>11</v>
      </c>
      <c r="F9" s="10">
        <v>1</v>
      </c>
      <c r="G9" s="10">
        <v>1</v>
      </c>
      <c r="H9" s="10">
        <v>0</v>
      </c>
      <c r="I9" s="10">
        <v>0</v>
      </c>
      <c r="J9" s="10">
        <v>0</v>
      </c>
      <c r="K9" s="10">
        <v>2</v>
      </c>
      <c r="L9" s="10">
        <v>2</v>
      </c>
      <c r="M9" s="10">
        <v>4</v>
      </c>
      <c r="N9" s="10">
        <v>5</v>
      </c>
      <c r="O9" s="10">
        <v>9</v>
      </c>
      <c r="P9" s="13" cm="1">
        <f t="array" ref="P9">(G9*1+H9*2+I9*3+J9*4)/E9</f>
        <v>0.0909090909090909</v>
      </c>
      <c r="Q9" s="13">
        <v>0.375</v>
      </c>
      <c r="R9" s="15" cm="1">
        <f t="array" ref="R9">Q9+P9</f>
        <v>0.465909090909091</v>
      </c>
      <c r="S9" s="9"/>
      <c r="T9" s="3"/>
      <c r="U9" s="3"/>
    </row>
    <row r="10" ht="17.25" customHeight="1">
      <c r="A10" t="s" s="38">
        <v>30</v>
      </c>
      <c r="B10" s="10">
        <v>6</v>
      </c>
      <c r="C10" s="65">
        <v>0.75</v>
      </c>
      <c r="D10" s="10">
        <v>18</v>
      </c>
      <c r="E10" s="10">
        <v>12</v>
      </c>
      <c r="F10" s="10">
        <v>9</v>
      </c>
      <c r="G10" s="10">
        <v>8</v>
      </c>
      <c r="H10" s="10">
        <v>1</v>
      </c>
      <c r="I10" s="10">
        <v>0</v>
      </c>
      <c r="J10" s="10">
        <v>0</v>
      </c>
      <c r="K10" s="10">
        <v>11</v>
      </c>
      <c r="L10" s="10">
        <v>8</v>
      </c>
      <c r="M10" s="10">
        <v>17</v>
      </c>
      <c r="N10" s="10">
        <v>6</v>
      </c>
      <c r="O10" s="10">
        <v>0</v>
      </c>
      <c r="P10" s="13" cm="1">
        <f t="array" ref="P10">(G10*1+H10*2+I10*3+J10*4)/E10</f>
        <v>0.833333333333333</v>
      </c>
      <c r="Q10" s="13">
        <v>0.833</v>
      </c>
      <c r="R10" s="15" cm="1">
        <f t="array" ref="R10">Q10+P10</f>
        <v>1.66633333333333</v>
      </c>
      <c r="S10" s="9"/>
      <c r="T10" s="3"/>
      <c r="U10" s="3"/>
    </row>
    <row r="11" ht="17.25" customHeight="1">
      <c r="A11" t="s" s="38">
        <v>31</v>
      </c>
      <c r="B11" s="10">
        <v>6</v>
      </c>
      <c r="C11" s="65">
        <v>0.231</v>
      </c>
      <c r="D11" s="10">
        <v>14</v>
      </c>
      <c r="E11" s="10">
        <v>13</v>
      </c>
      <c r="F11" s="10">
        <v>3</v>
      </c>
      <c r="G11" s="10">
        <v>2</v>
      </c>
      <c r="H11" s="10">
        <v>1</v>
      </c>
      <c r="I11" s="10">
        <v>0</v>
      </c>
      <c r="J11" s="10">
        <v>0</v>
      </c>
      <c r="K11" s="10">
        <v>3</v>
      </c>
      <c r="L11" s="10">
        <v>4</v>
      </c>
      <c r="M11" s="10">
        <v>2</v>
      </c>
      <c r="N11" s="10">
        <v>1</v>
      </c>
      <c r="O11" s="10">
        <v>4</v>
      </c>
      <c r="P11" s="13" cm="1">
        <f t="array" ref="P11">(G11*1+H11*2+I11*3+J11*4)/E11</f>
        <v>0.307692307692308</v>
      </c>
      <c r="Q11" s="13">
        <v>0.286</v>
      </c>
      <c r="R11" s="15" cm="1">
        <f t="array" ref="R11">Q11+P11</f>
        <v>0.593692307692308</v>
      </c>
      <c r="S11" s="9"/>
      <c r="T11" s="3"/>
      <c r="U11" s="3"/>
    </row>
    <row r="12" ht="17.25" customHeight="1">
      <c r="A12" t="s" s="38">
        <v>32</v>
      </c>
      <c r="B12" s="10">
        <v>0</v>
      </c>
      <c r="C12" s="65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3">
        <v>0</v>
      </c>
      <c r="Q12" s="13">
        <v>0</v>
      </c>
      <c r="R12" s="15" cm="1">
        <f t="array" ref="R12">Q12+P12</f>
        <v>0</v>
      </c>
      <c r="S12" s="9"/>
      <c r="T12" s="3"/>
      <c r="U12" s="3"/>
    </row>
    <row r="13" ht="17.25" customHeight="1">
      <c r="A13" t="s" s="38">
        <v>33</v>
      </c>
      <c r="B13" s="10">
        <v>6</v>
      </c>
      <c r="C13" s="65">
        <v>0.462</v>
      </c>
      <c r="D13" s="10">
        <v>15</v>
      </c>
      <c r="E13" s="10">
        <v>13</v>
      </c>
      <c r="F13" s="10">
        <v>6</v>
      </c>
      <c r="G13" s="10">
        <v>0</v>
      </c>
      <c r="H13" s="10">
        <v>5</v>
      </c>
      <c r="I13" s="10">
        <v>1</v>
      </c>
      <c r="J13" s="10">
        <v>0</v>
      </c>
      <c r="K13" s="10">
        <v>5</v>
      </c>
      <c r="L13" s="10">
        <v>9</v>
      </c>
      <c r="M13" s="10">
        <v>0</v>
      </c>
      <c r="N13" s="10">
        <v>2</v>
      </c>
      <c r="O13" s="10">
        <v>1</v>
      </c>
      <c r="P13" s="13" cm="1">
        <f t="array" ref="P13">(G13*1+H13*2+I13*3+J13*4)/E13</f>
        <v>1</v>
      </c>
      <c r="Q13" s="13">
        <v>0.533</v>
      </c>
      <c r="R13" s="15" cm="1">
        <f t="array" ref="R13">Q13+P13</f>
        <v>1.533</v>
      </c>
      <c r="S13" s="9"/>
      <c r="T13" s="3"/>
      <c r="U13" s="3"/>
    </row>
    <row r="14" ht="17.25" customHeight="1">
      <c r="A14" t="s" s="38">
        <v>34</v>
      </c>
      <c r="B14" s="10">
        <v>4</v>
      </c>
      <c r="C14" s="65">
        <v>0</v>
      </c>
      <c r="D14" s="10">
        <v>9</v>
      </c>
      <c r="E14" s="10">
        <v>5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2</v>
      </c>
      <c r="L14" s="10">
        <v>1</v>
      </c>
      <c r="M14" s="10">
        <v>1</v>
      </c>
      <c r="N14" s="10">
        <v>4</v>
      </c>
      <c r="O14" s="10">
        <v>3</v>
      </c>
      <c r="P14" s="13" cm="1">
        <f t="array" ref="P14">(G14*1+H14*2+I14*3+J14*4)/E14</f>
        <v>0</v>
      </c>
      <c r="Q14" s="13">
        <v>0.444</v>
      </c>
      <c r="R14" s="15" cm="1">
        <f t="array" ref="R14">Q14+P14</f>
        <v>0.444</v>
      </c>
      <c r="S14" s="9"/>
      <c r="T14" s="3"/>
      <c r="U14" s="3"/>
    </row>
    <row r="15" ht="17.25" customHeight="1">
      <c r="A15" t="s" s="38">
        <v>35</v>
      </c>
      <c r="B15" s="10">
        <v>1</v>
      </c>
      <c r="C15" s="65">
        <v>0</v>
      </c>
      <c r="D15" s="10">
        <v>4</v>
      </c>
      <c r="E15" s="10">
        <v>3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  <c r="L15" s="10">
        <v>0</v>
      </c>
      <c r="M15" s="10">
        <v>0</v>
      </c>
      <c r="N15" s="10">
        <v>1</v>
      </c>
      <c r="O15" s="10">
        <v>2</v>
      </c>
      <c r="P15" s="13" cm="1">
        <f t="array" ref="P15">(G15*1+H15*2+I15*3+J15*4)/E15</f>
        <v>0</v>
      </c>
      <c r="Q15" s="13">
        <v>0.25</v>
      </c>
      <c r="R15" s="15" cm="1">
        <f t="array" ref="R15">Q15+P15</f>
        <v>0.25</v>
      </c>
      <c r="S15" s="9"/>
      <c r="T15" s="3"/>
      <c r="U15" s="3"/>
    </row>
    <row r="16" ht="17.25" customHeight="1">
      <c r="A16" t="s" s="38">
        <v>36</v>
      </c>
      <c r="B16" s="10">
        <v>5</v>
      </c>
      <c r="C16" s="65">
        <v>0.2</v>
      </c>
      <c r="D16" s="10">
        <v>8</v>
      </c>
      <c r="E16" s="10">
        <v>5</v>
      </c>
      <c r="F16" s="10">
        <v>1</v>
      </c>
      <c r="G16" s="10">
        <v>1</v>
      </c>
      <c r="H16" s="10">
        <v>0</v>
      </c>
      <c r="I16" s="10">
        <v>0</v>
      </c>
      <c r="J16" s="10">
        <v>0</v>
      </c>
      <c r="K16" s="10">
        <v>2</v>
      </c>
      <c r="L16" s="10">
        <v>1</v>
      </c>
      <c r="M16" s="10">
        <v>2</v>
      </c>
      <c r="N16" s="10">
        <v>3</v>
      </c>
      <c r="O16" s="10">
        <v>1</v>
      </c>
      <c r="P16" s="13" cm="1">
        <f t="array" ref="P16">(G16*1+H16*2+I16*3+J16*4)/E16</f>
        <v>0.2</v>
      </c>
      <c r="Q16" s="13">
        <v>0.5</v>
      </c>
      <c r="R16" s="15" cm="1">
        <f t="array" ref="R16">Q16+P16</f>
        <v>0.7</v>
      </c>
      <c r="S16" s="9"/>
      <c r="T16" s="3"/>
      <c r="U16" s="3"/>
    </row>
    <row r="17" ht="17.25" customHeight="1">
      <c r="A17" t="s" s="38">
        <v>37</v>
      </c>
      <c r="B17" s="10">
        <v>0</v>
      </c>
      <c r="C17" s="65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3">
        <v>0</v>
      </c>
      <c r="Q17" s="13">
        <v>0</v>
      </c>
      <c r="R17" s="15" cm="1">
        <f t="array" ref="R17">Q17+P17</f>
        <v>0</v>
      </c>
      <c r="S17" s="9"/>
      <c r="T17" s="3"/>
      <c r="U17" s="3"/>
    </row>
    <row r="18" ht="17.25" customHeight="1">
      <c r="A18" t="s" s="38">
        <v>38</v>
      </c>
      <c r="B18" s="10">
        <v>5</v>
      </c>
      <c r="C18" s="65">
        <v>0.429</v>
      </c>
      <c r="D18" s="10">
        <v>9</v>
      </c>
      <c r="E18" s="10">
        <v>7</v>
      </c>
      <c r="F18" s="10">
        <v>3</v>
      </c>
      <c r="G18" s="10">
        <v>3</v>
      </c>
      <c r="H18" s="10">
        <v>0</v>
      </c>
      <c r="I18" s="10">
        <v>0</v>
      </c>
      <c r="J18" s="10">
        <v>0</v>
      </c>
      <c r="K18" s="10">
        <v>2</v>
      </c>
      <c r="L18" s="10">
        <v>2</v>
      </c>
      <c r="M18" s="10">
        <v>1</v>
      </c>
      <c r="N18" s="10">
        <v>2</v>
      </c>
      <c r="O18" s="10">
        <v>2</v>
      </c>
      <c r="P18" s="13" cm="1">
        <f t="array" ref="P18">(G18*1+H18*2+I18*3+J18*4)/E18</f>
        <v>0.428571428571429</v>
      </c>
      <c r="Q18" s="13">
        <v>0.556</v>
      </c>
      <c r="R18" s="15" cm="1">
        <f t="array" ref="R18">Q18+P18</f>
        <v>0.984571428571429</v>
      </c>
      <c r="S18" s="9"/>
      <c r="T18" s="3"/>
      <c r="U18" s="3"/>
    </row>
    <row r="19" ht="17.25" customHeight="1">
      <c r="A19" t="s" s="38">
        <v>39</v>
      </c>
      <c r="B19" s="10">
        <v>1</v>
      </c>
      <c r="C19" s="65">
        <v>0.5</v>
      </c>
      <c r="D19" s="10">
        <v>3</v>
      </c>
      <c r="E19" s="10">
        <v>2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1</v>
      </c>
      <c r="N19" s="10">
        <v>1</v>
      </c>
      <c r="O19" s="10">
        <v>1</v>
      </c>
      <c r="P19" s="13" cm="1">
        <f t="array" ref="P19">(G19*1+H19*2+I19*3+J19*4)/E19</f>
        <v>0.5</v>
      </c>
      <c r="Q19" s="13">
        <v>0.667</v>
      </c>
      <c r="R19" s="15" cm="1">
        <f t="array" ref="R19">Q19+P19</f>
        <v>1.167</v>
      </c>
      <c r="S19" s="9"/>
      <c r="T19" s="3"/>
      <c r="U19" s="3"/>
    </row>
    <row r="20" ht="17.25" customHeight="1">
      <c r="A20" t="s" s="38">
        <v>40</v>
      </c>
      <c r="B20" s="10">
        <v>7</v>
      </c>
      <c r="C20" s="65">
        <v>0.143</v>
      </c>
      <c r="D20" s="10">
        <v>14</v>
      </c>
      <c r="E20" s="10">
        <v>7</v>
      </c>
      <c r="F20" s="10">
        <v>1</v>
      </c>
      <c r="G20" s="10">
        <v>1</v>
      </c>
      <c r="H20" s="10">
        <v>0</v>
      </c>
      <c r="I20" s="10">
        <v>0</v>
      </c>
      <c r="J20" s="10">
        <v>0</v>
      </c>
      <c r="K20" s="10">
        <v>4</v>
      </c>
      <c r="L20" s="10">
        <v>2</v>
      </c>
      <c r="M20" s="10">
        <v>4</v>
      </c>
      <c r="N20" s="10">
        <v>7</v>
      </c>
      <c r="O20" s="10">
        <v>5</v>
      </c>
      <c r="P20" s="13" cm="1">
        <f t="array" ref="P20">(G20*1+H20*2+I20*3+J20*4)/E20</f>
        <v>0.142857142857143</v>
      </c>
      <c r="Q20" s="13">
        <v>0.571</v>
      </c>
      <c r="R20" s="15" cm="1">
        <f t="array" ref="R20">Q20+P20</f>
        <v>0.713857142857143</v>
      </c>
      <c r="S20" s="9"/>
      <c r="T20" s="3"/>
      <c r="U20" s="3"/>
    </row>
    <row r="21" ht="17.25" customHeight="1">
      <c r="A21" t="s" s="38">
        <v>41</v>
      </c>
      <c r="B21" s="10">
        <v>6</v>
      </c>
      <c r="C21" s="65">
        <v>0.545</v>
      </c>
      <c r="D21" s="10">
        <v>15</v>
      </c>
      <c r="E21" s="10">
        <v>11</v>
      </c>
      <c r="F21" s="10">
        <v>6</v>
      </c>
      <c r="G21" s="10">
        <v>4</v>
      </c>
      <c r="H21" s="10">
        <v>2</v>
      </c>
      <c r="I21" s="10">
        <v>0</v>
      </c>
      <c r="J21" s="10">
        <v>0</v>
      </c>
      <c r="K21" s="10">
        <v>7</v>
      </c>
      <c r="L21" s="10">
        <v>3</v>
      </c>
      <c r="M21" s="10">
        <v>5</v>
      </c>
      <c r="N21" s="10">
        <v>4</v>
      </c>
      <c r="O21" s="10">
        <v>2</v>
      </c>
      <c r="P21" s="13" cm="1">
        <f t="array" ref="P21">(G21*1+H21*2+I21*3+J21*4)/E21</f>
        <v>0.727272727272727</v>
      </c>
      <c r="Q21" s="13">
        <v>0.667</v>
      </c>
      <c r="R21" s="15" cm="1">
        <f t="array" ref="R21">Q21+P21</f>
        <v>1.39427272727273</v>
      </c>
      <c r="S21" s="9"/>
      <c r="T21" s="3"/>
      <c r="U21" s="3"/>
    </row>
    <row r="22" ht="17.25" customHeight="1">
      <c r="A22" t="s" s="38">
        <v>42</v>
      </c>
      <c r="B22" s="10">
        <v>3</v>
      </c>
      <c r="C22" s="65">
        <v>0.167</v>
      </c>
      <c r="D22" s="10">
        <v>6</v>
      </c>
      <c r="E22" s="10">
        <v>6</v>
      </c>
      <c r="F22" s="10">
        <v>1</v>
      </c>
      <c r="G22" s="10">
        <v>1</v>
      </c>
      <c r="H22" s="10">
        <v>0</v>
      </c>
      <c r="I22" s="10">
        <v>0</v>
      </c>
      <c r="J22" s="10">
        <v>0</v>
      </c>
      <c r="K22" s="10">
        <v>1</v>
      </c>
      <c r="L22" s="10">
        <v>1</v>
      </c>
      <c r="M22" s="10">
        <v>0</v>
      </c>
      <c r="N22" s="10">
        <v>0</v>
      </c>
      <c r="O22" s="10">
        <v>3</v>
      </c>
      <c r="P22" s="13" cm="1">
        <f t="array" ref="P22">(G22*1+H22*2+I22*3+J22*4)/E22</f>
        <v>0.166666666666667</v>
      </c>
      <c r="Q22" s="13">
        <v>0.167</v>
      </c>
      <c r="R22" s="15" cm="1">
        <f t="array" ref="R22">Q22+P22</f>
        <v>0.333666666666667</v>
      </c>
      <c r="S22" s="9"/>
      <c r="T22" s="3"/>
      <c r="U22" s="3"/>
    </row>
    <row r="23" ht="17.25" customHeight="1">
      <c r="A23" t="s" s="38">
        <v>43</v>
      </c>
      <c r="B23" s="10">
        <v>5</v>
      </c>
      <c r="C23" s="65">
        <v>0.2</v>
      </c>
      <c r="D23" s="10">
        <v>14</v>
      </c>
      <c r="E23" s="10">
        <v>10</v>
      </c>
      <c r="F23" s="10">
        <v>2</v>
      </c>
      <c r="G23" s="10">
        <v>1</v>
      </c>
      <c r="H23" s="10">
        <v>1</v>
      </c>
      <c r="I23" s="10">
        <v>0</v>
      </c>
      <c r="J23" s="10">
        <v>0</v>
      </c>
      <c r="K23" s="10">
        <v>1</v>
      </c>
      <c r="L23" s="10">
        <v>5</v>
      </c>
      <c r="M23" s="10">
        <v>0</v>
      </c>
      <c r="N23" s="10">
        <v>4</v>
      </c>
      <c r="O23" s="10">
        <v>5</v>
      </c>
      <c r="P23" s="13" cm="1">
        <f t="array" ref="P23">(G23*1+H23*2+I23*3+J23*4)/E23</f>
        <v>0.3</v>
      </c>
      <c r="Q23" s="13">
        <v>0.429</v>
      </c>
      <c r="R23" s="15" cm="1">
        <f t="array" ref="R23">Q23+P23</f>
        <v>0.729</v>
      </c>
      <c r="S23" s="9"/>
      <c r="T23" s="3"/>
      <c r="U23" s="3"/>
    </row>
    <row r="24" ht="17.25" customHeight="1">
      <c r="A24" t="s" s="38">
        <v>44</v>
      </c>
      <c r="B24" s="10">
        <v>0</v>
      </c>
      <c r="C24" s="65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3">
        <v>0</v>
      </c>
      <c r="Q24" s="13">
        <v>0</v>
      </c>
      <c r="R24" s="15" cm="1">
        <f t="array" ref="R24">Q24+P24</f>
        <v>0</v>
      </c>
      <c r="S24" s="9"/>
      <c r="T24" s="3"/>
      <c r="U24" s="3"/>
    </row>
    <row r="25" ht="17.25" customHeight="1">
      <c r="A25" t="s" s="126">
        <v>45</v>
      </c>
      <c r="B25" s="124"/>
      <c r="C25" s="127" cm="1">
        <f t="array" ref="C25">F25/E25</f>
        <v>0.342857142857143</v>
      </c>
      <c r="D25" s="49" cm="1">
        <f t="array" ref="D25">SUM(D4:D24)</f>
        <v>193</v>
      </c>
      <c r="E25" s="49" cm="1">
        <f t="array" ref="E25">SUM(E4:E24)</f>
        <v>140</v>
      </c>
      <c r="F25" s="49" cm="1">
        <f t="array" ref="F25">SUM(F4:F24)</f>
        <v>48</v>
      </c>
      <c r="G25" s="49" cm="1">
        <f t="array" ref="G25">SUM(G4:G24)</f>
        <v>33</v>
      </c>
      <c r="H25" s="49" cm="1">
        <f t="array" ref="H25">SUM(H4:H24)</f>
        <v>12</v>
      </c>
      <c r="I25" s="49" cm="1">
        <f t="array" ref="I25">SUM(I4:I24)</f>
        <v>3</v>
      </c>
      <c r="J25" s="49" cm="1">
        <f t="array" ref="J25">SUM(J4:J24)</f>
        <v>0</v>
      </c>
      <c r="K25" s="49" cm="1">
        <f t="array" ref="K25">SUM(K4:K24)</f>
        <v>58</v>
      </c>
      <c r="L25" s="49" cm="1">
        <f t="array" ref="L25">SUM(L4:L24)</f>
        <v>57</v>
      </c>
      <c r="M25" s="49" cm="1">
        <f t="array" ref="M25">SUM(M4:M24)</f>
        <v>43</v>
      </c>
      <c r="N25" s="49" cm="1">
        <f t="array" ref="N25">SUM(N4:N24)</f>
        <v>53</v>
      </c>
      <c r="O25" s="49" cm="1">
        <f t="array" ref="O25">SUM(O4:O24)</f>
        <v>44</v>
      </c>
      <c r="P25" s="127"/>
      <c r="Q25" s="127"/>
      <c r="R25" s="121"/>
      <c r="S25" s="9"/>
      <c r="T25" s="3"/>
      <c r="U25" s="3"/>
    </row>
    <row r="26" ht="16.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"/>
      <c r="T26" s="3"/>
      <c r="U26" s="3"/>
    </row>
    <row r="27" ht="17.25" customHeight="1">
      <c r="A27" t="s" s="5">
        <v>46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128"/>
      <c r="R27" s="128"/>
      <c r="S27" s="128"/>
      <c r="T27" s="128"/>
      <c r="U27" s="128"/>
    </row>
    <row r="28" ht="17.25" customHeight="1">
      <c r="A28" t="s" s="38">
        <v>2</v>
      </c>
      <c r="B28" t="s" s="8">
        <v>3</v>
      </c>
      <c r="C28" t="s" s="8">
        <v>47</v>
      </c>
      <c r="D28" t="s" s="8">
        <v>48</v>
      </c>
      <c r="E28" t="s" s="8">
        <v>49</v>
      </c>
      <c r="F28" t="s" s="8">
        <v>50</v>
      </c>
      <c r="G28" t="s" s="8">
        <v>6</v>
      </c>
      <c r="H28" t="s" s="8">
        <v>51</v>
      </c>
      <c r="I28" t="s" s="8">
        <v>52</v>
      </c>
      <c r="J28" t="s" s="8">
        <v>53</v>
      </c>
      <c r="K28" t="s" s="8">
        <v>54</v>
      </c>
      <c r="L28" t="s" s="8">
        <v>55</v>
      </c>
      <c r="M28" t="s" s="8">
        <v>56</v>
      </c>
      <c r="N28" t="s" s="8">
        <v>57</v>
      </c>
      <c r="O28" t="s" s="8">
        <v>58</v>
      </c>
      <c r="P28" t="s" s="8">
        <v>59</v>
      </c>
      <c r="Q28" s="9"/>
      <c r="R28" s="3"/>
      <c r="S28" s="3"/>
      <c r="T28" s="3"/>
      <c r="U28" s="3"/>
    </row>
    <row r="29" ht="17.25" customHeight="1">
      <c r="A29" t="s" s="38">
        <v>24</v>
      </c>
      <c r="B29" s="10">
        <v>4</v>
      </c>
      <c r="C29" s="10">
        <v>1</v>
      </c>
      <c r="D29" s="10">
        <v>1</v>
      </c>
      <c r="E29" s="10">
        <v>0</v>
      </c>
      <c r="F29" s="10">
        <v>38</v>
      </c>
      <c r="G29" s="10" cm="1">
        <f t="array" ref="G29">F29-K29-L29</f>
        <v>25</v>
      </c>
      <c r="H29" s="39">
        <v>4.66666</v>
      </c>
      <c r="I29" s="10">
        <v>8</v>
      </c>
      <c r="J29" s="10">
        <v>0</v>
      </c>
      <c r="K29" s="10">
        <v>11</v>
      </c>
      <c r="L29" s="10">
        <v>2</v>
      </c>
      <c r="M29" s="10">
        <v>3</v>
      </c>
      <c r="N29" s="10">
        <v>14</v>
      </c>
      <c r="O29" s="10">
        <v>10</v>
      </c>
      <c r="P29" s="40" cm="1">
        <f t="array" ref="P29">O29*9/H29</f>
        <v>19.2857418367741</v>
      </c>
      <c r="Q29" s="82"/>
      <c r="R29" s="3"/>
      <c r="S29" s="3"/>
      <c r="T29" s="3"/>
      <c r="U29" s="3"/>
    </row>
    <row r="30" ht="17.25" customHeight="1">
      <c r="A30" t="s" s="38">
        <v>29</v>
      </c>
      <c r="B30" s="10">
        <v>4</v>
      </c>
      <c r="C30" s="10">
        <v>0</v>
      </c>
      <c r="D30" s="10">
        <v>1</v>
      </c>
      <c r="E30" s="10">
        <v>0</v>
      </c>
      <c r="F30" s="10">
        <v>28</v>
      </c>
      <c r="G30" s="10" cm="1">
        <f t="array" ref="G30">F30-K30-L30</f>
        <v>21</v>
      </c>
      <c r="H30" s="39">
        <v>2.3333</v>
      </c>
      <c r="I30" s="10">
        <v>6</v>
      </c>
      <c r="J30" s="10">
        <v>0</v>
      </c>
      <c r="K30" s="10">
        <v>6</v>
      </c>
      <c r="L30" s="10">
        <v>1</v>
      </c>
      <c r="M30" s="10">
        <v>4</v>
      </c>
      <c r="N30" s="10">
        <v>12</v>
      </c>
      <c r="O30" s="10">
        <v>5</v>
      </c>
      <c r="P30" s="40" cm="1">
        <f t="array" ref="P30">O30*9/H30</f>
        <v>19.2859897998543</v>
      </c>
      <c r="Q30" s="9"/>
      <c r="R30" s="3"/>
      <c r="S30" s="3"/>
      <c r="T30" s="3"/>
      <c r="U30" s="3"/>
    </row>
    <row r="31" ht="17.25" customHeight="1">
      <c r="A31" t="s" s="38">
        <v>33</v>
      </c>
      <c r="B31" s="10">
        <v>5</v>
      </c>
      <c r="C31" s="10">
        <v>1</v>
      </c>
      <c r="D31" s="10">
        <v>0</v>
      </c>
      <c r="E31" s="10">
        <v>1</v>
      </c>
      <c r="F31" s="10">
        <v>41</v>
      </c>
      <c r="G31" s="10" cm="1">
        <f t="array" ref="G31">F31-K31-L31</f>
        <v>33</v>
      </c>
      <c r="H31" s="39">
        <v>7.6666</v>
      </c>
      <c r="I31" s="10">
        <v>11</v>
      </c>
      <c r="J31" s="10">
        <v>0</v>
      </c>
      <c r="K31" s="10">
        <v>5</v>
      </c>
      <c r="L31" s="10">
        <v>3</v>
      </c>
      <c r="M31" s="10">
        <v>14</v>
      </c>
      <c r="N31" s="10">
        <v>13</v>
      </c>
      <c r="O31" s="10">
        <v>9</v>
      </c>
      <c r="P31" s="40" cm="1">
        <f t="array" ref="P31">O31*9/H31</f>
        <v>10.5653092635588</v>
      </c>
      <c r="Q31" s="9"/>
      <c r="R31" s="3"/>
      <c r="S31" s="3"/>
      <c r="T31" s="3"/>
      <c r="U31" s="3"/>
    </row>
    <row r="32" ht="17.25" customHeight="1">
      <c r="A32" t="s" s="38">
        <v>36</v>
      </c>
      <c r="B32" s="10">
        <v>4</v>
      </c>
      <c r="C32" s="10">
        <v>0</v>
      </c>
      <c r="D32" s="10">
        <v>1</v>
      </c>
      <c r="E32" s="10">
        <v>0</v>
      </c>
      <c r="F32" s="10">
        <v>62</v>
      </c>
      <c r="G32" s="10" cm="1">
        <f t="array" ref="G32">F32-K32-L32</f>
        <v>41</v>
      </c>
      <c r="H32" s="39">
        <v>7.6666</v>
      </c>
      <c r="I32" s="10">
        <v>18</v>
      </c>
      <c r="J32" s="10">
        <v>2</v>
      </c>
      <c r="K32" s="10">
        <v>18</v>
      </c>
      <c r="L32" s="10">
        <v>3</v>
      </c>
      <c r="M32" s="10">
        <v>12</v>
      </c>
      <c r="N32" s="10">
        <v>26</v>
      </c>
      <c r="O32" s="10">
        <v>18</v>
      </c>
      <c r="P32" s="40" cm="1">
        <f t="array" ref="P32">O32*9/H32</f>
        <v>21.1306185271176</v>
      </c>
      <c r="Q32" s="9"/>
      <c r="R32" s="3"/>
      <c r="S32" s="3"/>
      <c r="T32" s="3"/>
      <c r="U32" s="3"/>
    </row>
    <row r="33" ht="17.25" customHeight="1">
      <c r="A33" t="s" s="38">
        <v>42</v>
      </c>
      <c r="B33" s="10">
        <v>2</v>
      </c>
      <c r="C33" s="10">
        <v>0</v>
      </c>
      <c r="D33" s="10">
        <v>2</v>
      </c>
      <c r="E33" s="10">
        <v>0</v>
      </c>
      <c r="F33" s="10">
        <v>39</v>
      </c>
      <c r="G33" s="10" cm="1">
        <f t="array" ref="G33">F33-K33-L33</f>
        <v>21</v>
      </c>
      <c r="H33" s="39">
        <v>4.3333</v>
      </c>
      <c r="I33" s="10">
        <v>5</v>
      </c>
      <c r="J33" s="10">
        <v>1</v>
      </c>
      <c r="K33" s="10">
        <v>18</v>
      </c>
      <c r="L33" s="10">
        <v>0</v>
      </c>
      <c r="M33" s="10">
        <v>3</v>
      </c>
      <c r="N33" s="10">
        <v>19</v>
      </c>
      <c r="O33" s="10">
        <v>12</v>
      </c>
      <c r="P33" s="40" cm="1">
        <f t="array" ref="P33">O33*9/H33</f>
        <v>24.923268640528</v>
      </c>
      <c r="Q33" s="9"/>
      <c r="R33" s="3"/>
      <c r="S33" s="3"/>
      <c r="T33" s="3"/>
      <c r="U33" s="3"/>
    </row>
    <row r="34" ht="17.25" customHeight="1">
      <c r="A34" t="s" s="38">
        <v>43</v>
      </c>
      <c r="B34" s="10">
        <v>4</v>
      </c>
      <c r="C34" s="10">
        <v>1</v>
      </c>
      <c r="D34" s="10">
        <v>0</v>
      </c>
      <c r="E34" s="10">
        <v>2</v>
      </c>
      <c r="F34" s="10">
        <v>36</v>
      </c>
      <c r="G34" s="10" cm="1">
        <f t="array" ref="G34">F34-K34-L34</f>
        <v>29</v>
      </c>
      <c r="H34" s="39">
        <v>7.3333</v>
      </c>
      <c r="I34" s="10">
        <v>8</v>
      </c>
      <c r="J34" s="10">
        <v>1</v>
      </c>
      <c r="K34" s="10">
        <v>7</v>
      </c>
      <c r="L34" s="10">
        <v>0</v>
      </c>
      <c r="M34" s="10">
        <v>8</v>
      </c>
      <c r="N34" s="10">
        <v>11</v>
      </c>
      <c r="O34" s="10">
        <v>10</v>
      </c>
      <c r="P34" s="40" cm="1">
        <f t="array" ref="P34">O34*9/H34</f>
        <v>12.2727830581048</v>
      </c>
      <c r="Q34" s="9"/>
      <c r="R34" s="3"/>
      <c r="S34" s="3"/>
      <c r="T34" s="3"/>
      <c r="U34" s="3"/>
    </row>
    <row r="35" ht="17.25" customHeight="1">
      <c r="A35" t="s" s="126">
        <v>45</v>
      </c>
      <c r="B35" s="124"/>
      <c r="C35" s="49" cm="1">
        <f t="array" ref="C35">SUM(C29:C34)</f>
        <v>3</v>
      </c>
      <c r="D35" s="49" cm="1">
        <f t="array" ref="D35">SUM(D29:D34)</f>
        <v>5</v>
      </c>
      <c r="E35" s="49" cm="1">
        <f t="array" ref="E35">SUM(E29:E34)</f>
        <v>3</v>
      </c>
      <c r="F35" s="49" cm="1">
        <f t="array" ref="F35">SUM(F29:F34)</f>
        <v>244</v>
      </c>
      <c r="G35" s="49" cm="1">
        <f t="array" ref="G35">SUM(G29:G34)</f>
        <v>170</v>
      </c>
      <c r="H35" s="50" cm="1">
        <f t="array" ref="H35">SUM(H29:H34)</f>
        <v>33.99976</v>
      </c>
      <c r="I35" s="49" cm="1">
        <f t="array" ref="I35">SUM(I29:I34)</f>
        <v>56</v>
      </c>
      <c r="J35" s="49" cm="1">
        <f t="array" ref="J35">SUM(J29:J34)</f>
        <v>4</v>
      </c>
      <c r="K35" s="49" cm="1">
        <f t="array" ref="K35">SUM(K29:K34)</f>
        <v>65</v>
      </c>
      <c r="L35" s="49" cm="1">
        <f t="array" ref="L35">SUM(L29:L34)</f>
        <v>9</v>
      </c>
      <c r="M35" s="49" cm="1">
        <f t="array" ref="M35">SUM(M29:M34)</f>
        <v>44</v>
      </c>
      <c r="N35" s="49" cm="1">
        <f t="array" ref="N35">SUM(N29:N34)</f>
        <v>95</v>
      </c>
      <c r="O35" s="49" cm="1">
        <f t="array" ref="O35">SUM(O29:O34)</f>
        <v>64</v>
      </c>
      <c r="P35" s="51" cm="1">
        <f t="array" ref="P35">O35*9/H35</f>
        <v>16.9412960562075</v>
      </c>
      <c r="Q35" s="9"/>
      <c r="R35" s="3"/>
      <c r="S35" s="3"/>
      <c r="T35" s="3"/>
      <c r="U35" s="3"/>
    </row>
  </sheetData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T35"/>
  <sheetViews>
    <sheetView workbookViewId="0" showGridLines="0" defaultGridColor="1"/>
  </sheetViews>
  <sheetFormatPr defaultColWidth="9" defaultRowHeight="16.5" customHeight="1" outlineLevelRow="0" outlineLevelCol="0"/>
  <cols>
    <col min="1" max="20" width="8.17188" style="129" customWidth="1"/>
    <col min="21" max="16384" width="9" style="129" customWidth="1"/>
  </cols>
  <sheetData>
    <row r="1" ht="26.25" customHeight="1">
      <c r="A1" t="s" s="2">
        <v>100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</row>
    <row r="2" ht="17.25" customHeight="1">
      <c r="A2" t="s" s="5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128"/>
      <c r="T2" s="128"/>
    </row>
    <row r="3" ht="17.25" customHeight="1">
      <c r="A3" t="s" s="130">
        <v>101</v>
      </c>
      <c r="B3" t="s" s="130">
        <v>102</v>
      </c>
      <c r="C3" t="s" s="130">
        <v>4</v>
      </c>
      <c r="D3" t="s" s="130">
        <v>5</v>
      </c>
      <c r="E3" t="s" s="130">
        <v>6</v>
      </c>
      <c r="F3" t="s" s="130">
        <v>7</v>
      </c>
      <c r="G3" t="s" s="130">
        <v>8</v>
      </c>
      <c r="H3" t="s" s="130">
        <v>9</v>
      </c>
      <c r="I3" t="s" s="130">
        <v>10</v>
      </c>
      <c r="J3" t="s" s="130">
        <v>11</v>
      </c>
      <c r="K3" t="s" s="130">
        <v>12</v>
      </c>
      <c r="L3" t="s" s="130">
        <v>13</v>
      </c>
      <c r="M3" t="s" s="130">
        <v>14</v>
      </c>
      <c r="N3" t="s" s="130">
        <v>15</v>
      </c>
      <c r="O3" t="s" s="130">
        <v>16</v>
      </c>
      <c r="P3" t="s" s="130">
        <v>18</v>
      </c>
      <c r="Q3" t="s" s="130">
        <v>19</v>
      </c>
      <c r="R3" t="s" s="8">
        <v>20</v>
      </c>
      <c r="S3" s="9"/>
      <c r="T3" s="3"/>
    </row>
    <row r="4" ht="17.25" customHeight="1">
      <c r="A4" t="s" s="130">
        <v>24</v>
      </c>
      <c r="B4" s="17">
        <v>2</v>
      </c>
      <c r="C4" s="14">
        <v>0</v>
      </c>
      <c r="D4" s="17">
        <v>0</v>
      </c>
      <c r="E4" s="17">
        <v>0</v>
      </c>
      <c r="F4" s="17">
        <v>0</v>
      </c>
      <c r="G4" s="17" cm="1">
        <f t="array" ref="G4">F4-(H4+I4+J4)</f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1</v>
      </c>
      <c r="N4" s="17">
        <v>0</v>
      </c>
      <c r="O4" s="17">
        <v>0</v>
      </c>
      <c r="P4" s="13">
        <v>0</v>
      </c>
      <c r="Q4" s="14">
        <v>0</v>
      </c>
      <c r="R4" s="15" cm="1">
        <f t="array" ref="R4">Q4+P4</f>
        <v>0</v>
      </c>
      <c r="S4" s="9"/>
      <c r="T4" s="3"/>
    </row>
    <row r="5" ht="17.25" customHeight="1">
      <c r="A5" t="s" s="130">
        <v>25</v>
      </c>
      <c r="B5" s="17">
        <v>4</v>
      </c>
      <c r="C5" s="14">
        <v>0</v>
      </c>
      <c r="D5" s="17">
        <v>7</v>
      </c>
      <c r="E5" s="17">
        <v>3</v>
      </c>
      <c r="F5" s="17">
        <v>0</v>
      </c>
      <c r="G5" s="17" cm="1">
        <f t="array" ref="G5">F5-(H5+I5+J5)</f>
        <v>0</v>
      </c>
      <c r="H5" s="17">
        <v>0</v>
      </c>
      <c r="I5" s="17">
        <v>0</v>
      </c>
      <c r="J5" s="17">
        <v>0</v>
      </c>
      <c r="K5" s="17">
        <v>1</v>
      </c>
      <c r="L5" s="17">
        <v>0</v>
      </c>
      <c r="M5" s="17">
        <v>0</v>
      </c>
      <c r="N5" s="17">
        <v>4</v>
      </c>
      <c r="O5" s="17">
        <v>0</v>
      </c>
      <c r="P5" s="13" cm="1">
        <f t="array" ref="P5">(G5*1+H5*2+I5*3+J5*4)/E5</f>
        <v>0</v>
      </c>
      <c r="Q5" s="14">
        <v>0.571</v>
      </c>
      <c r="R5" s="15" cm="1">
        <f t="array" ref="R5">Q5+P5</f>
        <v>0.571</v>
      </c>
      <c r="S5" s="9"/>
      <c r="T5" s="3"/>
    </row>
    <row r="6" ht="17.25" customHeight="1">
      <c r="A6" t="s" s="130">
        <v>26</v>
      </c>
      <c r="B6" s="17">
        <v>9</v>
      </c>
      <c r="C6" s="14">
        <v>0.474</v>
      </c>
      <c r="D6" s="17">
        <v>24</v>
      </c>
      <c r="E6" s="17">
        <v>19</v>
      </c>
      <c r="F6" s="17">
        <v>9</v>
      </c>
      <c r="G6" s="17" cm="1">
        <f t="array" ref="G6">F6-(H6+I6+J6)</f>
        <v>7</v>
      </c>
      <c r="H6" s="17">
        <v>2</v>
      </c>
      <c r="I6" s="17">
        <v>0</v>
      </c>
      <c r="J6" s="17">
        <v>0</v>
      </c>
      <c r="K6" s="17">
        <v>9</v>
      </c>
      <c r="L6" s="17">
        <v>9</v>
      </c>
      <c r="M6" s="17">
        <v>7</v>
      </c>
      <c r="N6" s="17">
        <v>5</v>
      </c>
      <c r="O6" s="17">
        <v>2</v>
      </c>
      <c r="P6" s="13" cm="1">
        <f t="array" ref="P6">(G6*1+H6*2+I6*3+J6*4)/E6</f>
        <v>0.578947368421053</v>
      </c>
      <c r="Q6" s="14">
        <v>0.583</v>
      </c>
      <c r="R6" s="15" cm="1">
        <f t="array" ref="R6">Q6+P6</f>
        <v>1.16194736842105</v>
      </c>
      <c r="S6" s="9"/>
      <c r="T6" s="3"/>
    </row>
    <row r="7" ht="17.25" customHeight="1">
      <c r="A7" t="s" s="130">
        <v>27</v>
      </c>
      <c r="B7" s="17">
        <v>0</v>
      </c>
      <c r="C7" s="14">
        <v>0</v>
      </c>
      <c r="D7" s="17">
        <v>0</v>
      </c>
      <c r="E7" s="17">
        <v>0</v>
      </c>
      <c r="F7" s="17">
        <v>0</v>
      </c>
      <c r="G7" s="17" cm="1">
        <f t="array" ref="G7">F7-(H7+I7+J7)</f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3">
        <v>0</v>
      </c>
      <c r="Q7" s="14">
        <v>0</v>
      </c>
      <c r="R7" s="15" cm="1">
        <f t="array" ref="R7">Q7+P7</f>
        <v>0</v>
      </c>
      <c r="S7" s="9"/>
      <c r="T7" s="3"/>
    </row>
    <row r="8" ht="17.25" customHeight="1">
      <c r="A8" t="s" s="130">
        <v>28</v>
      </c>
      <c r="B8" s="17">
        <v>9</v>
      </c>
      <c r="C8" s="14">
        <v>0.25</v>
      </c>
      <c r="D8" s="17">
        <v>26</v>
      </c>
      <c r="E8" s="17">
        <v>20</v>
      </c>
      <c r="F8" s="17">
        <v>5</v>
      </c>
      <c r="G8" s="17" cm="1">
        <f t="array" ref="G8">F8-(H8+I8+J8)</f>
        <v>3</v>
      </c>
      <c r="H8" s="17">
        <v>0</v>
      </c>
      <c r="I8" s="17">
        <v>2</v>
      </c>
      <c r="J8" s="17">
        <v>0</v>
      </c>
      <c r="K8" s="17">
        <v>7</v>
      </c>
      <c r="L8" s="17">
        <v>7</v>
      </c>
      <c r="M8" s="17">
        <v>4</v>
      </c>
      <c r="N8" s="17">
        <v>6</v>
      </c>
      <c r="O8" s="17">
        <v>5</v>
      </c>
      <c r="P8" s="13" cm="1">
        <f t="array" ref="P8">(G8*1+H8*2+I8*3+J8*4)/E8</f>
        <v>0.45</v>
      </c>
      <c r="Q8" s="14">
        <v>0.423</v>
      </c>
      <c r="R8" s="15" cm="1">
        <f t="array" ref="R8">Q8+P8</f>
        <v>0.873</v>
      </c>
      <c r="S8" s="9"/>
      <c r="T8" s="3"/>
    </row>
    <row r="9" ht="17.25" customHeight="1">
      <c r="A9" t="s" s="130">
        <v>29</v>
      </c>
      <c r="B9" s="17">
        <v>4</v>
      </c>
      <c r="C9" s="14">
        <v>0.2</v>
      </c>
      <c r="D9" s="17">
        <v>6</v>
      </c>
      <c r="E9" s="17">
        <v>5</v>
      </c>
      <c r="F9" s="17">
        <v>1</v>
      </c>
      <c r="G9" s="17" cm="1">
        <f t="array" ref="G9">F9-(H9+I9+J9)</f>
        <v>1</v>
      </c>
      <c r="H9" s="17">
        <v>0</v>
      </c>
      <c r="I9" s="17">
        <v>0</v>
      </c>
      <c r="J9" s="17">
        <v>0</v>
      </c>
      <c r="K9" s="17">
        <v>2</v>
      </c>
      <c r="L9" s="17">
        <v>0</v>
      </c>
      <c r="M9" s="17">
        <v>1</v>
      </c>
      <c r="N9" s="17">
        <v>1</v>
      </c>
      <c r="O9" s="17">
        <v>1</v>
      </c>
      <c r="P9" s="13" cm="1">
        <f t="array" ref="P9">(G9*1+H9*2+I9*3+J9*4)/E9</f>
        <v>0.2</v>
      </c>
      <c r="Q9" s="14">
        <v>0.333</v>
      </c>
      <c r="R9" s="15" cm="1">
        <f t="array" ref="R9">Q9+P9</f>
        <v>0.533</v>
      </c>
      <c r="S9" s="9"/>
      <c r="T9" s="3"/>
    </row>
    <row r="10" ht="17.25" customHeight="1">
      <c r="A10" t="s" s="130">
        <v>30</v>
      </c>
      <c r="B10" s="17">
        <v>9</v>
      </c>
      <c r="C10" s="14">
        <v>0.542</v>
      </c>
      <c r="D10" s="17">
        <v>31</v>
      </c>
      <c r="E10" s="17">
        <v>24</v>
      </c>
      <c r="F10" s="17">
        <v>13</v>
      </c>
      <c r="G10" s="17" cm="1">
        <f t="array" ref="G10">F10-(H10+I10+J10)</f>
        <v>9</v>
      </c>
      <c r="H10" s="17">
        <v>2</v>
      </c>
      <c r="I10" s="17">
        <v>1</v>
      </c>
      <c r="J10" s="17">
        <v>1</v>
      </c>
      <c r="K10" s="17">
        <v>16</v>
      </c>
      <c r="L10" s="17">
        <v>8</v>
      </c>
      <c r="M10" s="17">
        <v>16</v>
      </c>
      <c r="N10" s="17">
        <v>7</v>
      </c>
      <c r="O10" s="17">
        <v>2</v>
      </c>
      <c r="P10" s="13" cm="1">
        <f t="array" ref="P10">(G10*1+H10*2+I10*3+J10*4)/E10</f>
        <v>0.833333333333333</v>
      </c>
      <c r="Q10" s="14">
        <v>0.645</v>
      </c>
      <c r="R10" s="15" cm="1">
        <f t="array" ref="R10">Q10+P10</f>
        <v>1.47833333333333</v>
      </c>
      <c r="S10" s="9"/>
      <c r="T10" s="3"/>
    </row>
    <row r="11" ht="17.25" customHeight="1">
      <c r="A11" t="s" s="130">
        <v>31</v>
      </c>
      <c r="B11" s="17">
        <v>4</v>
      </c>
      <c r="C11" s="14">
        <v>0.333</v>
      </c>
      <c r="D11" s="17">
        <v>7</v>
      </c>
      <c r="E11" s="17">
        <v>6</v>
      </c>
      <c r="F11" s="17">
        <v>2</v>
      </c>
      <c r="G11" s="17" cm="1">
        <f t="array" ref="G11">F11-(H11+I11+J11)</f>
        <v>2</v>
      </c>
      <c r="H11" s="17">
        <v>0</v>
      </c>
      <c r="I11" s="17">
        <v>0</v>
      </c>
      <c r="J11" s="17">
        <v>0</v>
      </c>
      <c r="K11" s="17">
        <v>3</v>
      </c>
      <c r="L11" s="17">
        <v>0</v>
      </c>
      <c r="M11" s="17">
        <v>3</v>
      </c>
      <c r="N11" s="17">
        <v>1</v>
      </c>
      <c r="O11" s="17">
        <v>0</v>
      </c>
      <c r="P11" s="13" cm="1">
        <f t="array" ref="P11">(G11*1+H11*2+I11*3+J11*4)/E11</f>
        <v>0.333333333333333</v>
      </c>
      <c r="Q11" s="14">
        <v>0.429</v>
      </c>
      <c r="R11" s="15" cm="1">
        <f t="array" ref="R11">Q11+P11</f>
        <v>0.762333333333333</v>
      </c>
      <c r="S11" s="9"/>
      <c r="T11" s="3"/>
    </row>
    <row r="12" ht="17.25" customHeight="1">
      <c r="A12" t="s" s="130">
        <v>32</v>
      </c>
      <c r="B12" s="17">
        <v>2</v>
      </c>
      <c r="C12" s="14">
        <v>0.333</v>
      </c>
      <c r="D12" s="17">
        <v>3</v>
      </c>
      <c r="E12" s="17">
        <v>3</v>
      </c>
      <c r="F12" s="17">
        <v>1</v>
      </c>
      <c r="G12" s="17" cm="1">
        <f t="array" ref="G12">F12-(H12+I12+J12)</f>
        <v>1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1</v>
      </c>
      <c r="N12" s="17">
        <v>0</v>
      </c>
      <c r="O12" s="17">
        <v>0</v>
      </c>
      <c r="P12" s="13" cm="1">
        <f t="array" ref="P12">(G12*1+H12*2+I12*3+J12*4)/E12</f>
        <v>0.333333333333333</v>
      </c>
      <c r="Q12" s="14">
        <v>0.333</v>
      </c>
      <c r="R12" s="15" cm="1">
        <f t="array" ref="R12">Q12+P12</f>
        <v>0.666333333333333</v>
      </c>
      <c r="S12" s="9"/>
      <c r="T12" s="3"/>
    </row>
    <row r="13" ht="17.25" customHeight="1">
      <c r="A13" t="s" s="130">
        <v>33</v>
      </c>
      <c r="B13" s="17">
        <v>10</v>
      </c>
      <c r="C13" s="14">
        <v>0.435</v>
      </c>
      <c r="D13" s="17">
        <v>25</v>
      </c>
      <c r="E13" s="17">
        <v>23</v>
      </c>
      <c r="F13" s="17">
        <v>10</v>
      </c>
      <c r="G13" s="17" cm="1">
        <f t="array" ref="G13">F13-(H13+I13+J13)</f>
        <v>6</v>
      </c>
      <c r="H13" s="17">
        <v>4</v>
      </c>
      <c r="I13" s="17">
        <v>0</v>
      </c>
      <c r="J13" s="17">
        <v>0</v>
      </c>
      <c r="K13" s="17">
        <v>6</v>
      </c>
      <c r="L13" s="17">
        <v>10</v>
      </c>
      <c r="M13" s="17">
        <v>5</v>
      </c>
      <c r="N13" s="17">
        <v>1</v>
      </c>
      <c r="O13" s="17">
        <v>3</v>
      </c>
      <c r="P13" s="13" cm="1">
        <f t="array" ref="P13">(G13*1+H13*2+I13*3+J13*4)/E13</f>
        <v>0.608695652173913</v>
      </c>
      <c r="Q13" s="14">
        <v>0.44</v>
      </c>
      <c r="R13" s="15" cm="1">
        <f t="array" ref="R13">Q13+P13</f>
        <v>1.04869565217391</v>
      </c>
      <c r="S13" s="9"/>
      <c r="T13" s="3"/>
    </row>
    <row r="14" ht="17.25" customHeight="1">
      <c r="A14" t="s" s="130">
        <v>34</v>
      </c>
      <c r="B14" s="17">
        <v>3</v>
      </c>
      <c r="C14" s="14">
        <v>0</v>
      </c>
      <c r="D14" s="17">
        <v>7</v>
      </c>
      <c r="E14" s="17">
        <v>5</v>
      </c>
      <c r="F14" s="17">
        <v>0</v>
      </c>
      <c r="G14" s="17" cm="1">
        <f t="array" ref="G14">F14-(H14+I14+J14)</f>
        <v>0</v>
      </c>
      <c r="H14" s="17">
        <v>0</v>
      </c>
      <c r="I14" s="17">
        <v>0</v>
      </c>
      <c r="J14" s="17">
        <v>0</v>
      </c>
      <c r="K14" s="17">
        <v>2</v>
      </c>
      <c r="L14" s="17">
        <v>0</v>
      </c>
      <c r="M14" s="17">
        <v>1</v>
      </c>
      <c r="N14" s="17">
        <v>2</v>
      </c>
      <c r="O14" s="17">
        <v>3</v>
      </c>
      <c r="P14" s="13" cm="1">
        <f t="array" ref="P14">(G14*1+H14*2+I14*3+J14*4)/E14</f>
        <v>0</v>
      </c>
      <c r="Q14" s="14">
        <v>0.286</v>
      </c>
      <c r="R14" s="15" cm="1">
        <f t="array" ref="R14">Q14+P14</f>
        <v>0.286</v>
      </c>
      <c r="S14" s="9"/>
      <c r="T14" s="3"/>
    </row>
    <row r="15" ht="17.25" customHeight="1">
      <c r="A15" t="s" s="130">
        <v>35</v>
      </c>
      <c r="B15" s="17">
        <v>6</v>
      </c>
      <c r="C15" s="14">
        <v>0.222</v>
      </c>
      <c r="D15" s="17">
        <v>13</v>
      </c>
      <c r="E15" s="17">
        <v>9</v>
      </c>
      <c r="F15" s="17">
        <v>2</v>
      </c>
      <c r="G15" s="17" cm="1">
        <f t="array" ref="G15">F15-(H15+I15+J15)</f>
        <v>2</v>
      </c>
      <c r="H15" s="17">
        <v>0</v>
      </c>
      <c r="I15" s="17">
        <v>0</v>
      </c>
      <c r="J15" s="17">
        <v>0</v>
      </c>
      <c r="K15" s="17">
        <v>1</v>
      </c>
      <c r="L15" s="17">
        <v>3</v>
      </c>
      <c r="M15" s="17">
        <v>1</v>
      </c>
      <c r="N15" s="17">
        <v>3</v>
      </c>
      <c r="O15" s="17">
        <v>5</v>
      </c>
      <c r="P15" s="13" cm="1">
        <f t="array" ref="P15">(G15*1+H15*2+I15*3+J15*4)/E15</f>
        <v>0.222222222222222</v>
      </c>
      <c r="Q15" s="14">
        <v>0.417</v>
      </c>
      <c r="R15" s="15" cm="1">
        <f t="array" ref="R15">Q15+P15</f>
        <v>0.639222222222222</v>
      </c>
      <c r="S15" s="9"/>
      <c r="T15" s="3"/>
    </row>
    <row r="16" ht="17.25" customHeight="1">
      <c r="A16" t="s" s="130">
        <v>36</v>
      </c>
      <c r="B16" s="17">
        <v>2</v>
      </c>
      <c r="C16" s="14">
        <v>0</v>
      </c>
      <c r="D16" s="17">
        <v>1</v>
      </c>
      <c r="E16" s="17">
        <v>1</v>
      </c>
      <c r="F16" s="17">
        <v>0</v>
      </c>
      <c r="G16" s="17" cm="1">
        <f t="array" ref="G16">F16-(H16+I16+J16)</f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3" cm="1">
        <f t="array" ref="P16">(G16*1+H16*2+I16*3+J16*4)/E16</f>
        <v>0</v>
      </c>
      <c r="Q16" s="14">
        <v>0</v>
      </c>
      <c r="R16" s="15" cm="1">
        <f t="array" ref="R16">Q16+P16</f>
        <v>0</v>
      </c>
      <c r="S16" s="9"/>
      <c r="T16" s="3"/>
    </row>
    <row r="17" ht="17.25" customHeight="1">
      <c r="A17" t="s" s="130">
        <v>37</v>
      </c>
      <c r="B17" s="17">
        <v>2</v>
      </c>
      <c r="C17" s="14">
        <v>0</v>
      </c>
      <c r="D17" s="17">
        <v>5</v>
      </c>
      <c r="E17" s="17">
        <v>3</v>
      </c>
      <c r="F17" s="17">
        <v>0</v>
      </c>
      <c r="G17" s="17" cm="1">
        <f t="array" ref="G17">F17-(H17+I17+J17)</f>
        <v>0</v>
      </c>
      <c r="H17" s="17">
        <v>0</v>
      </c>
      <c r="I17" s="17">
        <v>0</v>
      </c>
      <c r="J17" s="17">
        <v>0</v>
      </c>
      <c r="K17" s="17">
        <v>2</v>
      </c>
      <c r="L17" s="17">
        <v>0</v>
      </c>
      <c r="M17" s="17">
        <v>2</v>
      </c>
      <c r="N17" s="17">
        <v>2</v>
      </c>
      <c r="O17" s="17">
        <v>1</v>
      </c>
      <c r="P17" s="13" cm="1">
        <f t="array" ref="P17">(G17*1+H17*2+I17*3+J17*4)/E17</f>
        <v>0</v>
      </c>
      <c r="Q17" s="14">
        <v>0.4</v>
      </c>
      <c r="R17" s="15" cm="1">
        <f t="array" ref="R17">Q17+P17</f>
        <v>0.4</v>
      </c>
      <c r="S17" s="9"/>
      <c r="T17" s="3"/>
    </row>
    <row r="18" ht="17.25" customHeight="1">
      <c r="A18" t="s" s="130">
        <v>38</v>
      </c>
      <c r="B18" s="17">
        <v>7</v>
      </c>
      <c r="C18" s="14">
        <v>0.611</v>
      </c>
      <c r="D18" s="17">
        <v>21</v>
      </c>
      <c r="E18" s="17">
        <v>18</v>
      </c>
      <c r="F18" s="17">
        <v>11</v>
      </c>
      <c r="G18" s="17" cm="1">
        <f t="array" ref="G18">F18-(H18+I18+J18)</f>
        <v>10</v>
      </c>
      <c r="H18" s="17">
        <v>0</v>
      </c>
      <c r="I18" s="17">
        <v>0</v>
      </c>
      <c r="J18" s="17">
        <v>1</v>
      </c>
      <c r="K18" s="17">
        <v>6</v>
      </c>
      <c r="L18" s="17">
        <v>6</v>
      </c>
      <c r="M18" s="17">
        <v>3</v>
      </c>
      <c r="N18" s="17">
        <v>3</v>
      </c>
      <c r="O18" s="17">
        <v>2</v>
      </c>
      <c r="P18" s="13" cm="1">
        <f t="array" ref="P18">(G18*1+H18*2+I18*3+J18*4)/E18</f>
        <v>0.777777777777778</v>
      </c>
      <c r="Q18" s="14">
        <v>0.667</v>
      </c>
      <c r="R18" s="15" cm="1">
        <f t="array" ref="R18">Q18+P18</f>
        <v>1.44477777777778</v>
      </c>
      <c r="S18" s="9"/>
      <c r="T18" s="3"/>
    </row>
    <row r="19" ht="17.25" customHeight="1">
      <c r="A19" t="s" s="130">
        <v>39</v>
      </c>
      <c r="B19" s="17">
        <v>6</v>
      </c>
      <c r="C19" s="14">
        <v>0.286</v>
      </c>
      <c r="D19" s="17">
        <v>15</v>
      </c>
      <c r="E19" s="17">
        <v>14</v>
      </c>
      <c r="F19" s="17">
        <v>4</v>
      </c>
      <c r="G19" s="17" cm="1">
        <f t="array" ref="G19">F19-(H19+I19+J19)</f>
        <v>4</v>
      </c>
      <c r="H19" s="17">
        <v>0</v>
      </c>
      <c r="I19" s="17">
        <v>0</v>
      </c>
      <c r="J19" s="17">
        <v>0</v>
      </c>
      <c r="K19" s="17">
        <v>2</v>
      </c>
      <c r="L19" s="17">
        <v>3</v>
      </c>
      <c r="M19" s="17">
        <v>2</v>
      </c>
      <c r="N19" s="17">
        <v>0</v>
      </c>
      <c r="O19" s="17">
        <v>1</v>
      </c>
      <c r="P19" s="13" cm="1">
        <f t="array" ref="P19">(G19*1+H19*2+I19*3+J19*4)/E19</f>
        <v>0.285714285714286</v>
      </c>
      <c r="Q19" s="14">
        <v>0.267</v>
      </c>
      <c r="R19" s="15" cm="1">
        <f t="array" ref="R19">Q19+P19</f>
        <v>0.552714285714286</v>
      </c>
      <c r="S19" s="9"/>
      <c r="T19" s="3"/>
    </row>
    <row r="20" ht="17.25" customHeight="1">
      <c r="A20" t="s" s="130">
        <v>40</v>
      </c>
      <c r="B20" s="17">
        <v>5</v>
      </c>
      <c r="C20" s="14">
        <v>0.143</v>
      </c>
      <c r="D20" s="17">
        <v>8</v>
      </c>
      <c r="E20" s="17">
        <v>7</v>
      </c>
      <c r="F20" s="17">
        <v>1</v>
      </c>
      <c r="G20" s="17" cm="1">
        <f t="array" ref="G20">F20-(H20+I20+J20)</f>
        <v>1</v>
      </c>
      <c r="H20" s="17">
        <v>0</v>
      </c>
      <c r="I20" s="17">
        <v>0</v>
      </c>
      <c r="J20" s="17">
        <v>0</v>
      </c>
      <c r="K20" s="17">
        <v>1</v>
      </c>
      <c r="L20" s="17">
        <v>4</v>
      </c>
      <c r="M20" s="17">
        <v>2</v>
      </c>
      <c r="N20" s="17">
        <v>1</v>
      </c>
      <c r="O20" s="17">
        <v>3</v>
      </c>
      <c r="P20" s="13" cm="1">
        <f t="array" ref="P20">(G20*1+H20*2+I20*3+J20*4)/E20</f>
        <v>0.142857142857143</v>
      </c>
      <c r="Q20" s="14">
        <v>0.25</v>
      </c>
      <c r="R20" s="15" cm="1">
        <f t="array" ref="R20">Q20+P20</f>
        <v>0.392857142857143</v>
      </c>
      <c r="S20" s="9"/>
      <c r="T20" s="3"/>
    </row>
    <row r="21" ht="17.25" customHeight="1">
      <c r="A21" t="s" s="130">
        <v>41</v>
      </c>
      <c r="B21" s="17">
        <v>10</v>
      </c>
      <c r="C21" s="14">
        <v>0.304</v>
      </c>
      <c r="D21" s="17">
        <v>25</v>
      </c>
      <c r="E21" s="17">
        <v>23</v>
      </c>
      <c r="F21" s="17">
        <v>7</v>
      </c>
      <c r="G21" s="17" cm="1">
        <f t="array" ref="G21">F21-(H21+I21+J21)</f>
        <v>5</v>
      </c>
      <c r="H21" s="17">
        <v>1</v>
      </c>
      <c r="I21" s="17">
        <v>0</v>
      </c>
      <c r="J21" s="17">
        <v>1</v>
      </c>
      <c r="K21" s="17">
        <v>9</v>
      </c>
      <c r="L21" s="17">
        <v>5</v>
      </c>
      <c r="M21" s="17">
        <v>3</v>
      </c>
      <c r="N21" s="17">
        <v>2</v>
      </c>
      <c r="O21" s="17">
        <v>3</v>
      </c>
      <c r="P21" s="13" cm="1">
        <f t="array" ref="P21">(G21*1+H21*2+I21*3+J21*4)/E21</f>
        <v>0.478260869565217</v>
      </c>
      <c r="Q21" s="14">
        <v>0.36</v>
      </c>
      <c r="R21" s="15" cm="1">
        <f t="array" ref="R21">Q21+P21</f>
        <v>0.8382608695652169</v>
      </c>
      <c r="S21" s="9"/>
      <c r="T21" s="3"/>
    </row>
    <row r="22" ht="17.25" customHeight="1">
      <c r="A22" t="s" s="130">
        <v>42</v>
      </c>
      <c r="B22" s="17">
        <v>6</v>
      </c>
      <c r="C22" s="14">
        <v>0.571</v>
      </c>
      <c r="D22" s="17">
        <v>9</v>
      </c>
      <c r="E22" s="17">
        <v>7</v>
      </c>
      <c r="F22" s="17">
        <v>4</v>
      </c>
      <c r="G22" s="17" cm="1">
        <f t="array" ref="G22">F22-(H22+I22+J22)</f>
        <v>4</v>
      </c>
      <c r="H22" s="17">
        <v>0</v>
      </c>
      <c r="I22" s="17">
        <v>0</v>
      </c>
      <c r="J22" s="17">
        <v>0</v>
      </c>
      <c r="K22" s="17">
        <v>3</v>
      </c>
      <c r="L22" s="17">
        <v>0</v>
      </c>
      <c r="M22" s="17">
        <v>4</v>
      </c>
      <c r="N22" s="17">
        <v>2</v>
      </c>
      <c r="O22" s="17">
        <v>0</v>
      </c>
      <c r="P22" s="13" cm="1">
        <f t="array" ref="P22">(G22*1+H22*2+I22*3+J22*4)/E22</f>
        <v>0.571428571428571</v>
      </c>
      <c r="Q22" s="14">
        <v>0.667</v>
      </c>
      <c r="R22" s="15" cm="1">
        <f t="array" ref="R22">Q22+P22</f>
        <v>1.23842857142857</v>
      </c>
      <c r="S22" s="9"/>
      <c r="T22" s="3"/>
    </row>
    <row r="23" ht="17.25" customHeight="1">
      <c r="A23" t="s" s="130">
        <v>43</v>
      </c>
      <c r="B23" s="17">
        <v>5</v>
      </c>
      <c r="C23" s="14">
        <v>0.4</v>
      </c>
      <c r="D23" s="17">
        <v>14</v>
      </c>
      <c r="E23" s="17">
        <v>10</v>
      </c>
      <c r="F23" s="17">
        <v>4</v>
      </c>
      <c r="G23" s="17" cm="1">
        <f t="array" ref="G23">F23-(H23+I23+J23)</f>
        <v>4</v>
      </c>
      <c r="H23" s="17">
        <v>0</v>
      </c>
      <c r="I23" s="17">
        <v>0</v>
      </c>
      <c r="J23" s="17">
        <v>0</v>
      </c>
      <c r="K23" s="17">
        <v>4</v>
      </c>
      <c r="L23" s="17">
        <v>0</v>
      </c>
      <c r="M23" s="17">
        <v>4</v>
      </c>
      <c r="N23" s="17">
        <v>4</v>
      </c>
      <c r="O23" s="17">
        <v>2</v>
      </c>
      <c r="P23" s="13" cm="1">
        <f t="array" ref="P23">(G23*1+H23*2+I23*3+J23*4)/E23</f>
        <v>0.4</v>
      </c>
      <c r="Q23" s="14">
        <v>0.571</v>
      </c>
      <c r="R23" s="15" cm="1">
        <f t="array" ref="R23">Q23+P23</f>
        <v>0.971</v>
      </c>
      <c r="S23" s="9"/>
      <c r="T23" s="3"/>
    </row>
    <row r="24" ht="17.25" customHeight="1">
      <c r="A24" t="s" s="130">
        <v>44</v>
      </c>
      <c r="B24" s="17">
        <v>5</v>
      </c>
      <c r="C24" s="14">
        <v>0</v>
      </c>
      <c r="D24" s="17">
        <v>9</v>
      </c>
      <c r="E24" s="17">
        <v>7</v>
      </c>
      <c r="F24" s="17">
        <v>0</v>
      </c>
      <c r="G24" s="17" cm="1">
        <f t="array" ref="G24">F24-(H24+I24+J24)</f>
        <v>0</v>
      </c>
      <c r="H24" s="17">
        <v>0</v>
      </c>
      <c r="I24" s="17">
        <v>0</v>
      </c>
      <c r="J24" s="17">
        <v>0</v>
      </c>
      <c r="K24" s="17">
        <v>1</v>
      </c>
      <c r="L24" s="17">
        <v>0</v>
      </c>
      <c r="M24" s="17">
        <v>0</v>
      </c>
      <c r="N24" s="17">
        <v>2</v>
      </c>
      <c r="O24" s="17">
        <v>1</v>
      </c>
      <c r="P24" s="14">
        <v>0</v>
      </c>
      <c r="Q24" s="14">
        <v>0.222</v>
      </c>
      <c r="R24" s="15" cm="1">
        <f t="array" ref="R24">Q24+P24</f>
        <v>0.222</v>
      </c>
      <c r="S24" s="9"/>
      <c r="T24" s="3"/>
    </row>
    <row r="25" ht="17.25" customHeight="1">
      <c r="A25" t="s" s="29">
        <v>45</v>
      </c>
      <c r="B25" s="124"/>
      <c r="C25" s="127" cm="1">
        <f t="array" ref="C25">F25/E25</f>
        <v>0.357487922705314</v>
      </c>
      <c r="D25" s="49" cm="1">
        <f t="array" ref="D25">SUM(D4:D24)</f>
        <v>256</v>
      </c>
      <c r="E25" s="49" cm="1">
        <f t="array" ref="E25">SUM(E4:E24)</f>
        <v>207</v>
      </c>
      <c r="F25" s="49" cm="1">
        <f t="array" ref="F25">SUM(F4:F24)</f>
        <v>74</v>
      </c>
      <c r="G25" s="49" cm="1">
        <f t="array" ref="G25">SUM(G4:G24)</f>
        <v>59</v>
      </c>
      <c r="H25" s="49" cm="1">
        <f t="array" ref="H25">SUM(H4:H24)</f>
        <v>9</v>
      </c>
      <c r="I25" s="49" cm="1">
        <f t="array" ref="I25">SUM(I4:I24)</f>
        <v>3</v>
      </c>
      <c r="J25" s="49" cm="1">
        <f t="array" ref="J25">SUM(J4:J24)</f>
        <v>3</v>
      </c>
      <c r="K25" s="49" cm="1">
        <f t="array" ref="K25">SUM(K4:K24)</f>
        <v>75</v>
      </c>
      <c r="L25" s="49" cm="1">
        <f t="array" ref="L25">SUM(L4:L24)</f>
        <v>55</v>
      </c>
      <c r="M25" s="49" cm="1">
        <f t="array" ref="M25">SUM(M4:M24)</f>
        <v>60</v>
      </c>
      <c r="N25" s="49" cm="1">
        <f t="array" ref="N25">SUM(N4:N24)</f>
        <v>46</v>
      </c>
      <c r="O25" s="49" cm="1">
        <f t="array" ref="O25">SUM(O4:O24)</f>
        <v>34</v>
      </c>
      <c r="P25" s="127"/>
      <c r="Q25" s="127"/>
      <c r="R25" s="121"/>
      <c r="S25" s="9"/>
      <c r="T25" s="3"/>
    </row>
    <row r="26" ht="16.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"/>
      <c r="T26" s="3"/>
    </row>
    <row r="27" ht="17.25" customHeight="1">
      <c r="A27" t="s" s="5">
        <v>46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3"/>
      <c r="R27" s="3"/>
      <c r="S27" s="3"/>
      <c r="T27" s="3"/>
    </row>
    <row r="28" ht="17.25" customHeight="1">
      <c r="A28" t="s" s="130">
        <v>101</v>
      </c>
      <c r="B28" t="s" s="130">
        <v>102</v>
      </c>
      <c r="C28" t="s" s="130">
        <v>47</v>
      </c>
      <c r="D28" t="s" s="130">
        <v>48</v>
      </c>
      <c r="E28" t="s" s="130">
        <v>49</v>
      </c>
      <c r="F28" t="s" s="130">
        <v>50</v>
      </c>
      <c r="G28" t="s" s="130">
        <v>6</v>
      </c>
      <c r="H28" t="s" s="130">
        <v>51</v>
      </c>
      <c r="I28" t="s" s="130">
        <v>52</v>
      </c>
      <c r="J28" t="s" s="130">
        <v>53</v>
      </c>
      <c r="K28" t="s" s="130">
        <v>103</v>
      </c>
      <c r="L28" t="s" s="130">
        <v>104</v>
      </c>
      <c r="M28" t="s" s="130">
        <v>16</v>
      </c>
      <c r="N28" t="s" s="130">
        <v>57</v>
      </c>
      <c r="O28" t="s" s="130">
        <v>105</v>
      </c>
      <c r="P28" t="s" s="130">
        <v>59</v>
      </c>
      <c r="Q28" s="9"/>
      <c r="R28" s="3"/>
      <c r="S28" s="3"/>
      <c r="T28" s="3"/>
    </row>
    <row r="29" ht="17.25" customHeight="1">
      <c r="A29" t="s" s="130">
        <v>24</v>
      </c>
      <c r="B29" s="17">
        <v>3</v>
      </c>
      <c r="C29" s="17">
        <v>0</v>
      </c>
      <c r="D29" s="17">
        <v>0</v>
      </c>
      <c r="E29" s="17">
        <v>0</v>
      </c>
      <c r="F29" s="17">
        <v>12</v>
      </c>
      <c r="G29" s="17" cm="1">
        <f t="array" ref="G29">F29-K29-L29</f>
        <v>7</v>
      </c>
      <c r="H29" s="131">
        <v>0.666666666</v>
      </c>
      <c r="I29" s="17">
        <v>2</v>
      </c>
      <c r="J29" s="17">
        <v>0</v>
      </c>
      <c r="K29" s="17">
        <v>5</v>
      </c>
      <c r="L29" s="17">
        <v>0</v>
      </c>
      <c r="M29" s="17">
        <v>1</v>
      </c>
      <c r="N29" s="17">
        <v>4</v>
      </c>
      <c r="O29" s="17">
        <v>1</v>
      </c>
      <c r="P29" s="132" cm="1">
        <f t="array" ref="P29">O29*9/H29</f>
        <v>13.5000000135</v>
      </c>
      <c r="Q29" s="9"/>
      <c r="R29" s="3"/>
      <c r="S29" s="3"/>
      <c r="T29" s="3"/>
    </row>
    <row r="30" ht="17.25" customHeight="1">
      <c r="A30" t="s" s="130">
        <v>29</v>
      </c>
      <c r="B30" s="17">
        <v>5</v>
      </c>
      <c r="C30" s="17">
        <v>1</v>
      </c>
      <c r="D30" s="17">
        <v>1</v>
      </c>
      <c r="E30" s="17">
        <v>0</v>
      </c>
      <c r="F30" s="17">
        <v>85</v>
      </c>
      <c r="G30" s="17" cm="1">
        <f t="array" ref="G30">F30-K30-L30</f>
        <v>64</v>
      </c>
      <c r="H30" s="131">
        <v>10.33333333</v>
      </c>
      <c r="I30" s="17">
        <v>27</v>
      </c>
      <c r="J30" s="17">
        <v>3</v>
      </c>
      <c r="K30" s="17">
        <v>17</v>
      </c>
      <c r="L30" s="17">
        <v>4</v>
      </c>
      <c r="M30" s="17">
        <v>7</v>
      </c>
      <c r="N30" s="17">
        <v>36</v>
      </c>
      <c r="O30" s="17">
        <v>27</v>
      </c>
      <c r="P30" s="132" cm="1">
        <f t="array" ref="P30">O30*9/H30</f>
        <v>23.5161290398439</v>
      </c>
      <c r="Q30" s="9"/>
      <c r="R30" s="3"/>
      <c r="S30" s="3"/>
      <c r="T30" s="3"/>
    </row>
    <row r="31" ht="17.25" customHeight="1">
      <c r="A31" t="s" s="130">
        <v>33</v>
      </c>
      <c r="B31" s="17">
        <v>6</v>
      </c>
      <c r="C31" s="17">
        <v>0</v>
      </c>
      <c r="D31" s="17">
        <v>2</v>
      </c>
      <c r="E31" s="17">
        <v>0</v>
      </c>
      <c r="F31" s="17">
        <v>54</v>
      </c>
      <c r="G31" s="17" cm="1">
        <f t="array" ref="G31">F31-K31-L31</f>
        <v>49</v>
      </c>
      <c r="H31" s="131">
        <v>9.333333333330</v>
      </c>
      <c r="I31" s="17">
        <v>13</v>
      </c>
      <c r="J31" s="17">
        <v>0</v>
      </c>
      <c r="K31" s="17">
        <v>5</v>
      </c>
      <c r="L31" s="17">
        <v>0</v>
      </c>
      <c r="M31" s="17">
        <v>17</v>
      </c>
      <c r="N31" s="17">
        <v>12</v>
      </c>
      <c r="O31" s="17">
        <v>4</v>
      </c>
      <c r="P31" s="132" cm="1">
        <f t="array" ref="P31">O31*9/H31</f>
        <v>3.85714285714423</v>
      </c>
      <c r="Q31" s="9"/>
      <c r="R31" s="3"/>
      <c r="S31" s="3"/>
      <c r="T31" s="3"/>
    </row>
    <row r="32" ht="17.25" customHeight="1">
      <c r="A32" t="s" s="130">
        <v>36</v>
      </c>
      <c r="B32" s="17">
        <v>3</v>
      </c>
      <c r="C32" s="17">
        <v>0</v>
      </c>
      <c r="D32" s="17">
        <v>1</v>
      </c>
      <c r="E32" s="17">
        <v>0</v>
      </c>
      <c r="F32" s="17">
        <v>33</v>
      </c>
      <c r="G32" s="17" cm="1">
        <f t="array" ref="G32">F32-K32-L32</f>
        <v>25</v>
      </c>
      <c r="H32" s="131">
        <v>4.6666666666</v>
      </c>
      <c r="I32" s="17">
        <v>7</v>
      </c>
      <c r="J32" s="17">
        <v>0</v>
      </c>
      <c r="K32" s="17">
        <v>8</v>
      </c>
      <c r="L32" s="17">
        <v>0</v>
      </c>
      <c r="M32" s="17">
        <v>2</v>
      </c>
      <c r="N32" s="17">
        <v>11</v>
      </c>
      <c r="O32" s="17">
        <v>5</v>
      </c>
      <c r="P32" s="132" cm="1">
        <f t="array" ref="P32">O32*9/H32</f>
        <v>9.642857142994901</v>
      </c>
      <c r="Q32" s="9"/>
      <c r="R32" s="3"/>
      <c r="S32" s="3"/>
      <c r="T32" s="3"/>
    </row>
    <row r="33" ht="17.25" customHeight="1">
      <c r="A33" t="s" s="130">
        <v>42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 cm="1">
        <f t="array" ref="G33">F33-K33-L33</f>
        <v>0</v>
      </c>
      <c r="H33" s="131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32">
        <v>0</v>
      </c>
      <c r="Q33" s="9"/>
      <c r="R33" s="3"/>
      <c r="S33" s="3"/>
      <c r="T33" s="3"/>
    </row>
    <row r="34" ht="17.25" customHeight="1">
      <c r="A34" t="s" s="130">
        <v>43</v>
      </c>
      <c r="B34" s="17">
        <v>6</v>
      </c>
      <c r="C34" s="17">
        <v>2</v>
      </c>
      <c r="D34" s="17">
        <v>2</v>
      </c>
      <c r="E34" s="17">
        <v>0</v>
      </c>
      <c r="F34" s="17">
        <v>97</v>
      </c>
      <c r="G34" s="17" cm="1">
        <f t="array" ref="G34">F34-K34-L34</f>
        <v>74</v>
      </c>
      <c r="H34" s="131">
        <v>14.33333333</v>
      </c>
      <c r="I34" s="17">
        <v>27</v>
      </c>
      <c r="J34" s="17">
        <v>0</v>
      </c>
      <c r="K34" s="17">
        <v>17</v>
      </c>
      <c r="L34" s="17">
        <v>6</v>
      </c>
      <c r="M34" s="17">
        <v>16</v>
      </c>
      <c r="N34" s="17">
        <v>32</v>
      </c>
      <c r="O34" s="17">
        <v>27</v>
      </c>
      <c r="P34" s="132" cm="1">
        <f t="array" ref="P34">O34*9/H34</f>
        <v>16.9534883760357</v>
      </c>
      <c r="Q34" s="9"/>
      <c r="R34" s="3"/>
      <c r="S34" s="3"/>
      <c r="T34" s="3"/>
    </row>
    <row r="35" ht="17.25" customHeight="1">
      <c r="A35" t="s" s="29">
        <v>45</v>
      </c>
      <c r="B35" s="124"/>
      <c r="C35" s="49" cm="1">
        <f t="array" ref="C35">SUM(C29:C34)</f>
        <v>3</v>
      </c>
      <c r="D35" s="49" cm="1">
        <f t="array" ref="D35">SUM(D29:D34)</f>
        <v>6</v>
      </c>
      <c r="E35" s="49" cm="1">
        <f t="array" ref="E35">SUM(E29:E34)</f>
        <v>0</v>
      </c>
      <c r="F35" s="49" cm="1">
        <f t="array" ref="F35">SUM(F29:F34)</f>
        <v>281</v>
      </c>
      <c r="G35" s="49" cm="1">
        <f t="array" ref="G35">SUM(G29:G34)</f>
        <v>219</v>
      </c>
      <c r="H35" s="50" cm="1">
        <f t="array" ref="H35">SUM(H29:H34)</f>
        <v>39.333333325930</v>
      </c>
      <c r="I35" s="49" cm="1">
        <f t="array" ref="I35">SUM(I29:I34)</f>
        <v>76</v>
      </c>
      <c r="J35" s="49" cm="1">
        <f t="array" ref="J35">SUM(J29:J34)</f>
        <v>3</v>
      </c>
      <c r="K35" s="49" cm="1">
        <f t="array" ref="K35">SUM(K29:K34)</f>
        <v>52</v>
      </c>
      <c r="L35" s="49" cm="1">
        <f t="array" ref="L35">SUM(L29:L34)</f>
        <v>10</v>
      </c>
      <c r="M35" s="49" cm="1">
        <f t="array" ref="M35">SUM(M29:M34)</f>
        <v>43</v>
      </c>
      <c r="N35" s="49" cm="1">
        <f t="array" ref="N35">SUM(N29:N34)</f>
        <v>95</v>
      </c>
      <c r="O35" s="49" cm="1">
        <f t="array" ref="O35">SUM(O29:O34)</f>
        <v>64</v>
      </c>
      <c r="P35" s="133" cm="1">
        <f t="array" ref="P35">O35*9/H35</f>
        <v>14.6440677993665</v>
      </c>
      <c r="Q35" s="9"/>
      <c r="R35" s="3"/>
      <c r="S35" s="3"/>
      <c r="T35" s="3"/>
    </row>
  </sheetData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R36"/>
  <sheetViews>
    <sheetView workbookViewId="0" showGridLines="0" defaultGridColor="1"/>
  </sheetViews>
  <sheetFormatPr defaultColWidth="9" defaultRowHeight="16.5" customHeight="1" outlineLevelRow="0" outlineLevelCol="0"/>
  <cols>
    <col min="1" max="18" width="8.17188" style="134" customWidth="1"/>
    <col min="19" max="16384" width="9" style="134" customWidth="1"/>
  </cols>
  <sheetData>
    <row r="1" ht="26.25" customHeight="1">
      <c r="A1" t="s" s="2">
        <v>106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ht="17.25" customHeight="1">
      <c r="A3" t="s" s="8">
        <v>101</v>
      </c>
      <c r="B3" t="s" s="8">
        <v>102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18</v>
      </c>
      <c r="Q3" t="s" s="8">
        <v>19</v>
      </c>
      <c r="R3" t="s" s="8">
        <v>20</v>
      </c>
    </row>
    <row r="4" ht="17.25" customHeight="1">
      <c r="A4" t="s" s="8">
        <v>24</v>
      </c>
      <c r="B4" s="10">
        <v>1</v>
      </c>
      <c r="C4" s="13">
        <v>0</v>
      </c>
      <c r="D4" s="10">
        <v>0</v>
      </c>
      <c r="E4" s="10">
        <v>0</v>
      </c>
      <c r="F4" s="10">
        <v>0</v>
      </c>
      <c r="G4" s="10" cm="1">
        <f t="array" ref="G4">F4-(H4+I4+J4)</f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3">
        <v>0</v>
      </c>
      <c r="Q4" s="13">
        <v>0</v>
      </c>
      <c r="R4" s="15" cm="1">
        <f t="array" ref="R4">Q4+P4</f>
        <v>0</v>
      </c>
    </row>
    <row r="5" ht="17.25" customHeight="1">
      <c r="A5" t="s" s="8">
        <v>25</v>
      </c>
      <c r="B5" s="10">
        <v>4</v>
      </c>
      <c r="C5" s="13" cm="1">
        <f t="array" ref="C5">F5/E5</f>
        <v>0</v>
      </c>
      <c r="D5" s="10">
        <v>4</v>
      </c>
      <c r="E5" s="10">
        <v>3</v>
      </c>
      <c r="F5" s="10">
        <v>0</v>
      </c>
      <c r="G5" s="10" cm="1">
        <f t="array" ref="G5">F5-(H5+I5+J5)</f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3" cm="1">
        <f t="array" ref="P5">(G5*1+H5*2+I5*3+J5*4)/E5</f>
        <v>0</v>
      </c>
      <c r="Q5" s="13">
        <v>0</v>
      </c>
      <c r="R5" s="15" cm="1">
        <f t="array" ref="R5">Q5+P5</f>
        <v>0</v>
      </c>
    </row>
    <row r="6" ht="17.25" customHeight="1">
      <c r="A6" t="s" s="8">
        <v>26</v>
      </c>
      <c r="B6" s="10">
        <v>5</v>
      </c>
      <c r="C6" s="13" cm="1">
        <f t="array" ref="C6">F6/E6</f>
        <v>0.444444444444444</v>
      </c>
      <c r="D6" s="10">
        <v>11</v>
      </c>
      <c r="E6" s="10">
        <v>9</v>
      </c>
      <c r="F6" s="10">
        <v>4</v>
      </c>
      <c r="G6" s="10" cm="1">
        <f t="array" ref="G6">F6-(H6+I6+J6)</f>
        <v>4</v>
      </c>
      <c r="H6" s="10">
        <v>0</v>
      </c>
      <c r="I6" s="10">
        <v>0</v>
      </c>
      <c r="J6" s="10">
        <v>0</v>
      </c>
      <c r="K6" s="10">
        <v>4</v>
      </c>
      <c r="L6" s="10">
        <v>3</v>
      </c>
      <c r="M6" s="10">
        <v>3</v>
      </c>
      <c r="N6" s="10">
        <v>0</v>
      </c>
      <c r="O6" s="10">
        <v>0</v>
      </c>
      <c r="P6" s="13" cm="1">
        <f t="array" ref="P6">(G6*1+H6*2+I6*3+J6*4)/E6</f>
        <v>0.444444444444444</v>
      </c>
      <c r="Q6" s="13">
        <v>0.5</v>
      </c>
      <c r="R6" s="15" cm="1">
        <f t="array" ref="R6">Q6+P6</f>
        <v>0.944444444444444</v>
      </c>
    </row>
    <row r="7" ht="17.25" customHeight="1">
      <c r="A7" t="s" s="8">
        <v>27</v>
      </c>
      <c r="B7" s="10">
        <v>0</v>
      </c>
      <c r="C7" s="13">
        <v>0</v>
      </c>
      <c r="D7" s="10">
        <v>0</v>
      </c>
      <c r="E7" s="10">
        <v>0</v>
      </c>
      <c r="F7" s="10">
        <v>0</v>
      </c>
      <c r="G7" s="10" cm="1">
        <f t="array" ref="G7">F7-(H7+I7+J7)</f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3">
        <v>0</v>
      </c>
      <c r="Q7" s="13">
        <v>0</v>
      </c>
      <c r="R7" s="15" cm="1">
        <f t="array" ref="R7">Q7+P7</f>
        <v>0</v>
      </c>
    </row>
    <row r="8" ht="17.25" customHeight="1">
      <c r="A8" t="s" s="8">
        <v>28</v>
      </c>
      <c r="B8" s="10">
        <v>5</v>
      </c>
      <c r="C8" s="13" cm="1">
        <f t="array" ref="C8">F8/E8</f>
        <v>0.333333333333333</v>
      </c>
      <c r="D8" s="10">
        <v>10</v>
      </c>
      <c r="E8" s="10">
        <v>9</v>
      </c>
      <c r="F8" s="10">
        <v>3</v>
      </c>
      <c r="G8" s="10" cm="1">
        <f t="array" ref="G8">F8-(H8+I8+J8)</f>
        <v>2</v>
      </c>
      <c r="H8" s="10">
        <v>1</v>
      </c>
      <c r="I8" s="10">
        <v>0</v>
      </c>
      <c r="J8" s="10">
        <v>0</v>
      </c>
      <c r="K8" s="10">
        <v>1</v>
      </c>
      <c r="L8" s="10">
        <v>4</v>
      </c>
      <c r="M8" s="10">
        <v>1</v>
      </c>
      <c r="N8" s="10">
        <v>0</v>
      </c>
      <c r="O8" s="10">
        <v>4</v>
      </c>
      <c r="P8" s="13" cm="1">
        <f t="array" ref="P8">(G8*1+H8*2+I8*3+J8*4)/E8</f>
        <v>0.444444444444444</v>
      </c>
      <c r="Q8" s="13">
        <v>0.364</v>
      </c>
      <c r="R8" s="15" cm="1">
        <f t="array" ref="R8">Q8+P8</f>
        <v>0.808444444444444</v>
      </c>
    </row>
    <row r="9" ht="17.25" customHeight="1">
      <c r="A9" t="s" s="8">
        <v>29</v>
      </c>
      <c r="B9" s="10">
        <v>2</v>
      </c>
      <c r="C9" s="13" cm="1">
        <f t="array" ref="C9">F9/E9</f>
        <v>0.333333333333333</v>
      </c>
      <c r="D9" s="10">
        <v>3</v>
      </c>
      <c r="E9" s="10">
        <v>3</v>
      </c>
      <c r="F9" s="10">
        <v>1</v>
      </c>
      <c r="G9" s="10" cm="1">
        <f t="array" ref="G9">F9-(H9+I9+J9)</f>
        <v>1</v>
      </c>
      <c r="H9" s="10">
        <v>0</v>
      </c>
      <c r="I9" s="10">
        <v>0</v>
      </c>
      <c r="J9" s="10">
        <v>0</v>
      </c>
      <c r="K9" s="10">
        <v>1</v>
      </c>
      <c r="L9" s="10">
        <v>1</v>
      </c>
      <c r="M9" s="10">
        <v>0</v>
      </c>
      <c r="N9" s="10">
        <v>0</v>
      </c>
      <c r="O9" s="10">
        <v>1</v>
      </c>
      <c r="P9" s="13" cm="1">
        <f t="array" ref="P9">(G9*1+H9*2+I9*3+J9*4)/E9</f>
        <v>0.333333333333333</v>
      </c>
      <c r="Q9" s="13">
        <v>0.4</v>
      </c>
      <c r="R9" s="15" cm="1">
        <f t="array" ref="R9">Q9+P9</f>
        <v>0.7333333333333329</v>
      </c>
    </row>
    <row r="10" ht="17.25" customHeight="1">
      <c r="A10" t="s" s="8">
        <v>30</v>
      </c>
      <c r="B10" s="10">
        <v>5</v>
      </c>
      <c r="C10" s="13" cm="1">
        <f t="array" ref="C10">F10/E10</f>
        <v>0.583333333333333</v>
      </c>
      <c r="D10" s="10">
        <v>14</v>
      </c>
      <c r="E10" s="10">
        <v>12</v>
      </c>
      <c r="F10" s="10">
        <v>7</v>
      </c>
      <c r="G10" s="10" cm="1">
        <f t="array" ref="G10">F10-(H10+I10+J10)</f>
        <v>5</v>
      </c>
      <c r="H10" s="10">
        <v>1</v>
      </c>
      <c r="I10" s="10">
        <v>1</v>
      </c>
      <c r="J10" s="10">
        <v>0</v>
      </c>
      <c r="K10" s="10">
        <v>6</v>
      </c>
      <c r="L10" s="10">
        <v>3</v>
      </c>
      <c r="M10" s="10">
        <v>9</v>
      </c>
      <c r="N10" s="10">
        <v>0</v>
      </c>
      <c r="O10" s="10">
        <v>1</v>
      </c>
      <c r="P10" s="13" cm="1">
        <f t="array" ref="P10">(G10*1+H10*2+I10*3+J10*4)/E10</f>
        <v>0.833333333333333</v>
      </c>
      <c r="Q10" s="13">
        <v>0.5629999999999999</v>
      </c>
      <c r="R10" s="15" cm="1">
        <f t="array" ref="R10">Q10+P10</f>
        <v>1.39633333333333</v>
      </c>
    </row>
    <row r="11" ht="17.25" customHeight="1">
      <c r="A11" t="s" s="8">
        <v>31</v>
      </c>
      <c r="B11" s="10">
        <v>1</v>
      </c>
      <c r="C11" s="13" cm="1">
        <f t="array" ref="C11">F11/E11</f>
        <v>0</v>
      </c>
      <c r="D11" s="10">
        <v>2</v>
      </c>
      <c r="E11" s="10">
        <v>2</v>
      </c>
      <c r="F11" s="10">
        <v>0</v>
      </c>
      <c r="G11" s="10" cm="1">
        <f t="array" ref="G11">F11-(H11+I11+J11)</f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3" cm="1">
        <f t="array" ref="P11">(G11*1+H11*2+I11*3+J11*4)/E11</f>
        <v>0</v>
      </c>
      <c r="Q11" s="13">
        <v>0</v>
      </c>
      <c r="R11" s="15" cm="1">
        <f t="array" ref="R11">Q11+P11</f>
        <v>0</v>
      </c>
    </row>
    <row r="12" ht="17.25" customHeight="1">
      <c r="A12" t="s" s="8">
        <v>32</v>
      </c>
      <c r="B12" s="10">
        <v>3</v>
      </c>
      <c r="C12" s="13" cm="1">
        <f t="array" ref="C12">F12/E12</f>
        <v>0</v>
      </c>
      <c r="D12" s="10">
        <v>6</v>
      </c>
      <c r="E12" s="10">
        <v>3</v>
      </c>
      <c r="F12" s="10">
        <v>0</v>
      </c>
      <c r="G12" s="10" cm="1">
        <f t="array" ref="G12">F12-(H12+I12+J12)</f>
        <v>0</v>
      </c>
      <c r="H12" s="10">
        <v>0</v>
      </c>
      <c r="I12" s="10">
        <v>0</v>
      </c>
      <c r="J12" s="10">
        <v>0</v>
      </c>
      <c r="K12" s="10">
        <v>1</v>
      </c>
      <c r="L12" s="10">
        <v>1</v>
      </c>
      <c r="M12" s="10">
        <v>0</v>
      </c>
      <c r="N12" s="10">
        <v>0</v>
      </c>
      <c r="O12" s="10">
        <v>1</v>
      </c>
      <c r="P12" s="13" cm="1">
        <f t="array" ref="P12">(G12*1+H12*2+I12*3+J12*4)/E12</f>
        <v>0</v>
      </c>
      <c r="Q12" s="13">
        <v>0.167</v>
      </c>
      <c r="R12" s="15" cm="1">
        <f t="array" ref="R12">Q12+P12</f>
        <v>0.167</v>
      </c>
    </row>
    <row r="13" ht="17.25" customHeight="1">
      <c r="A13" t="s" s="8">
        <v>33</v>
      </c>
      <c r="B13" s="10">
        <v>4</v>
      </c>
      <c r="C13" s="13" cm="1">
        <f t="array" ref="C13">F13/E13</f>
        <v>0.833333333333333</v>
      </c>
      <c r="D13" s="10">
        <v>12</v>
      </c>
      <c r="E13" s="10">
        <v>12</v>
      </c>
      <c r="F13" s="10">
        <v>10</v>
      </c>
      <c r="G13" s="10" cm="1">
        <f t="array" ref="G13">F13-(H13+I13+J13)</f>
        <v>6</v>
      </c>
      <c r="H13" s="10">
        <v>4</v>
      </c>
      <c r="I13" s="10">
        <v>0</v>
      </c>
      <c r="J13" s="10">
        <v>0</v>
      </c>
      <c r="K13" s="10">
        <v>5</v>
      </c>
      <c r="L13" s="10">
        <v>1</v>
      </c>
      <c r="M13" s="10">
        <v>3</v>
      </c>
      <c r="N13" s="10">
        <v>0</v>
      </c>
      <c r="O13" s="10">
        <v>0</v>
      </c>
      <c r="P13" s="13" cm="1">
        <f t="array" ref="P13">(G13*1+H13*2+I13*3+J13*4)/E13</f>
        <v>1.16666666666667</v>
      </c>
      <c r="Q13" s="13">
        <v>0.846</v>
      </c>
      <c r="R13" s="15" cm="1">
        <f t="array" ref="R13">Q13+P13</f>
        <v>2.01266666666667</v>
      </c>
    </row>
    <row r="14" ht="17.25" customHeight="1">
      <c r="A14" t="s" s="8">
        <v>34</v>
      </c>
      <c r="B14" s="10">
        <v>0</v>
      </c>
      <c r="C14" s="13">
        <v>0</v>
      </c>
      <c r="D14" s="10">
        <v>0</v>
      </c>
      <c r="E14" s="10">
        <v>0</v>
      </c>
      <c r="F14" s="10">
        <v>0</v>
      </c>
      <c r="G14" s="10" cm="1">
        <f t="array" ref="G14">F14-(H14+I14+J14)</f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3">
        <v>0</v>
      </c>
      <c r="Q14" s="13">
        <v>0</v>
      </c>
      <c r="R14" s="15" cm="1">
        <f t="array" ref="R14">Q14+P14</f>
        <v>0</v>
      </c>
    </row>
    <row r="15" ht="17.25" customHeight="1">
      <c r="A15" t="s" s="8">
        <v>35</v>
      </c>
      <c r="B15" s="10">
        <v>1</v>
      </c>
      <c r="C15" s="13" cm="1">
        <f t="array" ref="C15">F15/E15</f>
        <v>0</v>
      </c>
      <c r="D15" s="10">
        <v>3</v>
      </c>
      <c r="E15" s="10">
        <v>1</v>
      </c>
      <c r="F15" s="10">
        <v>0</v>
      </c>
      <c r="G15" s="10" cm="1">
        <f t="array" ref="G15">F15-(H15+I15+J15)</f>
        <v>0</v>
      </c>
      <c r="H15" s="10">
        <v>0</v>
      </c>
      <c r="I15" s="10">
        <v>0</v>
      </c>
      <c r="J15" s="10">
        <v>0</v>
      </c>
      <c r="K15" s="10">
        <v>1</v>
      </c>
      <c r="L15" s="10">
        <v>1</v>
      </c>
      <c r="M15" s="10">
        <v>0</v>
      </c>
      <c r="N15" s="10">
        <v>0</v>
      </c>
      <c r="O15" s="10">
        <v>0</v>
      </c>
      <c r="P15" s="13" cm="1">
        <f t="array" ref="P15">(G15*1+H15*2+I15*3+J15*4)/E15</f>
        <v>0</v>
      </c>
      <c r="Q15" s="13">
        <v>0</v>
      </c>
      <c r="R15" s="15" cm="1">
        <f t="array" ref="R15">Q15+P15</f>
        <v>0</v>
      </c>
    </row>
    <row r="16" ht="17.25" customHeight="1">
      <c r="A16" t="s" s="8">
        <v>36</v>
      </c>
      <c r="B16" s="10">
        <v>2</v>
      </c>
      <c r="C16" s="13" cm="1">
        <f t="array" ref="C16">F16/E16</f>
        <v>0.666666666666667</v>
      </c>
      <c r="D16" s="10">
        <v>3</v>
      </c>
      <c r="E16" s="10">
        <v>3</v>
      </c>
      <c r="F16" s="10">
        <v>2</v>
      </c>
      <c r="G16" s="10" cm="1">
        <f t="array" ref="G16">F16-(H16+I16+J16)</f>
        <v>1</v>
      </c>
      <c r="H16" s="10">
        <v>1</v>
      </c>
      <c r="I16" s="10">
        <v>0</v>
      </c>
      <c r="J16" s="10">
        <v>0</v>
      </c>
      <c r="K16" s="10">
        <v>1</v>
      </c>
      <c r="L16" s="10">
        <v>2</v>
      </c>
      <c r="M16" s="10">
        <v>1</v>
      </c>
      <c r="N16" s="10">
        <v>0</v>
      </c>
      <c r="O16" s="10">
        <v>1</v>
      </c>
      <c r="P16" s="13" cm="1">
        <f t="array" ref="P16">(G16*1+H16*2+I16*3+J16*4)/E16</f>
        <v>1</v>
      </c>
      <c r="Q16" s="13">
        <v>0.667</v>
      </c>
      <c r="R16" s="15" cm="1">
        <f t="array" ref="R16">Q16+P16</f>
        <v>1.667</v>
      </c>
    </row>
    <row r="17" ht="17.25" customHeight="1">
      <c r="A17" t="s" s="8">
        <v>37</v>
      </c>
      <c r="B17" s="10">
        <v>2</v>
      </c>
      <c r="C17" s="13" cm="1">
        <f t="array" ref="C17">F17/E17</f>
        <v>0.428571428571429</v>
      </c>
      <c r="D17" s="10">
        <v>7</v>
      </c>
      <c r="E17" s="10">
        <v>7</v>
      </c>
      <c r="F17" s="10">
        <v>3</v>
      </c>
      <c r="G17" s="10" cm="1">
        <f t="array" ref="G17">F17-(H17+I17+J17)</f>
        <v>2</v>
      </c>
      <c r="H17" s="10">
        <v>1</v>
      </c>
      <c r="I17" s="10">
        <v>0</v>
      </c>
      <c r="J17" s="10">
        <v>0</v>
      </c>
      <c r="K17" s="10">
        <v>1</v>
      </c>
      <c r="L17" s="10">
        <v>2</v>
      </c>
      <c r="M17" s="10">
        <v>0</v>
      </c>
      <c r="N17" s="10">
        <v>0</v>
      </c>
      <c r="O17" s="10">
        <v>3</v>
      </c>
      <c r="P17" s="13" cm="1">
        <f t="array" ref="P17">(G17*1+H17*2+I17*3+J17*4)/E17</f>
        <v>0.571428571428571</v>
      </c>
      <c r="Q17" s="13">
        <v>0</v>
      </c>
      <c r="R17" s="15" cm="1">
        <f t="array" ref="R17">Q17+P17</f>
        <v>0.571428571428571</v>
      </c>
    </row>
    <row r="18" ht="17.25" customHeight="1">
      <c r="A18" t="s" s="8">
        <v>38</v>
      </c>
      <c r="B18" s="10">
        <v>3</v>
      </c>
      <c r="C18" s="13" cm="1">
        <f t="array" ref="C18">F18/E18</f>
        <v>0.4</v>
      </c>
      <c r="D18" s="10">
        <v>6</v>
      </c>
      <c r="E18" s="10">
        <v>5</v>
      </c>
      <c r="F18" s="10">
        <v>2</v>
      </c>
      <c r="G18" s="10" cm="1">
        <f t="array" ref="G18">F18-(H18+I18+J18)</f>
        <v>1</v>
      </c>
      <c r="H18" s="10">
        <v>0</v>
      </c>
      <c r="I18" s="10">
        <v>1</v>
      </c>
      <c r="J18" s="10">
        <v>0</v>
      </c>
      <c r="K18" s="10">
        <v>2</v>
      </c>
      <c r="L18" s="10">
        <v>1</v>
      </c>
      <c r="M18" s="10">
        <v>2</v>
      </c>
      <c r="N18" s="10">
        <v>0</v>
      </c>
      <c r="O18" s="10">
        <v>1</v>
      </c>
      <c r="P18" s="13" cm="1">
        <f t="array" ref="P18">(G18*1+H18*2+I18*3+J18*4)/E18</f>
        <v>0.8</v>
      </c>
      <c r="Q18" s="13">
        <v>0.385</v>
      </c>
      <c r="R18" s="15" cm="1">
        <f t="array" ref="R18">Q18+P18</f>
        <v>1.185</v>
      </c>
    </row>
    <row r="19" ht="17.25" customHeight="1">
      <c r="A19" t="s" s="8">
        <v>39</v>
      </c>
      <c r="B19" s="10">
        <v>2</v>
      </c>
      <c r="C19" s="13" cm="1">
        <f t="array" ref="C19">F19/E19</f>
        <v>0.5</v>
      </c>
      <c r="D19" s="10">
        <v>4</v>
      </c>
      <c r="E19" s="10">
        <v>4</v>
      </c>
      <c r="F19" s="10">
        <v>2</v>
      </c>
      <c r="G19" s="10" cm="1">
        <f t="array" ref="G19">F19-(H19+I19+J19)</f>
        <v>2</v>
      </c>
      <c r="H19" s="10">
        <v>0</v>
      </c>
      <c r="I19" s="10">
        <v>0</v>
      </c>
      <c r="J19" s="10">
        <v>0</v>
      </c>
      <c r="K19" s="10">
        <v>2</v>
      </c>
      <c r="L19" s="10">
        <v>1</v>
      </c>
      <c r="M19" s="10">
        <v>1</v>
      </c>
      <c r="N19" s="10">
        <v>0</v>
      </c>
      <c r="O19" s="10">
        <v>0</v>
      </c>
      <c r="P19" s="13" cm="1">
        <f t="array" ref="P19">(G19*1+H19*2+I19*3+J19*4)/E19</f>
        <v>0.5</v>
      </c>
      <c r="Q19" s="13">
        <v>0.5</v>
      </c>
      <c r="R19" s="15" cm="1">
        <f t="array" ref="R19">Q19+P19</f>
        <v>1</v>
      </c>
    </row>
    <row r="20" ht="17.25" customHeight="1">
      <c r="A20" t="s" s="8">
        <v>40</v>
      </c>
      <c r="B20" s="10">
        <v>4</v>
      </c>
      <c r="C20" s="13" cm="1">
        <f t="array" ref="C20">F20/E20</f>
        <v>0</v>
      </c>
      <c r="D20" s="10">
        <v>7</v>
      </c>
      <c r="E20" s="10">
        <v>7</v>
      </c>
      <c r="F20" s="10">
        <v>0</v>
      </c>
      <c r="G20" s="10" cm="1">
        <f t="array" ref="G20">F20-(H20+I20+J20)</f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7</v>
      </c>
      <c r="P20" s="13" cm="1">
        <f t="array" ref="P20">(G20*1+H20*2+I20*3+J20*4)/E20</f>
        <v>0</v>
      </c>
      <c r="Q20" s="13">
        <v>0</v>
      </c>
      <c r="R20" s="15" cm="1">
        <f t="array" ref="R20">Q20+P20</f>
        <v>0</v>
      </c>
    </row>
    <row r="21" ht="17.25" customHeight="1">
      <c r="A21" t="s" s="8">
        <v>41</v>
      </c>
      <c r="B21" s="10">
        <v>3</v>
      </c>
      <c r="C21" s="13" cm="1">
        <f t="array" ref="C21">F21/E21</f>
        <v>0</v>
      </c>
      <c r="D21" s="10">
        <v>4</v>
      </c>
      <c r="E21" s="10">
        <v>4</v>
      </c>
      <c r="F21" s="10">
        <v>0</v>
      </c>
      <c r="G21" s="10" cm="1">
        <f t="array" ref="G21">F21-(H21+I21+J21)</f>
        <v>0</v>
      </c>
      <c r="H21" s="10">
        <v>0</v>
      </c>
      <c r="I21" s="10">
        <v>0</v>
      </c>
      <c r="J21" s="10">
        <v>0</v>
      </c>
      <c r="K21" s="10">
        <v>1</v>
      </c>
      <c r="L21" s="10">
        <v>0</v>
      </c>
      <c r="M21" s="10">
        <v>1</v>
      </c>
      <c r="N21" s="10">
        <v>0</v>
      </c>
      <c r="O21" s="10">
        <v>3</v>
      </c>
      <c r="P21" s="13" cm="1">
        <f t="array" ref="P21">(G21*1+H21*2+I21*3+J21*4)/E21</f>
        <v>0</v>
      </c>
      <c r="Q21" s="13">
        <v>0.2</v>
      </c>
      <c r="R21" s="15" cm="1">
        <f t="array" ref="R21">Q21+P21</f>
        <v>0.2</v>
      </c>
    </row>
    <row r="22" ht="17.25" customHeight="1">
      <c r="A22" t="s" s="8">
        <v>42</v>
      </c>
      <c r="B22" s="10">
        <v>1</v>
      </c>
      <c r="C22" s="13" cm="1">
        <f t="array" ref="C22">F22/E22</f>
        <v>0</v>
      </c>
      <c r="D22" s="10">
        <v>3</v>
      </c>
      <c r="E22" s="10">
        <v>2</v>
      </c>
      <c r="F22" s="10">
        <v>0</v>
      </c>
      <c r="G22" s="10" cm="1">
        <f t="array" ref="G22">F22-(H22+I22+J22)</f>
        <v>0</v>
      </c>
      <c r="H22" s="10">
        <v>0</v>
      </c>
      <c r="I22" s="10">
        <v>0</v>
      </c>
      <c r="J22" s="10">
        <v>0</v>
      </c>
      <c r="K22" s="10">
        <v>1</v>
      </c>
      <c r="L22" s="10">
        <v>0</v>
      </c>
      <c r="M22" s="10">
        <v>2</v>
      </c>
      <c r="N22" s="10">
        <v>0</v>
      </c>
      <c r="O22" s="10">
        <v>1</v>
      </c>
      <c r="P22" s="13" cm="1">
        <f t="array" ref="P22">(G22*1+H22*2+I22*3+J22*4)/E22</f>
        <v>0</v>
      </c>
      <c r="Q22" s="13">
        <v>0</v>
      </c>
      <c r="R22" s="15" cm="1">
        <f t="array" ref="R22">Q22+P22</f>
        <v>0</v>
      </c>
    </row>
    <row r="23" ht="17.25" customHeight="1">
      <c r="A23" t="s" s="8">
        <v>43</v>
      </c>
      <c r="B23" s="10">
        <v>4</v>
      </c>
      <c r="C23" s="13" cm="1">
        <f t="array" ref="C23">F23/E23</f>
        <v>0.2</v>
      </c>
      <c r="D23" s="10">
        <v>10</v>
      </c>
      <c r="E23" s="10">
        <v>10</v>
      </c>
      <c r="F23" s="10">
        <v>2</v>
      </c>
      <c r="G23" s="10" cm="1">
        <f t="array" ref="G23">F23-(H23+I23+J23)</f>
        <v>1</v>
      </c>
      <c r="H23" s="10">
        <v>1</v>
      </c>
      <c r="I23" s="10">
        <v>0</v>
      </c>
      <c r="J23" s="10">
        <v>0</v>
      </c>
      <c r="K23" s="10">
        <v>1</v>
      </c>
      <c r="L23" s="10">
        <v>2</v>
      </c>
      <c r="M23" s="10">
        <v>1</v>
      </c>
      <c r="N23" s="10">
        <v>0</v>
      </c>
      <c r="O23" s="10">
        <v>2</v>
      </c>
      <c r="P23" s="13" cm="1">
        <f t="array" ref="P23">(G23*1+H23*2+I23*3+J23*4)/E23</f>
        <v>0.3</v>
      </c>
      <c r="Q23" s="13">
        <v>0.2</v>
      </c>
      <c r="R23" s="15" cm="1">
        <f t="array" ref="R23">Q23+P23</f>
        <v>0.5</v>
      </c>
    </row>
    <row r="24" ht="17.25" customHeight="1">
      <c r="A24" t="s" s="8">
        <v>44</v>
      </c>
      <c r="B24" s="10">
        <v>2</v>
      </c>
      <c r="C24" s="13" cm="1">
        <f t="array" ref="C24">F24/E24</f>
        <v>0.25</v>
      </c>
      <c r="D24" s="10">
        <v>7</v>
      </c>
      <c r="E24" s="10">
        <v>4</v>
      </c>
      <c r="F24" s="10">
        <v>1</v>
      </c>
      <c r="G24" s="10" cm="1">
        <f t="array" ref="G24">F24-(H24+I24+J24)</f>
        <v>1</v>
      </c>
      <c r="H24" s="10">
        <v>0</v>
      </c>
      <c r="I24" s="10">
        <v>0</v>
      </c>
      <c r="J24" s="10">
        <v>0</v>
      </c>
      <c r="K24" s="10">
        <v>2</v>
      </c>
      <c r="L24" s="10">
        <v>0</v>
      </c>
      <c r="M24" s="10">
        <v>2</v>
      </c>
      <c r="N24" s="10">
        <v>0</v>
      </c>
      <c r="O24" s="10">
        <v>2</v>
      </c>
      <c r="P24" s="13">
        <v>0.2</v>
      </c>
      <c r="Q24" s="13">
        <v>0.2</v>
      </c>
      <c r="R24" s="15" cm="1">
        <f t="array" ref="R24">Q24+P24</f>
        <v>0.4</v>
      </c>
    </row>
    <row r="25" ht="17.25" customHeight="1">
      <c r="A25" t="s" s="29">
        <v>45</v>
      </c>
      <c r="B25" s="124"/>
      <c r="C25" s="127" cm="1">
        <f t="array" ref="C25">F25/E25</f>
        <v>0.37</v>
      </c>
      <c r="D25" s="49" cm="1">
        <f t="array" ref="D25">SUM(D4:D24)</f>
        <v>116</v>
      </c>
      <c r="E25" s="49" cm="1">
        <f t="array" ref="E25">SUM(E4:E24)</f>
        <v>100</v>
      </c>
      <c r="F25" s="49" cm="1">
        <f t="array" ref="F25">SUM(F4:F24)</f>
        <v>37</v>
      </c>
      <c r="G25" s="49" cm="1">
        <f t="array" ref="G25">SUM(G4:G24)</f>
        <v>26</v>
      </c>
      <c r="H25" s="49" cm="1">
        <f t="array" ref="H25">SUM(H4:H24)</f>
        <v>9</v>
      </c>
      <c r="I25" s="49" cm="1">
        <f t="array" ref="I25">SUM(I4:I24)</f>
        <v>2</v>
      </c>
      <c r="J25" s="49" cm="1">
        <f t="array" ref="J25">SUM(J4:J24)</f>
        <v>0</v>
      </c>
      <c r="K25" s="49" cm="1">
        <f t="array" ref="K25">SUM(K4:K24)</f>
        <v>30</v>
      </c>
      <c r="L25" s="49" cm="1">
        <f t="array" ref="L25">SUM(L4:L24)</f>
        <v>22</v>
      </c>
      <c r="M25" s="49" cm="1">
        <f t="array" ref="M25">SUM(M4:M24)</f>
        <v>26</v>
      </c>
      <c r="N25" s="49" cm="1">
        <f t="array" ref="N25">SUM(N4:N24)</f>
        <v>0</v>
      </c>
      <c r="O25" s="49" cm="1">
        <f t="array" ref="O25">SUM(O4:O24)</f>
        <v>28</v>
      </c>
      <c r="P25" s="127"/>
      <c r="Q25" s="127"/>
      <c r="R25" s="121"/>
    </row>
    <row r="26" ht="17.25" customHeight="1">
      <c r="A26" s="135"/>
      <c r="B26" s="136"/>
      <c r="C26" s="137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7"/>
      <c r="Q26" s="137"/>
      <c r="R26" s="138"/>
    </row>
    <row r="27" ht="17.25" customHeight="1">
      <c r="A27" t="s" s="139">
        <v>46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1"/>
      <c r="R27" s="3"/>
    </row>
    <row r="28" ht="17.25" customHeight="1">
      <c r="A28" t="s" s="8">
        <v>101</v>
      </c>
      <c r="B28" t="s" s="8">
        <v>102</v>
      </c>
      <c r="C28" t="s" s="8">
        <v>47</v>
      </c>
      <c r="D28" t="s" s="8">
        <v>48</v>
      </c>
      <c r="E28" t="s" s="8">
        <v>107</v>
      </c>
      <c r="F28" t="s" s="8">
        <v>50</v>
      </c>
      <c r="G28" t="s" s="8">
        <v>6</v>
      </c>
      <c r="H28" t="s" s="8">
        <v>51</v>
      </c>
      <c r="I28" t="s" s="8">
        <v>52</v>
      </c>
      <c r="J28" t="s" s="8">
        <v>53</v>
      </c>
      <c r="K28" t="s" s="8">
        <v>54</v>
      </c>
      <c r="L28" t="s" s="8">
        <v>55</v>
      </c>
      <c r="M28" t="s" s="8">
        <v>16</v>
      </c>
      <c r="N28" t="s" s="8">
        <v>57</v>
      </c>
      <c r="O28" t="s" s="8">
        <v>105</v>
      </c>
      <c r="P28" t="s" s="8">
        <v>59</v>
      </c>
      <c r="Q28" s="9"/>
      <c r="R28" s="3"/>
    </row>
    <row r="29" ht="17.25" customHeight="1">
      <c r="A29" t="s" s="8">
        <v>24</v>
      </c>
      <c r="B29" s="10">
        <v>3</v>
      </c>
      <c r="C29" s="10">
        <v>0</v>
      </c>
      <c r="D29" s="10">
        <v>1</v>
      </c>
      <c r="E29" s="10">
        <v>0</v>
      </c>
      <c r="F29" s="10">
        <v>21</v>
      </c>
      <c r="G29" s="10" cm="1">
        <f t="array" ref="G29">F29-K29-L29</f>
        <v>8</v>
      </c>
      <c r="H29" s="39">
        <v>1</v>
      </c>
      <c r="I29" s="10">
        <v>5</v>
      </c>
      <c r="J29" s="10">
        <v>0</v>
      </c>
      <c r="K29" s="10">
        <v>11</v>
      </c>
      <c r="L29" s="10">
        <v>2</v>
      </c>
      <c r="M29" s="10">
        <v>0</v>
      </c>
      <c r="N29" s="10">
        <v>15</v>
      </c>
      <c r="O29" s="10">
        <v>8</v>
      </c>
      <c r="P29" s="40" cm="1">
        <f t="array" ref="P29">O29*9/H29</f>
        <v>72</v>
      </c>
      <c r="Q29" s="9"/>
      <c r="R29" s="3"/>
    </row>
    <row r="30" ht="17.25" customHeight="1">
      <c r="A30" t="s" s="8">
        <v>29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 cm="1">
        <f t="array" ref="G30">F30-K30-L30</f>
        <v>0</v>
      </c>
      <c r="H30" s="39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40">
        <v>0</v>
      </c>
      <c r="Q30" s="9"/>
      <c r="R30" s="3"/>
    </row>
    <row r="31" ht="17.25" customHeight="1">
      <c r="A31" t="s" s="8">
        <v>33</v>
      </c>
      <c r="B31" s="10">
        <v>4</v>
      </c>
      <c r="C31" s="10">
        <v>0</v>
      </c>
      <c r="D31" s="10">
        <v>1</v>
      </c>
      <c r="E31" s="10">
        <v>0</v>
      </c>
      <c r="F31" s="10">
        <v>20</v>
      </c>
      <c r="G31" s="10" cm="1">
        <f t="array" ref="G31">F31-K31-L31</f>
        <v>15</v>
      </c>
      <c r="H31" s="39">
        <v>3</v>
      </c>
      <c r="I31" s="10">
        <v>5</v>
      </c>
      <c r="J31" s="10">
        <v>0</v>
      </c>
      <c r="K31" s="10">
        <v>4</v>
      </c>
      <c r="L31" s="10">
        <v>1</v>
      </c>
      <c r="M31" s="10">
        <v>3</v>
      </c>
      <c r="N31" s="10">
        <v>4</v>
      </c>
      <c r="O31" s="10">
        <v>3</v>
      </c>
      <c r="P31" s="40" cm="1">
        <f t="array" ref="P31">O31*9/H31</f>
        <v>9</v>
      </c>
      <c r="Q31" s="9"/>
      <c r="R31" s="3"/>
    </row>
    <row r="32" ht="17.25" customHeight="1">
      <c r="A32" t="s" s="8">
        <v>36</v>
      </c>
      <c r="B32" s="10">
        <v>2</v>
      </c>
      <c r="C32" s="10">
        <v>0</v>
      </c>
      <c r="D32" s="10">
        <v>1</v>
      </c>
      <c r="E32" s="10">
        <v>0</v>
      </c>
      <c r="F32" s="10">
        <v>32</v>
      </c>
      <c r="G32" s="10" cm="1">
        <f t="array" ref="G32">F32-K32-L32</f>
        <v>26</v>
      </c>
      <c r="H32" s="39">
        <v>4</v>
      </c>
      <c r="I32" s="10">
        <v>12</v>
      </c>
      <c r="J32" s="10">
        <v>0</v>
      </c>
      <c r="K32" s="10">
        <v>6</v>
      </c>
      <c r="L32" s="10">
        <v>0</v>
      </c>
      <c r="M32" s="10">
        <v>5</v>
      </c>
      <c r="N32" s="10">
        <v>15</v>
      </c>
      <c r="O32" s="10">
        <v>13</v>
      </c>
      <c r="P32" s="40" cm="1">
        <f t="array" ref="P32">O32*9/H32</f>
        <v>29.25</v>
      </c>
      <c r="Q32" s="9"/>
      <c r="R32" s="3"/>
    </row>
    <row r="33" ht="17.25" customHeight="1">
      <c r="A33" t="s" s="8">
        <v>37</v>
      </c>
      <c r="B33" s="10">
        <v>1</v>
      </c>
      <c r="C33" s="10">
        <v>0</v>
      </c>
      <c r="D33" s="10">
        <v>0</v>
      </c>
      <c r="E33" s="10">
        <v>0</v>
      </c>
      <c r="F33" s="10">
        <v>3</v>
      </c>
      <c r="G33" s="10" cm="1">
        <f t="array" ref="G33">F33-K33-L33</f>
        <v>2</v>
      </c>
      <c r="H33" s="39">
        <v>0.3333333</v>
      </c>
      <c r="I33" s="10">
        <v>1</v>
      </c>
      <c r="J33" s="10">
        <v>0</v>
      </c>
      <c r="K33" s="10">
        <v>1</v>
      </c>
      <c r="L33" s="10">
        <v>0</v>
      </c>
      <c r="M33" s="10">
        <v>1</v>
      </c>
      <c r="N33" s="10">
        <v>0</v>
      </c>
      <c r="O33" s="10">
        <v>0</v>
      </c>
      <c r="P33" s="40" cm="1">
        <f t="array" ref="P33">O33*9/H33</f>
        <v>0</v>
      </c>
      <c r="Q33" s="9"/>
      <c r="R33" s="3"/>
    </row>
    <row r="34" ht="17.25" customHeight="1">
      <c r="A34" t="s" s="8">
        <v>42</v>
      </c>
      <c r="B34" s="10">
        <v>1</v>
      </c>
      <c r="C34" s="10">
        <v>0</v>
      </c>
      <c r="D34" s="10">
        <v>0</v>
      </c>
      <c r="E34" s="10">
        <v>0</v>
      </c>
      <c r="F34" s="10">
        <v>14</v>
      </c>
      <c r="G34" s="10" cm="1">
        <f t="array" ref="G34">F34-K34-L34</f>
        <v>6</v>
      </c>
      <c r="H34" s="39">
        <v>1.6666666666</v>
      </c>
      <c r="I34" s="10">
        <v>2</v>
      </c>
      <c r="J34" s="10">
        <v>0</v>
      </c>
      <c r="K34" s="10">
        <v>8</v>
      </c>
      <c r="L34" s="10">
        <v>0</v>
      </c>
      <c r="M34" s="10">
        <v>0</v>
      </c>
      <c r="N34" s="10">
        <v>6</v>
      </c>
      <c r="O34" s="10">
        <v>1</v>
      </c>
      <c r="P34" s="40" cm="1">
        <f t="array" ref="P34">O34*9/H34</f>
        <v>5.400000000216</v>
      </c>
      <c r="Q34" s="9"/>
      <c r="R34" s="3"/>
    </row>
    <row r="35" ht="17.25" customHeight="1">
      <c r="A35" t="s" s="8">
        <v>43</v>
      </c>
      <c r="B35" s="10">
        <v>5</v>
      </c>
      <c r="C35" s="10">
        <v>0</v>
      </c>
      <c r="D35" s="10">
        <v>2</v>
      </c>
      <c r="E35" s="10">
        <v>0</v>
      </c>
      <c r="F35" s="10">
        <v>77</v>
      </c>
      <c r="G35" s="10" cm="1">
        <f t="array" ref="G35">F35-K35-L35</f>
        <v>55</v>
      </c>
      <c r="H35" s="39">
        <v>7.333333333</v>
      </c>
      <c r="I35" s="10">
        <v>27</v>
      </c>
      <c r="J35" s="10">
        <v>0</v>
      </c>
      <c r="K35" s="10">
        <v>20</v>
      </c>
      <c r="L35" s="10">
        <v>2</v>
      </c>
      <c r="M35" s="10">
        <v>7</v>
      </c>
      <c r="N35" s="10">
        <v>40</v>
      </c>
      <c r="O35" s="10">
        <v>33</v>
      </c>
      <c r="P35" s="40" cm="1">
        <f t="array" ref="P35">O35*9/H35</f>
        <v>40.5000000018409</v>
      </c>
      <c r="Q35" s="9"/>
      <c r="R35" s="3"/>
    </row>
    <row r="36" ht="17.25" customHeight="1">
      <c r="A36" t="s" s="29">
        <v>45</v>
      </c>
      <c r="B36" s="124"/>
      <c r="C36" s="49" cm="1">
        <f t="array" ref="C36">SUM(C29:C35)</f>
        <v>0</v>
      </c>
      <c r="D36" s="49" cm="1">
        <f t="array" ref="D36">SUM(D29:D35)</f>
        <v>5</v>
      </c>
      <c r="E36" s="49" cm="1">
        <f t="array" ref="E36">SUM(E29:E35)</f>
        <v>0</v>
      </c>
      <c r="F36" s="49" cm="1">
        <f t="array" ref="F36">SUM(F29:F35)</f>
        <v>167</v>
      </c>
      <c r="G36" s="49" cm="1">
        <f t="array" ref="G36">SUM(G29:G35)</f>
        <v>112</v>
      </c>
      <c r="H36" s="50" cm="1">
        <f t="array" ref="H36">SUM(H29:H35)</f>
        <v>17.3333332996</v>
      </c>
      <c r="I36" s="49" cm="1">
        <f t="array" ref="I36">SUM(I29:I35)</f>
        <v>52</v>
      </c>
      <c r="J36" s="49" cm="1">
        <f t="array" ref="J36">SUM(J29:J35)</f>
        <v>0</v>
      </c>
      <c r="K36" s="49" cm="1">
        <f t="array" ref="K36">SUM(K29:K35)</f>
        <v>50</v>
      </c>
      <c r="L36" s="49" cm="1">
        <f t="array" ref="L36">SUM(L29:L35)</f>
        <v>5</v>
      </c>
      <c r="M36" s="49" cm="1">
        <f t="array" ref="M36">SUM(M29:M35)</f>
        <v>16</v>
      </c>
      <c r="N36" s="49" cm="1">
        <f t="array" ref="N36">SUM(N29:N35)</f>
        <v>80</v>
      </c>
      <c r="O36" s="49" cm="1">
        <f t="array" ref="O36">SUM(O29:O35)</f>
        <v>58</v>
      </c>
      <c r="P36" s="51" cm="1">
        <f t="array" ref="P36">O36*9/H36</f>
        <v>30.1153846739938</v>
      </c>
      <c r="Q36" s="9"/>
      <c r="R36" s="3"/>
    </row>
  </sheetData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AC45"/>
  <sheetViews>
    <sheetView workbookViewId="0" showGridLines="0" defaultGridColor="1"/>
  </sheetViews>
  <sheetFormatPr defaultColWidth="9" defaultRowHeight="16.5" customHeight="1" outlineLevelRow="0" outlineLevelCol="0"/>
  <cols>
    <col min="1" max="18" width="8.85156" style="142" customWidth="1"/>
    <col min="19" max="19" width="10.8516" style="142" customWidth="1"/>
    <col min="20" max="22" width="9" style="142" customWidth="1"/>
    <col min="23" max="23" width="11.3516" style="142" customWidth="1"/>
    <col min="24" max="24" width="2.67188" style="142" customWidth="1"/>
    <col min="25" max="29" width="9" style="142" customWidth="1"/>
    <col min="30" max="16384" width="9" style="142" customWidth="1"/>
  </cols>
  <sheetData>
    <row r="1" ht="26.25" customHeight="1">
      <c r="A1" t="s" s="143">
        <v>108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5"/>
    </row>
    <row r="2" ht="17.25" customHeight="1">
      <c r="A2" t="s" s="146">
        <v>1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8"/>
      <c r="Y2" s="147"/>
      <c r="Z2" s="147"/>
      <c r="AA2" s="147"/>
      <c r="AB2" s="147"/>
      <c r="AC2" s="149"/>
    </row>
    <row r="3" ht="34.5" customHeight="1">
      <c r="A3" t="s" s="8">
        <v>101</v>
      </c>
      <c r="B3" t="s" s="8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109</v>
      </c>
      <c r="Q3" t="s" s="8">
        <v>18</v>
      </c>
      <c r="R3" t="s" s="8">
        <v>19</v>
      </c>
      <c r="S3" t="s" s="8">
        <v>20</v>
      </c>
      <c r="T3" t="s" s="8">
        <v>110</v>
      </c>
      <c r="U3" t="s" s="8">
        <v>22</v>
      </c>
      <c r="V3" t="s" s="8">
        <v>23</v>
      </c>
      <c r="W3" t="s" s="8">
        <v>111</v>
      </c>
      <c r="X3" s="150"/>
      <c r="Y3" t="s" s="8">
        <v>112</v>
      </c>
      <c r="Z3" t="s" s="8">
        <v>55</v>
      </c>
      <c r="AA3" t="s" s="8">
        <v>113</v>
      </c>
      <c r="AB3" t="s" s="8">
        <v>114</v>
      </c>
      <c r="AC3" t="s" s="8">
        <v>115</v>
      </c>
    </row>
    <row r="4" ht="19.5" customHeight="1">
      <c r="A4" t="s" s="8">
        <v>30</v>
      </c>
      <c r="B4" s="10">
        <v>16</v>
      </c>
      <c r="C4" s="151" cm="1">
        <f t="array" ref="C4">F4/E4</f>
        <v>0.608695652173913</v>
      </c>
      <c r="D4" s="10">
        <v>56</v>
      </c>
      <c r="E4" s="10">
        <v>46</v>
      </c>
      <c r="F4" s="10">
        <v>28</v>
      </c>
      <c r="G4" s="10">
        <v>20</v>
      </c>
      <c r="H4" s="10">
        <v>4</v>
      </c>
      <c r="I4" s="10">
        <v>2</v>
      </c>
      <c r="J4" s="10">
        <v>2</v>
      </c>
      <c r="K4" s="10">
        <v>35</v>
      </c>
      <c r="L4" s="10">
        <v>22</v>
      </c>
      <c r="M4" s="10">
        <v>29</v>
      </c>
      <c r="N4" s="10">
        <v>7</v>
      </c>
      <c r="O4" s="10">
        <v>4</v>
      </c>
      <c r="P4" s="152" cm="1">
        <f t="array" ref="P4">O4/D4</f>
        <v>0.0714285714285714</v>
      </c>
      <c r="Q4" s="13" cm="1">
        <f t="array" ref="Q4">(G4*1+H4*2+I4*3+J4*4)/E4</f>
        <v>0.91304347826087</v>
      </c>
      <c r="R4" s="13" cm="1">
        <f t="array" ref="R4">(F4+N4)/D4</f>
        <v>0.625</v>
      </c>
      <c r="S4" s="15" cm="1">
        <f t="array" ref="S4">R4+Q4</f>
        <v>1.53804347826087</v>
      </c>
      <c r="T4" s="153" cm="1">
        <f t="array" ref="T4">O4/(D4-(F4+N4))</f>
        <v>0.19047619047619</v>
      </c>
      <c r="U4" s="17" cm="1">
        <f t="array" ref="U4">RANK(R4,$R$4:$R$26)</f>
        <v>2</v>
      </c>
      <c r="V4" s="18" cm="1">
        <f t="array" ref="V4">RANK(S4,$S$4:$S$26)</f>
        <v>1</v>
      </c>
      <c r="W4" s="154" cm="1">
        <f t="array" ref="W4">RANK(C4,$C$4:$C$26)</f>
        <v>1</v>
      </c>
      <c r="X4" s="155"/>
      <c r="Y4" s="48">
        <v>0</v>
      </c>
      <c r="Z4" s="48">
        <v>2</v>
      </c>
      <c r="AA4" s="48">
        <v>0</v>
      </c>
      <c r="AB4" s="48">
        <v>0</v>
      </c>
      <c r="AC4" s="48">
        <v>0</v>
      </c>
    </row>
    <row r="5" ht="19.5" customHeight="1">
      <c r="A5" t="s" s="8">
        <v>26</v>
      </c>
      <c r="B5" s="10">
        <v>17</v>
      </c>
      <c r="C5" s="151" cm="1">
        <f t="array" ref="C5">F5/E5</f>
        <v>0.520833333333333</v>
      </c>
      <c r="D5" s="10">
        <v>58</v>
      </c>
      <c r="E5" s="10">
        <v>48</v>
      </c>
      <c r="F5" s="10">
        <v>25</v>
      </c>
      <c r="G5" s="10">
        <v>11</v>
      </c>
      <c r="H5" s="10">
        <v>11</v>
      </c>
      <c r="I5" s="10">
        <v>2</v>
      </c>
      <c r="J5" s="10">
        <v>1</v>
      </c>
      <c r="K5" s="10">
        <v>26</v>
      </c>
      <c r="L5" s="10">
        <v>24</v>
      </c>
      <c r="M5" s="10">
        <v>17</v>
      </c>
      <c r="N5" s="10">
        <v>7</v>
      </c>
      <c r="O5" s="10">
        <v>3</v>
      </c>
      <c r="P5" s="152" cm="1">
        <f t="array" ref="P5">O5/D5</f>
        <v>0.0517241379310345</v>
      </c>
      <c r="Q5" s="13" cm="1">
        <f t="array" ref="Q5">(G5*1+H5*2+I5*3+J5*4)/E5</f>
        <v>0.895833333333333</v>
      </c>
      <c r="R5" s="13" cm="1">
        <f t="array" ref="R5">(F5+N5)/D5</f>
        <v>0.551724137931034</v>
      </c>
      <c r="S5" s="15" cm="1">
        <f t="array" ref="S5">R5+Q5</f>
        <v>1.44755747126437</v>
      </c>
      <c r="T5" s="153" cm="1">
        <f t="array" ref="T5">O5/(D5-(F5+N5))</f>
        <v>0.115384615384615</v>
      </c>
      <c r="U5" s="17" cm="1">
        <f t="array" ref="U5">RANK(R5,$R$4:$R$26)</f>
        <v>5</v>
      </c>
      <c r="V5" s="18" cm="1">
        <f t="array" ref="V5">RANK(S5,$S$4:$S$26)</f>
        <v>2</v>
      </c>
      <c r="W5" s="154" cm="1">
        <f t="array" ref="W5">RANK(C5,$C$4:$C$26)</f>
        <v>2</v>
      </c>
      <c r="X5" s="155"/>
      <c r="Y5" s="48">
        <v>0</v>
      </c>
      <c r="Z5" s="48">
        <v>2</v>
      </c>
      <c r="AA5" s="48">
        <v>0</v>
      </c>
      <c r="AB5" s="48">
        <v>0</v>
      </c>
      <c r="AC5" s="48">
        <v>0</v>
      </c>
    </row>
    <row r="6" ht="19.5" customHeight="1">
      <c r="A6" t="s" s="8">
        <v>33</v>
      </c>
      <c r="B6" s="10">
        <v>14</v>
      </c>
      <c r="C6" s="151" cm="1">
        <f t="array" ref="C6">F6/E6</f>
        <v>0.473684210526316</v>
      </c>
      <c r="D6" s="10">
        <v>42</v>
      </c>
      <c r="E6" s="10">
        <v>38</v>
      </c>
      <c r="F6" s="10">
        <v>18</v>
      </c>
      <c r="G6" s="10">
        <v>9</v>
      </c>
      <c r="H6" s="10">
        <v>8</v>
      </c>
      <c r="I6" s="10">
        <v>1</v>
      </c>
      <c r="J6" s="10">
        <v>0</v>
      </c>
      <c r="K6" s="10">
        <v>18</v>
      </c>
      <c r="L6" s="10">
        <v>18</v>
      </c>
      <c r="M6" s="10">
        <v>11</v>
      </c>
      <c r="N6" s="10">
        <v>4</v>
      </c>
      <c r="O6" s="10">
        <v>3</v>
      </c>
      <c r="P6" s="152" cm="1">
        <f t="array" ref="P6">O6/D6</f>
        <v>0.0714285714285714</v>
      </c>
      <c r="Q6" s="13" cm="1">
        <f t="array" ref="Q6">(G6*1+H6*2+I6*3+J6*4)/E6</f>
        <v>0.736842105263158</v>
      </c>
      <c r="R6" s="13" cm="1">
        <f t="array" ref="R6">(F6+N6)/D6</f>
        <v>0.5238095238095239</v>
      </c>
      <c r="S6" s="15" cm="1">
        <f t="array" ref="S6">R6+Q6</f>
        <v>1.26065162907268</v>
      </c>
      <c r="T6" s="153" cm="1">
        <f t="array" ref="T6">O6/(D6-(F6+N6))</f>
        <v>0.15</v>
      </c>
      <c r="U6" s="17" cm="1">
        <f t="array" ref="U6">RANK(R6,$R$4:$R$26)</f>
        <v>10</v>
      </c>
      <c r="V6" s="18" cm="1">
        <f t="array" ref="V6">RANK(S6,$S$4:$S$26)</f>
        <v>4</v>
      </c>
      <c r="W6" s="154" cm="1">
        <f t="array" ref="W6">RANK(C6,$C$4:$C$26)</f>
        <v>3</v>
      </c>
      <c r="X6" s="155"/>
      <c r="Y6" s="48">
        <v>2</v>
      </c>
      <c r="Z6" s="48">
        <v>1</v>
      </c>
      <c r="AA6" s="48">
        <v>0</v>
      </c>
      <c r="AB6" s="48">
        <v>0</v>
      </c>
      <c r="AC6" s="48">
        <v>0</v>
      </c>
    </row>
    <row r="7" ht="19.5" customHeight="1">
      <c r="A7" t="s" s="8">
        <v>24</v>
      </c>
      <c r="B7" s="10">
        <v>11</v>
      </c>
      <c r="C7" s="151" cm="1">
        <f t="array" ref="C7">F7/E7</f>
        <v>0.470588235294118</v>
      </c>
      <c r="D7" s="10">
        <v>20</v>
      </c>
      <c r="E7" s="10">
        <v>17</v>
      </c>
      <c r="F7" s="10">
        <v>8</v>
      </c>
      <c r="G7" s="10">
        <v>6</v>
      </c>
      <c r="H7" s="10">
        <v>1</v>
      </c>
      <c r="I7" s="10">
        <v>1</v>
      </c>
      <c r="J7" s="10">
        <v>0</v>
      </c>
      <c r="K7" s="10">
        <v>7</v>
      </c>
      <c r="L7" s="10">
        <v>5</v>
      </c>
      <c r="M7" s="10">
        <v>8</v>
      </c>
      <c r="N7" s="10">
        <v>3</v>
      </c>
      <c r="O7" s="10">
        <v>6</v>
      </c>
      <c r="P7" s="156" cm="1">
        <f t="array" ref="P7">O7/D7</f>
        <v>0.3</v>
      </c>
      <c r="Q7" s="13" cm="1">
        <f t="array" ref="Q7">(G7*1+H7*2+I7*3+J7*4)/E7</f>
        <v>0.647058823529412</v>
      </c>
      <c r="R7" s="13" cm="1">
        <f t="array" ref="R7">(F7+N7)/D7</f>
        <v>0.55</v>
      </c>
      <c r="S7" s="15" cm="1">
        <f t="array" ref="S7">R7+Q7</f>
        <v>1.19705882352941</v>
      </c>
      <c r="T7" s="157" cm="1">
        <f t="array" ref="T7">O7/(D7-(F7+N7))</f>
        <v>0.666666666666667</v>
      </c>
      <c r="U7" s="17" cm="1">
        <f t="array" ref="U7">RANK(R7,$R$4:$R$26)</f>
        <v>6</v>
      </c>
      <c r="V7" s="18" cm="1">
        <f t="array" ref="V7">RANK(S7,$S$4:$S$26)</f>
        <v>6</v>
      </c>
      <c r="W7" s="154" cm="1">
        <f t="array" ref="W7">RANK(C7,$C$4:$C$26)</f>
        <v>4</v>
      </c>
      <c r="X7" s="155"/>
      <c r="Y7" s="48">
        <v>2</v>
      </c>
      <c r="Z7" s="48">
        <v>1</v>
      </c>
      <c r="AA7" s="48">
        <v>0</v>
      </c>
      <c r="AB7" s="48">
        <v>0</v>
      </c>
      <c r="AC7" s="48">
        <v>0</v>
      </c>
    </row>
    <row r="8" ht="19.5" customHeight="1">
      <c r="A8" t="s" s="8">
        <v>29</v>
      </c>
      <c r="B8" s="10">
        <v>9</v>
      </c>
      <c r="C8" s="151" cm="1">
        <f t="array" ref="C8">F8/E8</f>
        <v>0.461538461538462</v>
      </c>
      <c r="D8" s="10">
        <v>16</v>
      </c>
      <c r="E8" s="10">
        <v>13</v>
      </c>
      <c r="F8" s="10">
        <v>6</v>
      </c>
      <c r="G8" s="10">
        <v>6</v>
      </c>
      <c r="H8" s="10">
        <v>0</v>
      </c>
      <c r="I8" s="10">
        <v>0</v>
      </c>
      <c r="J8" s="10">
        <v>0</v>
      </c>
      <c r="K8" s="10">
        <v>6</v>
      </c>
      <c r="L8" s="10">
        <v>3</v>
      </c>
      <c r="M8" s="10">
        <v>2</v>
      </c>
      <c r="N8" s="10">
        <v>2</v>
      </c>
      <c r="O8" s="10">
        <v>2</v>
      </c>
      <c r="P8" s="152" cm="1">
        <f t="array" ref="P8">O8/D8</f>
        <v>0.125</v>
      </c>
      <c r="Q8" s="13" cm="1">
        <f t="array" ref="Q8">(G8*1+H8*2+I8*3+J8*4)/E8</f>
        <v>0.461538461538462</v>
      </c>
      <c r="R8" s="13" cm="1">
        <f t="array" ref="R8">(F8+N8)/D8</f>
        <v>0.5</v>
      </c>
      <c r="S8" s="15" cm="1">
        <f t="array" ref="S8">R8+Q8</f>
        <v>0.961538461538462</v>
      </c>
      <c r="T8" s="153" cm="1">
        <f t="array" ref="T8">O8/(D8-(F8+N8))</f>
        <v>0.25</v>
      </c>
      <c r="U8" s="17" cm="1">
        <f t="array" ref="U8">RANK(R8,$R$4:$R$26)</f>
        <v>11</v>
      </c>
      <c r="V8" s="18" cm="1">
        <f t="array" ref="V8">RANK(S8,$S$4:$S$26)</f>
        <v>12</v>
      </c>
      <c r="W8" s="154" cm="1">
        <f t="array" ref="W8">RANK(C8,$C$4:$C$26)</f>
        <v>5</v>
      </c>
      <c r="X8" s="155"/>
      <c r="Y8" s="48">
        <v>1</v>
      </c>
      <c r="Z8" s="48">
        <v>1</v>
      </c>
      <c r="AA8" s="48">
        <v>0</v>
      </c>
      <c r="AB8" s="48">
        <v>0</v>
      </c>
      <c r="AC8" s="48">
        <v>0</v>
      </c>
    </row>
    <row r="9" ht="19.5" customHeight="1">
      <c r="A9" t="s" s="8">
        <v>37</v>
      </c>
      <c r="B9" s="10">
        <v>13</v>
      </c>
      <c r="C9" s="151" cm="1">
        <f t="array" ref="C9">F9/E9</f>
        <v>0.434782608695652</v>
      </c>
      <c r="D9" s="10">
        <v>30</v>
      </c>
      <c r="E9" s="10">
        <v>23</v>
      </c>
      <c r="F9" s="10">
        <v>10</v>
      </c>
      <c r="G9" s="10">
        <v>7</v>
      </c>
      <c r="H9" s="10">
        <v>3</v>
      </c>
      <c r="I9" s="10">
        <v>0</v>
      </c>
      <c r="J9" s="10">
        <v>0</v>
      </c>
      <c r="K9" s="10">
        <v>10</v>
      </c>
      <c r="L9" s="10">
        <v>7</v>
      </c>
      <c r="M9" s="10">
        <v>16</v>
      </c>
      <c r="N9" s="10">
        <v>6</v>
      </c>
      <c r="O9" s="10">
        <v>7</v>
      </c>
      <c r="P9" s="152" cm="1">
        <f t="array" ref="P9">O9/D9</f>
        <v>0.233333333333333</v>
      </c>
      <c r="Q9" s="13" cm="1">
        <f t="array" ref="Q9">(G9*1+H9*2+I9*3+J9*4)/E9</f>
        <v>0.565217391304348</v>
      </c>
      <c r="R9" s="13" cm="1">
        <f t="array" ref="R9">(F9+N9)/D9</f>
        <v>0.533333333333333</v>
      </c>
      <c r="S9" s="15" cm="1">
        <f t="array" ref="S9">R9+Q9</f>
        <v>1.09855072463768</v>
      </c>
      <c r="T9" s="153" cm="1">
        <f t="array" ref="T9">O9/(D9-(F9+N9))</f>
        <v>0.5</v>
      </c>
      <c r="U9" s="17" cm="1">
        <f t="array" ref="U9">RANK(R9,$R$4:$R$26)</f>
        <v>7</v>
      </c>
      <c r="V9" s="18" cm="1">
        <f t="array" ref="V9">RANK(S9,$S$4:$S$26)</f>
        <v>8</v>
      </c>
      <c r="W9" s="154" cm="1">
        <f t="array" ref="W9">RANK(C9,$C$4:$C$26)</f>
        <v>6</v>
      </c>
      <c r="X9" s="155"/>
      <c r="Y9" s="48">
        <v>1</v>
      </c>
      <c r="Z9" s="48">
        <v>2</v>
      </c>
      <c r="AA9" s="48">
        <v>0</v>
      </c>
      <c r="AB9" s="48">
        <v>0</v>
      </c>
      <c r="AC9" s="48">
        <v>0</v>
      </c>
    </row>
    <row r="10" ht="19.5" customHeight="1">
      <c r="A10" t="s" s="8">
        <v>43</v>
      </c>
      <c r="B10" s="10">
        <v>22</v>
      </c>
      <c r="C10" s="151" cm="1">
        <f t="array" ref="C10">F10/E10</f>
        <v>0.431372549019608</v>
      </c>
      <c r="D10" s="10">
        <v>62</v>
      </c>
      <c r="E10" s="10">
        <v>51</v>
      </c>
      <c r="F10" s="10">
        <v>22</v>
      </c>
      <c r="G10" s="10">
        <v>17</v>
      </c>
      <c r="H10" s="10">
        <v>5</v>
      </c>
      <c r="I10" s="10">
        <v>0</v>
      </c>
      <c r="J10" s="10">
        <v>0</v>
      </c>
      <c r="K10" s="10">
        <v>15</v>
      </c>
      <c r="L10" s="10">
        <v>19</v>
      </c>
      <c r="M10" s="10">
        <v>18</v>
      </c>
      <c r="N10" s="10">
        <v>11</v>
      </c>
      <c r="O10" s="10">
        <v>3</v>
      </c>
      <c r="P10" s="152" cm="1">
        <f t="array" ref="P10">O10/D10</f>
        <v>0.0483870967741935</v>
      </c>
      <c r="Q10" s="13" cm="1">
        <f t="array" ref="Q10">(G10*1+H10*2+I10*3+J10*4)/E10</f>
        <v>0.529411764705882</v>
      </c>
      <c r="R10" s="13" cm="1">
        <f t="array" ref="R10">(F10+N10)/D10</f>
        <v>0.532258064516129</v>
      </c>
      <c r="S10" s="15" cm="1">
        <f t="array" ref="S10">R10+Q10</f>
        <v>1.06166982922201</v>
      </c>
      <c r="T10" s="153" cm="1">
        <f t="array" ref="T10">O10/(D10-(F10+N10))</f>
        <v>0.103448275862069</v>
      </c>
      <c r="U10" s="17" cm="1">
        <f t="array" ref="U10">RANK(R10,$R$4:$R$26)</f>
        <v>9</v>
      </c>
      <c r="V10" s="18" cm="1">
        <f t="array" ref="V10">RANK(S10,$S$4:$S$26)</f>
        <v>9</v>
      </c>
      <c r="W10" s="154" cm="1">
        <f t="array" ref="W10">RANK(C10,$C$4:$C$26)</f>
        <v>7</v>
      </c>
      <c r="X10" s="155"/>
      <c r="Y10" s="48">
        <v>6</v>
      </c>
      <c r="Z10" s="48">
        <v>2</v>
      </c>
      <c r="AA10" s="48">
        <v>0</v>
      </c>
      <c r="AB10" s="48">
        <v>0</v>
      </c>
      <c r="AC10" s="48">
        <v>0</v>
      </c>
    </row>
    <row r="11" ht="19.5" customHeight="1">
      <c r="A11" t="s" s="8">
        <v>28</v>
      </c>
      <c r="B11" s="10">
        <v>18</v>
      </c>
      <c r="C11" s="151" cm="1">
        <f t="array" ref="C11">F11/E11</f>
        <v>0.428571428571429</v>
      </c>
      <c r="D11" s="10">
        <v>37</v>
      </c>
      <c r="E11" s="10">
        <v>21</v>
      </c>
      <c r="F11" s="10">
        <v>9</v>
      </c>
      <c r="G11" s="10">
        <v>9</v>
      </c>
      <c r="H11" s="10">
        <v>1</v>
      </c>
      <c r="I11" s="10">
        <v>1</v>
      </c>
      <c r="J11" s="10">
        <v>0</v>
      </c>
      <c r="K11" s="10">
        <v>16</v>
      </c>
      <c r="L11" s="10">
        <v>8</v>
      </c>
      <c r="M11" s="10">
        <v>16</v>
      </c>
      <c r="N11" s="10">
        <v>15</v>
      </c>
      <c r="O11" s="10">
        <v>5</v>
      </c>
      <c r="P11" s="152" cm="1">
        <f t="array" ref="P11">O11/D11</f>
        <v>0.135135135135135</v>
      </c>
      <c r="Q11" s="13" cm="1">
        <f t="array" ref="Q11">(G11*1+H11*2+I11*3+J11*4)/E11</f>
        <v>0.666666666666667</v>
      </c>
      <c r="R11" s="13" cm="1">
        <f t="array" ref="R11">(F11+N11)/D11</f>
        <v>0.648648648648649</v>
      </c>
      <c r="S11" s="15" cm="1">
        <f t="array" ref="S11">R11+Q11</f>
        <v>1.31531531531532</v>
      </c>
      <c r="T11" s="157" cm="1">
        <f t="array" ref="T11">O11/(D11-(F11+N11))</f>
        <v>0.384615384615385</v>
      </c>
      <c r="U11" s="17" cm="1">
        <f t="array" ref="U11">RANK(R11,$R$4:$R$26)</f>
        <v>1</v>
      </c>
      <c r="V11" s="18" cm="1">
        <f t="array" ref="V11">RANK(S11,$S$4:$S$26)</f>
        <v>3</v>
      </c>
      <c r="W11" s="154" cm="1">
        <f t="array" ref="W11">RANK(C11,$C$4:$C$26)</f>
        <v>8</v>
      </c>
      <c r="X11" s="155"/>
      <c r="Y11" s="48">
        <v>7</v>
      </c>
      <c r="Z11" s="48">
        <v>1</v>
      </c>
      <c r="AA11" s="48">
        <v>0</v>
      </c>
      <c r="AB11" s="48">
        <v>0</v>
      </c>
      <c r="AC11" s="48">
        <v>0</v>
      </c>
    </row>
    <row r="12" ht="19.5" customHeight="1">
      <c r="A12" t="s" s="8">
        <v>31</v>
      </c>
      <c r="B12" s="10">
        <v>16</v>
      </c>
      <c r="C12" s="151" cm="1">
        <f t="array" ref="C12">F12/E12</f>
        <v>0.425</v>
      </c>
      <c r="D12" s="10">
        <v>52</v>
      </c>
      <c r="E12" s="10">
        <v>40</v>
      </c>
      <c r="F12" s="10">
        <v>17</v>
      </c>
      <c r="G12" s="10">
        <v>16</v>
      </c>
      <c r="H12" s="10">
        <v>1</v>
      </c>
      <c r="I12" s="10">
        <v>0</v>
      </c>
      <c r="J12" s="10">
        <v>0</v>
      </c>
      <c r="K12" s="10">
        <v>21</v>
      </c>
      <c r="L12" s="10">
        <v>10</v>
      </c>
      <c r="M12" s="10">
        <v>13</v>
      </c>
      <c r="N12" s="10">
        <v>12</v>
      </c>
      <c r="O12" s="10">
        <v>8</v>
      </c>
      <c r="P12" s="152" cm="1">
        <f t="array" ref="P12">O12/D12</f>
        <v>0.153846153846154</v>
      </c>
      <c r="Q12" s="13" cm="1">
        <f t="array" ref="Q12">(G12*1+H12*2+I12*3+J12*4)/E12</f>
        <v>0.45</v>
      </c>
      <c r="R12" s="13" cm="1">
        <f t="array" ref="R12">(F12+N12)/D12</f>
        <v>0.557692307692308</v>
      </c>
      <c r="S12" s="15" cm="1">
        <f t="array" ref="S12">R12+Q12</f>
        <v>1.00769230769231</v>
      </c>
      <c r="T12" s="153" cm="1">
        <f t="array" ref="T12">O12/(D12-(F12+N12))</f>
        <v>0.347826086956522</v>
      </c>
      <c r="U12" s="17" cm="1">
        <f t="array" ref="U12">RANK(R12,$R$4:$R$26)</f>
        <v>4</v>
      </c>
      <c r="V12" s="18" cm="1">
        <f t="array" ref="V12">RANK(S12,$S$4:$S$26)</f>
        <v>10</v>
      </c>
      <c r="W12" s="154" cm="1">
        <f t="array" ref="W12">RANK(C12,$C$4:$C$26)</f>
        <v>9</v>
      </c>
      <c r="X12" s="155"/>
      <c r="Y12" s="48">
        <v>7</v>
      </c>
      <c r="Z12" s="48">
        <v>0</v>
      </c>
      <c r="AA12" s="48">
        <v>0</v>
      </c>
      <c r="AB12" s="48">
        <v>0</v>
      </c>
      <c r="AC12" s="48">
        <v>0</v>
      </c>
    </row>
    <row r="13" ht="19.5" customHeight="1">
      <c r="A13" t="s" s="8">
        <v>40</v>
      </c>
      <c r="B13" s="10">
        <v>8</v>
      </c>
      <c r="C13" s="151" cm="1">
        <f t="array" ref="C13">F13/E13</f>
        <v>0.416666666666667</v>
      </c>
      <c r="D13" s="10">
        <v>15</v>
      </c>
      <c r="E13" s="10">
        <v>12</v>
      </c>
      <c r="F13" s="10">
        <v>5</v>
      </c>
      <c r="G13" s="10">
        <v>3</v>
      </c>
      <c r="H13" s="10">
        <v>1</v>
      </c>
      <c r="I13" s="10">
        <v>1</v>
      </c>
      <c r="J13" s="10">
        <v>0</v>
      </c>
      <c r="K13" s="10">
        <v>5</v>
      </c>
      <c r="L13" s="10">
        <v>6</v>
      </c>
      <c r="M13" s="10">
        <v>4</v>
      </c>
      <c r="N13" s="10">
        <v>3</v>
      </c>
      <c r="O13" s="10">
        <v>2</v>
      </c>
      <c r="P13" s="152" cm="1">
        <f t="array" ref="P13">O13/D13</f>
        <v>0.133333333333333</v>
      </c>
      <c r="Q13" s="13" cm="1">
        <f t="array" ref="Q13">(G13*1+H13*2+I13*3+J13*4)/E13</f>
        <v>0.666666666666667</v>
      </c>
      <c r="R13" s="13" cm="1">
        <f t="array" ref="R13">(F13+N13)/D13</f>
        <v>0.533333333333333</v>
      </c>
      <c r="S13" s="15" cm="1">
        <f t="array" ref="S13">R13+Q13</f>
        <v>1.2</v>
      </c>
      <c r="T13" s="153" cm="1">
        <f t="array" ref="T13">O13/(D13-(F13+N13))</f>
        <v>0.285714285714286</v>
      </c>
      <c r="U13" s="17" cm="1">
        <f t="array" ref="U13">RANK(R13,$R$4:$R$26)</f>
        <v>7</v>
      </c>
      <c r="V13" s="18" cm="1">
        <f t="array" ref="V13">RANK(S13,$S$4:$S$26)</f>
        <v>5</v>
      </c>
      <c r="W13" s="154" cm="1">
        <f t="array" ref="W13">RANK(C13,$C$4:$C$26)</f>
        <v>10</v>
      </c>
      <c r="X13" s="155"/>
      <c r="Y13" s="48">
        <v>1</v>
      </c>
      <c r="Z13" s="48">
        <v>1</v>
      </c>
      <c r="AA13" s="48">
        <v>0</v>
      </c>
      <c r="AB13" s="48">
        <v>0</v>
      </c>
      <c r="AC13" s="48">
        <v>0</v>
      </c>
    </row>
    <row r="14" ht="19.5" customHeight="1">
      <c r="A14" t="s" s="8">
        <v>70</v>
      </c>
      <c r="B14" s="10">
        <v>7</v>
      </c>
      <c r="C14" s="151" cm="1">
        <f t="array" ref="C14">F14/E14</f>
        <v>0.411764705882353</v>
      </c>
      <c r="D14" s="10">
        <v>20</v>
      </c>
      <c r="E14" s="10">
        <v>17</v>
      </c>
      <c r="F14" s="10">
        <v>7</v>
      </c>
      <c r="G14" s="10">
        <v>6</v>
      </c>
      <c r="H14" s="10">
        <v>1</v>
      </c>
      <c r="I14" s="10">
        <v>0</v>
      </c>
      <c r="J14" s="10">
        <v>0</v>
      </c>
      <c r="K14" s="10">
        <v>5</v>
      </c>
      <c r="L14" s="10">
        <v>9</v>
      </c>
      <c r="M14" s="10">
        <v>3</v>
      </c>
      <c r="N14" s="10">
        <v>3</v>
      </c>
      <c r="O14" s="10">
        <v>1</v>
      </c>
      <c r="P14" s="152" cm="1">
        <f t="array" ref="P14">O14/D14</f>
        <v>0.05</v>
      </c>
      <c r="Q14" s="13" cm="1">
        <f t="array" ref="Q14">(G14*1+H14*2+I14*3+J14*4)/E14</f>
        <v>0.470588235294118</v>
      </c>
      <c r="R14" s="13" cm="1">
        <f t="array" ref="R14">(F14+N14)/D14</f>
        <v>0.5</v>
      </c>
      <c r="S14" s="15" cm="1">
        <f t="array" ref="S14">R14+Q14</f>
        <v>0.970588235294118</v>
      </c>
      <c r="T14" s="153" cm="1">
        <f t="array" ref="T14">O14/(D14-(F14+N14))</f>
        <v>0.1</v>
      </c>
      <c r="U14" s="17" cm="1">
        <f t="array" ref="U14">RANK(R14,$R$4:$R$26)</f>
        <v>11</v>
      </c>
      <c r="V14" s="18" cm="1">
        <f t="array" ref="V14">RANK(S14,$S$4:$S$26)</f>
        <v>11</v>
      </c>
      <c r="W14" s="154" cm="1">
        <f t="array" ref="W14">RANK(C14,$C$4:$C$26)</f>
        <v>11</v>
      </c>
      <c r="X14" s="155"/>
      <c r="Y14" s="158"/>
      <c r="Z14" s="158"/>
      <c r="AA14" s="158"/>
      <c r="AB14" s="158"/>
      <c r="AC14" s="158"/>
    </row>
    <row r="15" ht="19.5" customHeight="1">
      <c r="A15" t="s" s="8">
        <v>32</v>
      </c>
      <c r="B15" s="10">
        <v>12</v>
      </c>
      <c r="C15" s="151" cm="1">
        <f t="array" ref="C15">F15/E15</f>
        <v>0.4</v>
      </c>
      <c r="D15" s="10">
        <v>29</v>
      </c>
      <c r="E15" s="10">
        <v>25</v>
      </c>
      <c r="F15" s="10">
        <v>10</v>
      </c>
      <c r="G15" s="10">
        <v>10</v>
      </c>
      <c r="H15" s="10">
        <v>0</v>
      </c>
      <c r="I15" s="10">
        <v>0</v>
      </c>
      <c r="J15" s="10">
        <v>0</v>
      </c>
      <c r="K15" s="10">
        <v>9</v>
      </c>
      <c r="L15" s="10">
        <v>7</v>
      </c>
      <c r="M15" s="10">
        <v>4</v>
      </c>
      <c r="N15" s="10">
        <v>3</v>
      </c>
      <c r="O15" s="10">
        <v>1</v>
      </c>
      <c r="P15" s="152" cm="1">
        <f t="array" ref="P15">O15/D15</f>
        <v>0.0344827586206897</v>
      </c>
      <c r="Q15" s="13" cm="1">
        <f t="array" ref="Q15">(G15*1+H15*2+I15*3+J15*4)/E15</f>
        <v>0.4</v>
      </c>
      <c r="R15" s="13" cm="1">
        <f t="array" ref="R15">(F15+N15)/D15</f>
        <v>0.448275862068966</v>
      </c>
      <c r="S15" s="15" cm="1">
        <f t="array" ref="S15">R15+Q15</f>
        <v>0.848275862068966</v>
      </c>
      <c r="T15" s="153" cm="1">
        <f t="array" ref="T15">O15/(D15-(F15+N15))</f>
        <v>0.0625</v>
      </c>
      <c r="U15" s="17" cm="1">
        <f t="array" ref="U15">RANK(R15,$R$4:$R$26)</f>
        <v>17</v>
      </c>
      <c r="V15" s="18" cm="1">
        <f t="array" ref="V15">RANK(S15,$S$4:$S$26)</f>
        <v>14</v>
      </c>
      <c r="W15" s="154" cm="1">
        <f t="array" ref="W15">RANK(C15,$C$4:$C$26)</f>
        <v>12</v>
      </c>
      <c r="X15" s="155"/>
      <c r="Y15" s="48">
        <v>3</v>
      </c>
      <c r="Z15" s="48">
        <v>0</v>
      </c>
      <c r="AA15" s="48">
        <v>0</v>
      </c>
      <c r="AB15" s="48">
        <v>0</v>
      </c>
      <c r="AC15" s="48">
        <v>0</v>
      </c>
    </row>
    <row r="16" ht="19.5" customHeight="1">
      <c r="A16" t="s" s="8">
        <v>38</v>
      </c>
      <c r="B16" s="10">
        <v>8</v>
      </c>
      <c r="C16" s="151" cm="1">
        <f t="array" ref="C16">F16/E16</f>
        <v>0.363636363636364</v>
      </c>
      <c r="D16" s="10">
        <v>16</v>
      </c>
      <c r="E16" s="10">
        <v>11</v>
      </c>
      <c r="F16" s="10">
        <v>4</v>
      </c>
      <c r="G16" s="10">
        <v>2</v>
      </c>
      <c r="H16" s="10">
        <v>2</v>
      </c>
      <c r="I16" s="10">
        <v>0</v>
      </c>
      <c r="J16" s="10">
        <v>0</v>
      </c>
      <c r="K16" s="10">
        <v>7</v>
      </c>
      <c r="L16" s="10">
        <v>3</v>
      </c>
      <c r="M16" s="10">
        <v>3</v>
      </c>
      <c r="N16" s="10">
        <v>5</v>
      </c>
      <c r="O16" s="10">
        <v>0</v>
      </c>
      <c r="P16" s="152" cm="1">
        <f t="array" ref="P16">O16/D16</f>
        <v>0</v>
      </c>
      <c r="Q16" s="13" cm="1">
        <f t="array" ref="Q16">(G16*1+H16*2+I16*3+J16*4)/E16</f>
        <v>0.545454545454545</v>
      </c>
      <c r="R16" s="13" cm="1">
        <f t="array" ref="R16">(F16+N16)/D16</f>
        <v>0.5625</v>
      </c>
      <c r="S16" s="15" cm="1">
        <f t="array" ref="S16">R16+Q16</f>
        <v>1.10795454545455</v>
      </c>
      <c r="T16" s="153" cm="1">
        <f t="array" ref="T16">O16/(D16-(F16+N16))</f>
        <v>0</v>
      </c>
      <c r="U16" s="17" cm="1">
        <f t="array" ref="U16">RANK(R16,$R$4:$R$26)</f>
        <v>3</v>
      </c>
      <c r="V16" s="18" cm="1">
        <f t="array" ref="V16">RANK(S16,$S$4:$S$26)</f>
        <v>7</v>
      </c>
      <c r="W16" s="154" cm="1">
        <f t="array" ref="W16">RANK(C16,$C$4:$C$26)</f>
        <v>13</v>
      </c>
      <c r="X16" s="155"/>
      <c r="Y16" s="48">
        <v>1</v>
      </c>
      <c r="Z16" s="48">
        <v>0</v>
      </c>
      <c r="AA16" s="48">
        <v>0</v>
      </c>
      <c r="AB16" s="48">
        <v>0</v>
      </c>
      <c r="AC16" s="48">
        <v>0</v>
      </c>
    </row>
    <row r="17" ht="19.5" customHeight="1">
      <c r="A17" t="s" s="8">
        <v>35</v>
      </c>
      <c r="B17" s="10">
        <v>15</v>
      </c>
      <c r="C17" s="151" cm="1">
        <f t="array" ref="C17">F17/E17</f>
        <v>0.333333333333333</v>
      </c>
      <c r="D17" s="10">
        <v>29</v>
      </c>
      <c r="E17" s="10">
        <v>21</v>
      </c>
      <c r="F17" s="10">
        <v>7</v>
      </c>
      <c r="G17" s="10">
        <v>7</v>
      </c>
      <c r="H17" s="10">
        <v>0</v>
      </c>
      <c r="I17" s="10">
        <v>0</v>
      </c>
      <c r="J17" s="10">
        <v>0</v>
      </c>
      <c r="K17" s="10">
        <v>10</v>
      </c>
      <c r="L17" s="10">
        <v>4</v>
      </c>
      <c r="M17" s="10">
        <v>10</v>
      </c>
      <c r="N17" s="10">
        <v>7</v>
      </c>
      <c r="O17" s="10">
        <v>6</v>
      </c>
      <c r="P17" s="156" cm="1">
        <f t="array" ref="P17">O17/D17</f>
        <v>0.206896551724138</v>
      </c>
      <c r="Q17" s="13" cm="1">
        <f t="array" ref="Q17">(G17*1+H17*2+I17*3+J17*4)/E17</f>
        <v>0.333333333333333</v>
      </c>
      <c r="R17" s="13" cm="1">
        <f t="array" ref="R17">(F17+N17)/D17</f>
        <v>0.482758620689655</v>
      </c>
      <c r="S17" s="15" cm="1">
        <f t="array" ref="S17">R17+Q17</f>
        <v>0.816091954022988</v>
      </c>
      <c r="T17" s="157" cm="1">
        <f t="array" ref="T17">O17/(D17-(F17+N17))</f>
        <v>0.4</v>
      </c>
      <c r="U17" s="17" cm="1">
        <f t="array" ref="U17">RANK(R17,$R$4:$R$26)</f>
        <v>15</v>
      </c>
      <c r="V17" s="18" cm="1">
        <f t="array" ref="V17">RANK(S17,$S$4:$S$26)</f>
        <v>15</v>
      </c>
      <c r="W17" s="154" cm="1">
        <f t="array" ref="W17">RANK(C17,$C$4:$C$26)</f>
        <v>14</v>
      </c>
      <c r="X17" s="155"/>
      <c r="Y17" s="48">
        <v>4</v>
      </c>
      <c r="Z17" s="48">
        <v>2</v>
      </c>
      <c r="AA17" s="48">
        <v>0</v>
      </c>
      <c r="AB17" s="48">
        <v>0</v>
      </c>
      <c r="AC17" s="48">
        <v>0</v>
      </c>
    </row>
    <row r="18" ht="19.5" customHeight="1">
      <c r="A18" t="s" s="8">
        <v>39</v>
      </c>
      <c r="B18" s="10">
        <v>15</v>
      </c>
      <c r="C18" s="151" cm="1">
        <f t="array" ref="C18">F18/E18</f>
        <v>0.333333333333333</v>
      </c>
      <c r="D18" s="10">
        <v>36</v>
      </c>
      <c r="E18" s="10">
        <v>30</v>
      </c>
      <c r="F18" s="10">
        <v>10</v>
      </c>
      <c r="G18" s="10">
        <v>9</v>
      </c>
      <c r="H18" s="10">
        <v>1</v>
      </c>
      <c r="I18" s="10">
        <v>0</v>
      </c>
      <c r="J18" s="10">
        <v>0</v>
      </c>
      <c r="K18" s="10">
        <v>6</v>
      </c>
      <c r="L18" s="10">
        <v>6</v>
      </c>
      <c r="M18" s="10">
        <v>3</v>
      </c>
      <c r="N18" s="10">
        <v>4</v>
      </c>
      <c r="O18" s="10">
        <v>6</v>
      </c>
      <c r="P18" s="152" cm="1">
        <f t="array" ref="P18">O18/D18</f>
        <v>0.166666666666667</v>
      </c>
      <c r="Q18" s="13" cm="1">
        <f t="array" ref="Q18">(G18*1+H18*2+I18*3+J18*4)/E18</f>
        <v>0.366666666666667</v>
      </c>
      <c r="R18" s="13" cm="1">
        <f t="array" ref="R18">(F18+N18)/D18</f>
        <v>0.388888888888889</v>
      </c>
      <c r="S18" s="15" cm="1">
        <f t="array" ref="S18">R18+Q18</f>
        <v>0.755555555555556</v>
      </c>
      <c r="T18" s="153" cm="1">
        <f t="array" ref="T18">O18/(D18-(F18+N18))</f>
        <v>0.272727272727273</v>
      </c>
      <c r="U18" s="17" cm="1">
        <f t="array" ref="U18">RANK(R18,$R$4:$R$26)</f>
        <v>18</v>
      </c>
      <c r="V18" s="18" cm="1">
        <f t="array" ref="V18">RANK(S18,$S$4:$S$26)</f>
        <v>19</v>
      </c>
      <c r="W18" s="154" cm="1">
        <f t="array" ref="W18">RANK(C18,$C$4:$C$26)</f>
        <v>14</v>
      </c>
      <c r="X18" s="155"/>
      <c r="Y18" s="48">
        <v>3</v>
      </c>
      <c r="Z18" s="48">
        <v>0</v>
      </c>
      <c r="AA18" s="48">
        <v>0</v>
      </c>
      <c r="AB18" s="48">
        <v>0</v>
      </c>
      <c r="AC18" s="48">
        <v>0</v>
      </c>
    </row>
    <row r="19" ht="19.5" customHeight="1">
      <c r="A19" t="s" s="8">
        <v>71</v>
      </c>
      <c r="B19" s="10">
        <v>8</v>
      </c>
      <c r="C19" s="151" cm="1">
        <f t="array" ref="C19">F19/E19</f>
        <v>0.3</v>
      </c>
      <c r="D19" s="10">
        <v>25</v>
      </c>
      <c r="E19" s="10">
        <v>20</v>
      </c>
      <c r="F19" s="10">
        <v>6</v>
      </c>
      <c r="G19" s="10">
        <v>3</v>
      </c>
      <c r="H19" s="10">
        <v>1</v>
      </c>
      <c r="I19" s="10">
        <v>1</v>
      </c>
      <c r="J19" s="10">
        <v>1</v>
      </c>
      <c r="K19" s="10">
        <v>7</v>
      </c>
      <c r="L19" s="10">
        <v>10</v>
      </c>
      <c r="M19" s="10">
        <v>5</v>
      </c>
      <c r="N19" s="10">
        <v>3</v>
      </c>
      <c r="O19" s="10">
        <v>3</v>
      </c>
      <c r="P19" s="152" cm="1">
        <f t="array" ref="P19">O19/D19</f>
        <v>0.12</v>
      </c>
      <c r="Q19" s="13" cm="1">
        <f t="array" ref="Q19">(G19*1+H19*2+I19*3+J19*4)/E19</f>
        <v>0.6</v>
      </c>
      <c r="R19" s="13" cm="1">
        <f t="array" ref="R19">(F19+N19)/D19</f>
        <v>0.36</v>
      </c>
      <c r="S19" s="15" cm="1">
        <f t="array" ref="S19">R19+Q19</f>
        <v>0.96</v>
      </c>
      <c r="T19" s="153" cm="1">
        <f t="array" ref="T19">O19/(D19-(F19+N19))</f>
        <v>0.1875</v>
      </c>
      <c r="U19" s="17" cm="1">
        <f t="array" ref="U19">RANK(R19,$R$4:$R$26)</f>
        <v>20</v>
      </c>
      <c r="V19" s="18" cm="1">
        <f t="array" ref="V19">RANK(S19,$S$4:$S$26)</f>
        <v>13</v>
      </c>
      <c r="W19" s="154" cm="1">
        <f t="array" ref="W19">RANK(C19,$C$4:$C$26)</f>
        <v>16</v>
      </c>
      <c r="X19" s="155"/>
      <c r="Y19" s="158"/>
      <c r="Z19" s="158"/>
      <c r="AA19" s="158"/>
      <c r="AB19" s="158"/>
      <c r="AC19" s="158"/>
    </row>
    <row r="20" ht="19.5" customHeight="1">
      <c r="A20" t="s" s="8">
        <v>36</v>
      </c>
      <c r="B20" s="10">
        <v>9</v>
      </c>
      <c r="C20" s="151" cm="1">
        <f t="array" ref="C20">F20/E20</f>
        <v>0.294117647058824</v>
      </c>
      <c r="D20" s="10">
        <v>20</v>
      </c>
      <c r="E20" s="10">
        <v>17</v>
      </c>
      <c r="F20" s="10">
        <v>5</v>
      </c>
      <c r="G20" s="10">
        <v>5</v>
      </c>
      <c r="H20" s="10">
        <v>0</v>
      </c>
      <c r="I20" s="10">
        <v>0</v>
      </c>
      <c r="J20" s="10">
        <v>0</v>
      </c>
      <c r="K20" s="10">
        <v>4</v>
      </c>
      <c r="L20" s="10">
        <v>2</v>
      </c>
      <c r="M20" s="10">
        <v>3</v>
      </c>
      <c r="N20" s="10">
        <v>2</v>
      </c>
      <c r="O20" s="10">
        <v>2</v>
      </c>
      <c r="P20" s="152" cm="1">
        <f t="array" ref="P20">O20/D20</f>
        <v>0.1</v>
      </c>
      <c r="Q20" s="13" cm="1">
        <f t="array" ref="Q20">(G20*1+H20*2+I20*3+J20*4)/E20</f>
        <v>0.294117647058824</v>
      </c>
      <c r="R20" s="13" cm="1">
        <f t="array" ref="R20">(F20+N20)/D20</f>
        <v>0.35</v>
      </c>
      <c r="S20" s="15" cm="1">
        <f t="array" ref="S20">R20+Q20</f>
        <v>0.644117647058824</v>
      </c>
      <c r="T20" s="153" cm="1">
        <f t="array" ref="T20">O20/(D20-(F20+N20))</f>
        <v>0.153846153846154</v>
      </c>
      <c r="U20" s="17" cm="1">
        <f t="array" ref="U20">RANK(R20,$R$4:$R$26)</f>
        <v>21</v>
      </c>
      <c r="V20" s="18" cm="1">
        <f t="array" ref="V20">RANK(S20,$S$4:$S$26)</f>
        <v>20</v>
      </c>
      <c r="W20" s="154" cm="1">
        <f t="array" ref="W20">RANK(C20,$C$4:$C$26)</f>
        <v>17</v>
      </c>
      <c r="X20" s="155"/>
      <c r="Y20" s="48">
        <v>2</v>
      </c>
      <c r="Z20" s="48">
        <v>0</v>
      </c>
      <c r="AA20" s="48">
        <v>0</v>
      </c>
      <c r="AB20" s="48">
        <v>0</v>
      </c>
      <c r="AC20" s="48">
        <v>0</v>
      </c>
    </row>
    <row r="21" ht="19.5" customHeight="1">
      <c r="A21" t="s" s="8">
        <v>44</v>
      </c>
      <c r="B21" s="10">
        <v>16</v>
      </c>
      <c r="C21" s="151" cm="1">
        <f t="array" ref="C21">F21/E21</f>
        <v>0.277777777777778</v>
      </c>
      <c r="D21" s="10">
        <v>47</v>
      </c>
      <c r="E21" s="10">
        <v>36</v>
      </c>
      <c r="F21" s="10">
        <v>10</v>
      </c>
      <c r="G21" s="10">
        <v>6</v>
      </c>
      <c r="H21" s="10">
        <v>3</v>
      </c>
      <c r="I21" s="10">
        <v>1</v>
      </c>
      <c r="J21" s="10">
        <v>0</v>
      </c>
      <c r="K21" s="10">
        <v>14</v>
      </c>
      <c r="L21" s="10">
        <v>11</v>
      </c>
      <c r="M21" s="10">
        <v>11</v>
      </c>
      <c r="N21" s="10">
        <v>8</v>
      </c>
      <c r="O21" s="10">
        <v>6</v>
      </c>
      <c r="P21" s="152" cm="1">
        <f t="array" ref="P21">O21/D21</f>
        <v>0.127659574468085</v>
      </c>
      <c r="Q21" s="13" cm="1">
        <f t="array" ref="Q21">(G21*1+H21*2+I21*3+J21*4)/E21</f>
        <v>0.416666666666667</v>
      </c>
      <c r="R21" s="13" cm="1">
        <f t="array" ref="R21">(F21+N21)/D21</f>
        <v>0.382978723404255</v>
      </c>
      <c r="S21" s="15" cm="1">
        <f t="array" ref="S21">R21+Q21</f>
        <v>0.7996453900709219</v>
      </c>
      <c r="T21" s="153" cm="1">
        <f t="array" ref="T21">O21/(D21-(F21+N21))</f>
        <v>0.206896551724138</v>
      </c>
      <c r="U21" s="17" cm="1">
        <f t="array" ref="U21">RANK(R21,$R$4:$R$26)</f>
        <v>19</v>
      </c>
      <c r="V21" s="18" cm="1">
        <f t="array" ref="V21">RANK(S21,$S$4:$S$26)</f>
        <v>16</v>
      </c>
      <c r="W21" s="154" cm="1">
        <f t="array" ref="W21">RANK(C21,$C$4:$C$26)</f>
        <v>18</v>
      </c>
      <c r="X21" s="155"/>
      <c r="Y21" s="48">
        <v>6</v>
      </c>
      <c r="Z21" s="48">
        <v>0</v>
      </c>
      <c r="AA21" s="48">
        <v>2</v>
      </c>
      <c r="AB21" s="48">
        <v>0</v>
      </c>
      <c r="AC21" s="48">
        <v>0</v>
      </c>
    </row>
    <row r="22" ht="19.5" customHeight="1">
      <c r="A22" t="s" s="8">
        <v>69</v>
      </c>
      <c r="B22" s="10">
        <v>8</v>
      </c>
      <c r="C22" s="151" cm="1">
        <f t="array" ref="C22">F22/E22</f>
        <v>0.272727272727273</v>
      </c>
      <c r="D22" s="10">
        <v>16</v>
      </c>
      <c r="E22" s="10">
        <v>11</v>
      </c>
      <c r="F22" s="10">
        <v>3</v>
      </c>
      <c r="G22" s="10">
        <v>3</v>
      </c>
      <c r="H22" s="10">
        <v>0</v>
      </c>
      <c r="I22" s="10">
        <v>0</v>
      </c>
      <c r="J22" s="10">
        <v>0</v>
      </c>
      <c r="K22" s="10">
        <v>4</v>
      </c>
      <c r="L22" s="10">
        <v>4</v>
      </c>
      <c r="M22" s="10">
        <v>6</v>
      </c>
      <c r="N22" s="10">
        <v>5</v>
      </c>
      <c r="O22" s="10">
        <v>5</v>
      </c>
      <c r="P22" s="152" cm="1">
        <f t="array" ref="P22">O22/D22</f>
        <v>0.3125</v>
      </c>
      <c r="Q22" s="13" cm="1">
        <f t="array" ref="Q22">(G22*1+H22*2+I22*3+J22*4)/E22</f>
        <v>0.272727272727273</v>
      </c>
      <c r="R22" s="13" cm="1">
        <f t="array" ref="R22">(F22+N22)/D22</f>
        <v>0.5</v>
      </c>
      <c r="S22" s="15" cm="1">
        <f t="array" ref="S22">R22+Q22</f>
        <v>0.772727272727273</v>
      </c>
      <c r="T22" s="153" cm="1">
        <f t="array" ref="T22">O22/(D22-(F22+N22))</f>
        <v>0.625</v>
      </c>
      <c r="U22" s="17" cm="1">
        <f t="array" ref="U22">RANK(R22,$R$4:$R$26)</f>
        <v>11</v>
      </c>
      <c r="V22" s="18" cm="1">
        <f t="array" ref="V22">RANK(S22,$S$4:$S$26)</f>
        <v>17</v>
      </c>
      <c r="W22" s="154" cm="1">
        <f t="array" ref="W22">RANK(C22,$C$4:$C$26)</f>
        <v>19</v>
      </c>
      <c r="X22" s="155"/>
      <c r="Y22" s="48">
        <v>5</v>
      </c>
      <c r="Z22" s="48">
        <v>0</v>
      </c>
      <c r="AA22" s="48">
        <v>0</v>
      </c>
      <c r="AB22" s="48">
        <v>0</v>
      </c>
      <c r="AC22" s="48">
        <v>0</v>
      </c>
    </row>
    <row r="23" ht="19.5" customHeight="1">
      <c r="A23" t="s" s="8">
        <v>42</v>
      </c>
      <c r="B23" s="10">
        <v>6</v>
      </c>
      <c r="C23" s="151" cm="1">
        <f t="array" ref="C23">F23/E23</f>
        <v>0.2</v>
      </c>
      <c r="D23" s="10">
        <v>15</v>
      </c>
      <c r="E23" s="10">
        <v>10</v>
      </c>
      <c r="F23" s="10">
        <v>2</v>
      </c>
      <c r="G23" s="10">
        <v>1</v>
      </c>
      <c r="H23" s="10">
        <v>1</v>
      </c>
      <c r="I23" s="10">
        <v>0</v>
      </c>
      <c r="J23" s="10">
        <v>0</v>
      </c>
      <c r="K23" s="10">
        <v>2</v>
      </c>
      <c r="L23" s="10">
        <v>0</v>
      </c>
      <c r="M23" s="10">
        <v>1</v>
      </c>
      <c r="N23" s="10">
        <v>5</v>
      </c>
      <c r="O23" s="10">
        <v>4</v>
      </c>
      <c r="P23" s="152" cm="1">
        <f t="array" ref="P23">O23/D23</f>
        <v>0.266666666666667</v>
      </c>
      <c r="Q23" s="13" cm="1">
        <f t="array" ref="Q23">(G23*1+H23*2+I23*3+J23*4)/E23</f>
        <v>0.3</v>
      </c>
      <c r="R23" s="13" cm="1">
        <f t="array" ref="R23">(F23+N23)/D23</f>
        <v>0.466666666666667</v>
      </c>
      <c r="S23" s="15" cm="1">
        <f t="array" ref="S23">R23+Q23</f>
        <v>0.7666666666666671</v>
      </c>
      <c r="T23" s="157" cm="1">
        <f t="array" ref="T23">O23/(D23-(F23+N23))</f>
        <v>0.5</v>
      </c>
      <c r="U23" s="17" cm="1">
        <f t="array" ref="U23">RANK(R23,$R$4:$R$26)</f>
        <v>16</v>
      </c>
      <c r="V23" s="18" cm="1">
        <f t="array" ref="V23">RANK(S23,$S$4:$S$26)</f>
        <v>18</v>
      </c>
      <c r="W23" s="154" cm="1">
        <f t="array" ref="W23">RANK(C23,$C$4:$C$26)</f>
        <v>20</v>
      </c>
      <c r="X23" s="155"/>
      <c r="Y23" s="48">
        <v>5</v>
      </c>
      <c r="Z23" s="48">
        <v>0</v>
      </c>
      <c r="AA23" s="48">
        <v>0</v>
      </c>
      <c r="AB23" s="48">
        <v>0</v>
      </c>
      <c r="AC23" s="48">
        <v>0</v>
      </c>
    </row>
    <row r="24" ht="19.5" customHeight="1">
      <c r="A24" t="s" s="8">
        <v>25</v>
      </c>
      <c r="B24" s="10">
        <v>8</v>
      </c>
      <c r="C24" s="151" cm="1">
        <f t="array" ref="C24">F24/E24</f>
        <v>0.111111111111111</v>
      </c>
      <c r="D24" s="10">
        <v>16</v>
      </c>
      <c r="E24" s="10">
        <v>9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3</v>
      </c>
      <c r="L24" s="10">
        <v>1</v>
      </c>
      <c r="M24" s="10">
        <v>1</v>
      </c>
      <c r="N24" s="10">
        <v>7</v>
      </c>
      <c r="O24" s="10">
        <v>6</v>
      </c>
      <c r="P24" s="156" cm="1">
        <f t="array" ref="P24">O24/D24</f>
        <v>0.375</v>
      </c>
      <c r="Q24" s="13" cm="1">
        <f t="array" ref="Q24">(G24*1+H24*2+I24*3+J24*4)/E24</f>
        <v>0.111111111111111</v>
      </c>
      <c r="R24" s="13" cm="1">
        <f t="array" ref="R24">(F24+N24)/D24</f>
        <v>0.5</v>
      </c>
      <c r="S24" s="15" cm="1">
        <f t="array" ref="S24">R24+Q24</f>
        <v>0.611111111111111</v>
      </c>
      <c r="T24" s="157" cm="1">
        <f t="array" ref="T24">O24/(D24-(F24+N24))</f>
        <v>0.75</v>
      </c>
      <c r="U24" s="17" cm="1">
        <f t="array" ref="U24">RANK(R24,$R$4:$R$26)</f>
        <v>11</v>
      </c>
      <c r="V24" s="18" cm="1">
        <f t="array" ref="V24">RANK(S24,$S$4:$S$26)</f>
        <v>21</v>
      </c>
      <c r="W24" s="154" cm="1">
        <f t="array" ref="W24">RANK(C24,$C$4:$C$26)</f>
        <v>21</v>
      </c>
      <c r="X24" s="155"/>
      <c r="Y24" s="48">
        <v>4</v>
      </c>
      <c r="Z24" s="48">
        <v>3</v>
      </c>
      <c r="AA24" s="48">
        <v>0</v>
      </c>
      <c r="AB24" s="48">
        <v>0</v>
      </c>
      <c r="AC24" s="48">
        <v>0</v>
      </c>
    </row>
    <row r="25" ht="19.5" customHeight="1">
      <c r="A25" t="s" s="8">
        <v>27</v>
      </c>
      <c r="B25" s="10">
        <v>1</v>
      </c>
      <c r="C25" s="151" cm="1">
        <f t="array" ref="C25">F25/E25</f>
        <v>0</v>
      </c>
      <c r="D25" s="10">
        <v>2</v>
      </c>
      <c r="E25" s="10">
        <v>2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52" cm="1">
        <f t="array" ref="P25">O25/D25</f>
        <v>0.5</v>
      </c>
      <c r="Q25" s="13" cm="1">
        <f t="array" ref="Q25">(G25*1+H25*2+I25*3+J25*4)/E25</f>
        <v>0</v>
      </c>
      <c r="R25" s="13" cm="1">
        <f t="array" ref="R25">(F25+N25)/D25</f>
        <v>0</v>
      </c>
      <c r="S25" s="15" cm="1">
        <f t="array" ref="S25">R25+Q25</f>
        <v>0</v>
      </c>
      <c r="T25" s="153" cm="1">
        <f t="array" ref="T25">O25/(D25-(F25+N25))</f>
        <v>0.5</v>
      </c>
      <c r="U25" s="17" cm="1">
        <f t="array" ref="U25">RANK(R25,$R$4:$R$26)</f>
        <v>22</v>
      </c>
      <c r="V25" s="18" cm="1">
        <f t="array" ref="V25">RANK(S25,$S$4:$S$26)</f>
        <v>22</v>
      </c>
      <c r="W25" s="154" cm="1">
        <f t="array" ref="W25">RANK(C25,$C$4:$C$26)</f>
        <v>22</v>
      </c>
      <c r="X25" s="155"/>
      <c r="Y25" s="48">
        <v>0</v>
      </c>
      <c r="Z25" s="48">
        <v>0</v>
      </c>
      <c r="AA25" s="48">
        <v>0</v>
      </c>
      <c r="AB25" s="48">
        <v>0</v>
      </c>
      <c r="AC25" s="48">
        <v>0</v>
      </c>
    </row>
    <row r="26" ht="19.5" customHeight="1">
      <c r="A26" t="s" s="8">
        <v>41</v>
      </c>
      <c r="B26" s="10">
        <v>2</v>
      </c>
      <c r="C26" s="151" cm="1">
        <f t="array" ref="C26">F26/E26</f>
        <v>0</v>
      </c>
      <c r="D26" s="10">
        <v>4</v>
      </c>
      <c r="E26" s="10">
        <v>3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2</v>
      </c>
      <c r="N26" s="10">
        <v>1</v>
      </c>
      <c r="O26" s="10">
        <v>0</v>
      </c>
      <c r="P26" s="152"/>
      <c r="Q26" s="13"/>
      <c r="R26" s="13"/>
      <c r="S26" s="15"/>
      <c r="T26" s="153"/>
      <c r="U26" s="159"/>
      <c r="V26" s="160"/>
      <c r="W26" s="154" cm="1">
        <f t="array" ref="W26">RANK(C26,$C$4:$C$26)</f>
        <v>22</v>
      </c>
      <c r="X26" s="155"/>
      <c r="Y26" s="48">
        <v>1</v>
      </c>
      <c r="Z26" s="48">
        <v>0</v>
      </c>
      <c r="AA26" s="48">
        <v>0</v>
      </c>
      <c r="AB26" s="48">
        <v>0</v>
      </c>
      <c r="AC26" s="48">
        <v>0</v>
      </c>
    </row>
    <row r="27" ht="19.5" customHeight="1">
      <c r="A27" t="s" s="29">
        <v>45</v>
      </c>
      <c r="B27" s="124"/>
      <c r="C27" s="127" cm="1">
        <f t="array" ref="C27">F27/E27</f>
        <v>0.408829174664107</v>
      </c>
      <c r="D27" s="49" cm="1">
        <f t="array" ref="D27">SUM(D4:D26)</f>
        <v>663</v>
      </c>
      <c r="E27" s="49" cm="1">
        <f t="array" ref="E27">SUM(E4:E26)</f>
        <v>521</v>
      </c>
      <c r="F27" s="49" cm="1">
        <f t="array" ref="F27">SUM(F4:F26)</f>
        <v>213</v>
      </c>
      <c r="G27" s="49" cm="1">
        <f t="array" ref="G27">SUM(G4:G26)</f>
        <v>157</v>
      </c>
      <c r="H27" s="49" cm="1">
        <f t="array" ref="H27">SUM(H4:H26)</f>
        <v>44</v>
      </c>
      <c r="I27" s="49" cm="1">
        <f t="array" ref="I27">SUM(I4:I26)</f>
        <v>10</v>
      </c>
      <c r="J27" s="49" cm="1">
        <f t="array" ref="J27">SUM(J4:J26)</f>
        <v>4</v>
      </c>
      <c r="K27" s="49" cm="1">
        <f t="array" ref="K27">SUM(K4:K26)</f>
        <v>230</v>
      </c>
      <c r="L27" s="49" cm="1">
        <f t="array" ref="L27">SUM(L4:L26)</f>
        <v>179</v>
      </c>
      <c r="M27" s="49" cm="1">
        <f t="array" ref="M27">SUM(M4:M26)</f>
        <v>186</v>
      </c>
      <c r="N27" s="49" cm="1">
        <f t="array" ref="N27">SUM(N4:N26)</f>
        <v>123</v>
      </c>
      <c r="O27" s="49" cm="1">
        <f t="array" ref="O27">SUM(O4:O26)</f>
        <v>84</v>
      </c>
      <c r="P27" s="33" cm="1">
        <f t="array" ref="P27">O27/D27</f>
        <v>0.126696832579186</v>
      </c>
      <c r="Q27" s="127"/>
      <c r="R27" s="127"/>
      <c r="S27" s="121"/>
      <c r="T27" s="31"/>
      <c r="U27" s="31"/>
      <c r="V27" s="31"/>
      <c r="W27" s="31"/>
      <c r="X27" s="150"/>
      <c r="Y27" s="161" cm="1">
        <f t="array" ref="Y27">SUM(Y4:Y26)</f>
        <v>61</v>
      </c>
      <c r="Z27" s="161" cm="1">
        <f t="array" ref="Z27">SUM(Z4:Z26)</f>
        <v>18</v>
      </c>
      <c r="AA27" s="161" cm="1">
        <f t="array" ref="AA27">SUM(AA4:AA26)</f>
        <v>2</v>
      </c>
      <c r="AB27" s="161" cm="1">
        <f t="array" ref="AB27">SUM(AB4:AB26)</f>
        <v>0</v>
      </c>
      <c r="AC27" s="161" cm="1">
        <f t="array" ref="AC27">SUM(AC4:AC26)</f>
        <v>0</v>
      </c>
    </row>
    <row r="28" ht="16.5" customHeight="1">
      <c r="A28" s="162"/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48"/>
      <c r="Y28" s="163"/>
      <c r="Z28" s="163"/>
      <c r="AA28" s="163"/>
      <c r="AB28" s="163"/>
      <c r="AC28" s="164"/>
    </row>
    <row r="29" ht="17.25" customHeight="1">
      <c r="A29" t="s" s="146">
        <v>46</v>
      </c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47"/>
      <c r="S29" s="147"/>
      <c r="T29" s="147"/>
      <c r="U29" s="147"/>
      <c r="V29" s="147"/>
      <c r="W29" s="147"/>
      <c r="X29" s="148"/>
      <c r="Y29" s="147"/>
      <c r="Z29" s="147"/>
      <c r="AA29" s="148"/>
      <c r="AB29" s="148"/>
      <c r="AC29" s="166"/>
    </row>
    <row r="30" ht="34.5" customHeight="1">
      <c r="A30" t="s" s="8">
        <v>2</v>
      </c>
      <c r="B30" t="s" s="8">
        <v>3</v>
      </c>
      <c r="C30" t="s" s="8">
        <v>47</v>
      </c>
      <c r="D30" t="s" s="8">
        <v>48</v>
      </c>
      <c r="E30" t="s" s="8">
        <v>49</v>
      </c>
      <c r="F30" t="s" s="8">
        <v>50</v>
      </c>
      <c r="G30" t="s" s="8">
        <v>6</v>
      </c>
      <c r="H30" t="s" s="8">
        <v>51</v>
      </c>
      <c r="I30" t="s" s="8">
        <v>52</v>
      </c>
      <c r="J30" t="s" s="8">
        <v>53</v>
      </c>
      <c r="K30" t="s" s="8">
        <v>54</v>
      </c>
      <c r="L30" t="s" s="8">
        <v>55</v>
      </c>
      <c r="M30" t="s" s="8">
        <v>56</v>
      </c>
      <c r="N30" t="s" s="8">
        <v>57</v>
      </c>
      <c r="O30" t="s" s="8">
        <v>58</v>
      </c>
      <c r="P30" t="s" s="8">
        <v>59</v>
      </c>
      <c r="Q30" t="s" s="8">
        <v>60</v>
      </c>
      <c r="R30" t="s" s="8">
        <v>61</v>
      </c>
      <c r="S30" t="s" s="8">
        <v>116</v>
      </c>
      <c r="T30" t="s" s="8">
        <v>63</v>
      </c>
      <c r="U30" t="s" s="8">
        <v>64</v>
      </c>
      <c r="V30" t="s" s="8">
        <v>65</v>
      </c>
      <c r="W30" t="s" s="8">
        <v>117</v>
      </c>
      <c r="X30" s="150"/>
      <c r="Y30" t="s" s="8">
        <v>118</v>
      </c>
      <c r="Z30" t="s" s="8">
        <v>119</v>
      </c>
      <c r="AA30" s="167"/>
      <c r="AB30" s="148"/>
      <c r="AC30" s="166"/>
    </row>
    <row r="31" ht="19.5" customHeight="1">
      <c r="A31" t="s" s="8">
        <v>29</v>
      </c>
      <c r="B31" s="10">
        <v>11</v>
      </c>
      <c r="C31" s="10">
        <v>3</v>
      </c>
      <c r="D31" s="10">
        <v>0</v>
      </c>
      <c r="E31" s="10">
        <v>0</v>
      </c>
      <c r="F31" s="10">
        <v>175</v>
      </c>
      <c r="G31" s="10">
        <v>137</v>
      </c>
      <c r="H31" s="39">
        <v>28</v>
      </c>
      <c r="I31" s="10">
        <v>52</v>
      </c>
      <c r="J31" s="10">
        <v>1</v>
      </c>
      <c r="K31" s="168">
        <v>28</v>
      </c>
      <c r="L31" s="168">
        <v>9</v>
      </c>
      <c r="M31" s="10">
        <v>23</v>
      </c>
      <c r="N31" s="10">
        <v>48</v>
      </c>
      <c r="O31" s="10">
        <v>37</v>
      </c>
      <c r="P31" s="169" cm="1">
        <f t="array" ref="P31">O31*9/H31</f>
        <v>11.8928571428571</v>
      </c>
      <c r="Q31" s="41" cm="1">
        <f t="array" ref="Q31">(K31+L31)/H31</f>
        <v>1.32142857142857</v>
      </c>
      <c r="R31" s="42" cm="1">
        <f t="array" ref="R31">I31/H31</f>
        <v>1.85714285714286</v>
      </c>
      <c r="S31" s="42" cm="1">
        <f t="array" ref="S31">H31/B31</f>
        <v>2.54545454545455</v>
      </c>
      <c r="T31" s="41" cm="1">
        <f t="array" ref="T31">M31/H31</f>
        <v>0.821428571428571</v>
      </c>
      <c r="U31" s="44" cm="1">
        <f t="array" ref="U31">O31/N31</f>
        <v>0.770833333333333</v>
      </c>
      <c r="V31" s="41" cm="1">
        <f t="array" ref="V31">(I31+K31+L31)/H31</f>
        <v>3.17857142857143</v>
      </c>
      <c r="W31" s="170" cm="1">
        <f t="array" ref="W31">(L31+K31)/F31*100</f>
        <v>21.1428571428571</v>
      </c>
      <c r="X31" s="171"/>
      <c r="Y31" s="10">
        <v>1</v>
      </c>
      <c r="Z31" s="10">
        <v>0</v>
      </c>
      <c r="AA31" s="167"/>
      <c r="AB31" s="148"/>
      <c r="AC31" s="166"/>
    </row>
    <row r="32" ht="19.5" customHeight="1">
      <c r="A32" t="s" s="8">
        <v>33</v>
      </c>
      <c r="B32" s="10">
        <v>8</v>
      </c>
      <c r="C32" s="10">
        <v>4</v>
      </c>
      <c r="D32" s="10">
        <v>2</v>
      </c>
      <c r="E32" s="10">
        <v>0</v>
      </c>
      <c r="F32" s="10">
        <v>118</v>
      </c>
      <c r="G32" s="10">
        <v>103</v>
      </c>
      <c r="H32" s="39">
        <v>25</v>
      </c>
      <c r="I32" s="10">
        <v>25</v>
      </c>
      <c r="J32" s="10">
        <v>0</v>
      </c>
      <c r="K32" s="168">
        <v>12</v>
      </c>
      <c r="L32" s="168">
        <v>2</v>
      </c>
      <c r="M32" s="10">
        <v>29</v>
      </c>
      <c r="N32" s="10">
        <v>24</v>
      </c>
      <c r="O32" s="10">
        <v>11</v>
      </c>
      <c r="P32" s="169" cm="1">
        <f t="array" ref="P32">O32*9/H32</f>
        <v>3.96</v>
      </c>
      <c r="Q32" s="41" cm="1">
        <f t="array" ref="Q32">(K32+L32)/H32</f>
        <v>0.5600000000000001</v>
      </c>
      <c r="R32" s="42" cm="1">
        <f t="array" ref="R32">I32/H32</f>
        <v>1</v>
      </c>
      <c r="S32" s="42" cm="1">
        <f t="array" ref="S32">H32/B32</f>
        <v>3.125</v>
      </c>
      <c r="T32" s="41" cm="1">
        <f t="array" ref="T32">M32/H32</f>
        <v>1.16</v>
      </c>
      <c r="U32" s="44" cm="1">
        <f t="array" ref="U32">O32/N32</f>
        <v>0.458333333333333</v>
      </c>
      <c r="V32" s="41" cm="1">
        <f t="array" ref="V32">(I32+K32+L32)/H32</f>
        <v>1.56</v>
      </c>
      <c r="W32" s="170" cm="1">
        <f t="array" ref="W32">(L32+K32)/F32*100</f>
        <v>11.864406779661</v>
      </c>
      <c r="X32" s="171"/>
      <c r="Y32" s="10">
        <v>0</v>
      </c>
      <c r="Z32" s="10">
        <v>0</v>
      </c>
      <c r="AA32" s="167"/>
      <c r="AB32" s="148"/>
      <c r="AC32" s="166"/>
    </row>
    <row r="33" ht="19.5" customHeight="1">
      <c r="A33" t="s" s="8">
        <v>43</v>
      </c>
      <c r="B33" s="10">
        <v>12</v>
      </c>
      <c r="C33" s="10">
        <v>2</v>
      </c>
      <c r="D33" s="10">
        <v>6</v>
      </c>
      <c r="E33" s="10">
        <v>0</v>
      </c>
      <c r="F33" s="10">
        <v>170</v>
      </c>
      <c r="G33" s="10">
        <v>119</v>
      </c>
      <c r="H33" s="39">
        <v>21.6666666666667</v>
      </c>
      <c r="I33" s="10">
        <v>40</v>
      </c>
      <c r="J33" s="10">
        <v>1</v>
      </c>
      <c r="K33" s="168">
        <v>42</v>
      </c>
      <c r="L33" s="168">
        <v>7</v>
      </c>
      <c r="M33" s="10">
        <v>29</v>
      </c>
      <c r="N33" s="10">
        <v>75</v>
      </c>
      <c r="O33" s="10">
        <v>45</v>
      </c>
      <c r="P33" s="169" cm="1">
        <f t="array" ref="P33">O33*9/H33</f>
        <v>18.6923076923077</v>
      </c>
      <c r="Q33" s="41" cm="1">
        <f t="array" ref="Q33">(K33+L33)/H33</f>
        <v>2.26153846153846</v>
      </c>
      <c r="R33" s="42" cm="1">
        <f t="array" ref="R33">I33/H33</f>
        <v>1.84615384615384</v>
      </c>
      <c r="S33" s="42" cm="1">
        <f t="array" ref="S33">H33/B33</f>
        <v>1.80555555555556</v>
      </c>
      <c r="T33" s="41" cm="1">
        <f t="array" ref="T33">M33/H33</f>
        <v>1.33846153846154</v>
      </c>
      <c r="U33" s="44" cm="1">
        <f t="array" ref="U33">O33/N33</f>
        <v>0.6</v>
      </c>
      <c r="V33" s="41" cm="1">
        <f t="array" ref="V33">(I33+K33+L33)/H33</f>
        <v>4.1076923076923</v>
      </c>
      <c r="W33" s="170" cm="1">
        <f t="array" ref="W33">(L33+K33)/F33*100</f>
        <v>28.8235294117647</v>
      </c>
      <c r="X33" s="171"/>
      <c r="Y33" s="10">
        <v>7</v>
      </c>
      <c r="Z33" s="10">
        <v>0</v>
      </c>
      <c r="AA33" s="167"/>
      <c r="AB33" s="148"/>
      <c r="AC33" s="166"/>
    </row>
    <row r="34" ht="19.5" customHeight="1">
      <c r="A34" t="s" s="8">
        <v>36</v>
      </c>
      <c r="B34" s="10">
        <v>7</v>
      </c>
      <c r="C34" s="10">
        <v>2</v>
      </c>
      <c r="D34" s="10">
        <v>1</v>
      </c>
      <c r="E34" s="10">
        <v>0</v>
      </c>
      <c r="F34" s="10">
        <v>94</v>
      </c>
      <c r="G34" s="10">
        <v>64</v>
      </c>
      <c r="H34" s="39">
        <v>11.6666666</v>
      </c>
      <c r="I34" s="10">
        <v>31</v>
      </c>
      <c r="J34" s="10">
        <v>1</v>
      </c>
      <c r="K34" s="168">
        <v>24</v>
      </c>
      <c r="L34" s="168">
        <v>4</v>
      </c>
      <c r="M34" s="10">
        <v>11</v>
      </c>
      <c r="N34" s="10">
        <v>36</v>
      </c>
      <c r="O34" s="10">
        <v>26</v>
      </c>
      <c r="P34" s="169" cm="1">
        <f t="array" ref="P34">O34*9/H34</f>
        <v>20.0571429717551</v>
      </c>
      <c r="Q34" s="41" cm="1">
        <f t="array" ref="Q34">(K34+L34)/H34</f>
        <v>2.40000001371429</v>
      </c>
      <c r="R34" s="42" cm="1">
        <f t="array" ref="R34">I34/H34</f>
        <v>2.65714287232653</v>
      </c>
      <c r="S34" s="42" cm="1">
        <f t="array" ref="S34">H34/B34</f>
        <v>1.66666665714286</v>
      </c>
      <c r="T34" s="41" cm="1">
        <f t="array" ref="T34">M34/H34</f>
        <v>0.942857148244898</v>
      </c>
      <c r="U34" s="44" cm="1">
        <f t="array" ref="U34">O34/N34</f>
        <v>0.722222222222222</v>
      </c>
      <c r="V34" s="41" cm="1">
        <f t="array" ref="V34">(I34+K34+L34)/H34</f>
        <v>5.05714288604082</v>
      </c>
      <c r="W34" s="170" cm="1">
        <f t="array" ref="W34">(L34+K34)/F34*100</f>
        <v>29.7872340425532</v>
      </c>
      <c r="X34" s="171"/>
      <c r="Y34" s="10">
        <v>0</v>
      </c>
      <c r="Z34" s="10">
        <v>0</v>
      </c>
      <c r="AA34" s="167"/>
      <c r="AB34" s="148"/>
      <c r="AC34" s="166"/>
    </row>
    <row r="35" ht="19.5" customHeight="1">
      <c r="A35" t="s" s="8">
        <v>37</v>
      </c>
      <c r="B35" s="10">
        <v>7</v>
      </c>
      <c r="C35" s="10">
        <v>0</v>
      </c>
      <c r="D35" s="10">
        <v>0</v>
      </c>
      <c r="E35" s="10">
        <v>0</v>
      </c>
      <c r="F35" s="10">
        <v>60</v>
      </c>
      <c r="G35" s="10">
        <v>49</v>
      </c>
      <c r="H35" s="39">
        <v>9.333333333000001</v>
      </c>
      <c r="I35" s="10">
        <v>20</v>
      </c>
      <c r="J35" s="10">
        <v>0</v>
      </c>
      <c r="K35" s="168">
        <v>9</v>
      </c>
      <c r="L35" s="168">
        <v>2</v>
      </c>
      <c r="M35" s="10">
        <v>10</v>
      </c>
      <c r="N35" s="10">
        <v>22</v>
      </c>
      <c r="O35" s="10">
        <v>19</v>
      </c>
      <c r="P35" s="169" cm="1">
        <f t="array" ref="P35">O35*9/H35</f>
        <v>18.3214285720829</v>
      </c>
      <c r="Q35" s="41" cm="1">
        <f t="array" ref="Q35">(K35+L35)/H35</f>
        <v>1.17857142861352</v>
      </c>
      <c r="R35" s="42" cm="1">
        <f t="array" ref="R35">I35/H35</f>
        <v>2.14285714293367</v>
      </c>
      <c r="S35" s="42" cm="1">
        <f t="array" ref="S35">H35/B35</f>
        <v>1.33333333328571</v>
      </c>
      <c r="T35" s="41" cm="1">
        <f t="array" ref="T35">M35/H35</f>
        <v>1.07142857146684</v>
      </c>
      <c r="U35" s="44" cm="1">
        <f t="array" ref="U35">O35/N35</f>
        <v>0.863636363636364</v>
      </c>
      <c r="V35" s="41" cm="1">
        <f t="array" ref="V35">(I35+K35+L35)/H35</f>
        <v>3.32142857154719</v>
      </c>
      <c r="W35" s="170" cm="1">
        <f t="array" ref="W35">(L35+K35)/F35*100</f>
        <v>18.3333333333333</v>
      </c>
      <c r="X35" s="171"/>
      <c r="Y35" s="10">
        <v>0</v>
      </c>
      <c r="Z35" s="10">
        <v>0</v>
      </c>
      <c r="AA35" s="167"/>
      <c r="AB35" s="148"/>
      <c r="AC35" s="166"/>
    </row>
    <row r="36" ht="19.5" customHeight="1">
      <c r="A36" t="s" s="8">
        <v>40</v>
      </c>
      <c r="B36" s="10">
        <v>7</v>
      </c>
      <c r="C36" s="10">
        <v>1</v>
      </c>
      <c r="D36" s="10">
        <v>2</v>
      </c>
      <c r="E36" s="10">
        <v>0</v>
      </c>
      <c r="F36" s="10">
        <v>68</v>
      </c>
      <c r="G36" s="10">
        <v>53</v>
      </c>
      <c r="H36" s="39">
        <v>7.333332666</v>
      </c>
      <c r="I36" s="10">
        <v>22</v>
      </c>
      <c r="J36" s="10">
        <v>0</v>
      </c>
      <c r="K36" s="168">
        <v>5</v>
      </c>
      <c r="L36" s="168">
        <v>9</v>
      </c>
      <c r="M36" s="10">
        <v>13</v>
      </c>
      <c r="N36" s="10">
        <v>34</v>
      </c>
      <c r="O36" s="10">
        <v>24</v>
      </c>
      <c r="P36" s="169" cm="1">
        <f t="array" ref="P36">O36*9/H36</f>
        <v>29.4545481349093</v>
      </c>
      <c r="Q36" s="172" cm="1">
        <f t="array" ref="Q36">(K36+L36)/H36</f>
        <v>1.9090910828182</v>
      </c>
      <c r="R36" s="173" cm="1">
        <f t="array" ref="R36">I36/H36</f>
        <v>3.00000027300002</v>
      </c>
      <c r="S36" s="173" cm="1">
        <f t="array" ref="S36">H36/B36</f>
        <v>1.04761895228571</v>
      </c>
      <c r="T36" s="172" cm="1">
        <f t="array" ref="T36">M36/H36</f>
        <v>1.77272743404547</v>
      </c>
      <c r="U36" s="174" cm="1">
        <f t="array" ref="U36">O36/N36</f>
        <v>0.705882352941176</v>
      </c>
      <c r="V36" s="172" cm="1">
        <f t="array" ref="V36">(I36+K36+L36)/H36</f>
        <v>4.90909135581822</v>
      </c>
      <c r="W36" s="175" cm="1">
        <f t="array" ref="W36">(L36+K36)/F36*100</f>
        <v>20.5882352941176</v>
      </c>
      <c r="X36" s="176"/>
      <c r="Y36" s="10">
        <v>2</v>
      </c>
      <c r="Z36" s="10">
        <v>0</v>
      </c>
      <c r="AA36" s="167"/>
      <c r="AB36" s="148"/>
      <c r="AC36" s="166"/>
    </row>
    <row r="37" ht="19.5" customHeight="1">
      <c r="A37" t="s" s="8">
        <v>41</v>
      </c>
      <c r="B37" s="10">
        <v>1</v>
      </c>
      <c r="C37" s="10">
        <v>0</v>
      </c>
      <c r="D37" s="10">
        <v>0</v>
      </c>
      <c r="E37" s="10">
        <v>0</v>
      </c>
      <c r="F37" s="10">
        <v>5</v>
      </c>
      <c r="G37" s="10">
        <v>1</v>
      </c>
      <c r="H37" s="39">
        <v>0.33333333333333</v>
      </c>
      <c r="I37" s="10">
        <v>0</v>
      </c>
      <c r="J37" s="10">
        <v>0</v>
      </c>
      <c r="K37" s="168">
        <v>3</v>
      </c>
      <c r="L37" s="168">
        <v>1</v>
      </c>
      <c r="M37" s="10">
        <v>0</v>
      </c>
      <c r="N37" s="10">
        <v>4</v>
      </c>
      <c r="O37" s="10">
        <v>1</v>
      </c>
      <c r="P37" s="169" cm="1">
        <f t="array" ref="P37">O37*9/H37</f>
        <v>27.0000000000003</v>
      </c>
      <c r="Q37" s="172" cm="1">
        <f t="array" ref="Q37">(K37+L37)/H37</f>
        <v>12.0000000000001</v>
      </c>
      <c r="R37" s="173" cm="1">
        <f t="array" ref="R37">I37/H37</f>
        <v>0</v>
      </c>
      <c r="S37" s="173" cm="1">
        <f t="array" ref="S37">H37/B37</f>
        <v>0.33333333333333</v>
      </c>
      <c r="T37" s="172" cm="1">
        <f t="array" ref="T37">M37/H37</f>
        <v>0</v>
      </c>
      <c r="U37" s="174" cm="1">
        <f t="array" ref="U37">O37/N37</f>
        <v>0.25</v>
      </c>
      <c r="V37" s="172" cm="1">
        <f t="array" ref="V37">(I37+K37+L37)/H37</f>
        <v>12.0000000000001</v>
      </c>
      <c r="W37" s="175" cm="1">
        <f t="array" ref="W37">(L37+K37)/F37*100</f>
        <v>80</v>
      </c>
      <c r="X37" s="176"/>
      <c r="Y37" s="10">
        <v>0</v>
      </c>
      <c r="Z37" s="10">
        <v>0</v>
      </c>
      <c r="AA37" s="167"/>
      <c r="AB37" s="148"/>
      <c r="AC37" s="166"/>
    </row>
    <row r="38" ht="19.5" customHeight="1">
      <c r="A38" t="s" s="8">
        <v>24</v>
      </c>
      <c r="B38" s="10">
        <v>1</v>
      </c>
      <c r="C38" s="10">
        <v>0</v>
      </c>
      <c r="D38" s="10">
        <v>0</v>
      </c>
      <c r="E38" s="10">
        <v>0</v>
      </c>
      <c r="F38" s="10">
        <v>4</v>
      </c>
      <c r="G38" s="10">
        <v>2</v>
      </c>
      <c r="H38" s="39">
        <v>0.3333333</v>
      </c>
      <c r="I38" s="10">
        <v>1</v>
      </c>
      <c r="J38" s="10">
        <v>0</v>
      </c>
      <c r="K38" s="168">
        <v>1</v>
      </c>
      <c r="L38" s="168">
        <v>1</v>
      </c>
      <c r="M38" s="10">
        <v>1</v>
      </c>
      <c r="N38" s="10">
        <v>0</v>
      </c>
      <c r="O38" s="10">
        <v>0</v>
      </c>
      <c r="P38" s="169" cm="1">
        <f t="array" ref="P38">O38*9/H38</f>
        <v>0</v>
      </c>
      <c r="Q38" s="172" cm="1">
        <f t="array" ref="Q38">(K38+L38)/H38</f>
        <v>6.00000060000006</v>
      </c>
      <c r="R38" s="173" cm="1">
        <f t="array" ref="R38">I38/H38</f>
        <v>3.00000030000003</v>
      </c>
      <c r="S38" s="173" cm="1">
        <f t="array" ref="S38">H38/B38</f>
        <v>0.3333333</v>
      </c>
      <c r="T38" s="172" cm="1">
        <f t="array" ref="T38">M38/H38</f>
        <v>3.00000030000003</v>
      </c>
      <c r="U38" s="174" cm="1">
        <f t="array" ref="U38">O38/N38</f>
      </c>
      <c r="V38" s="172" cm="1">
        <f t="array" ref="V38">(I38+K38+L38)/H38</f>
        <v>9.00000090000009</v>
      </c>
      <c r="W38" s="175" cm="1">
        <f t="array" ref="W38">(L38+K38)/F38*100</f>
        <v>50</v>
      </c>
      <c r="X38" s="176"/>
      <c r="Y38" s="10">
        <v>0</v>
      </c>
      <c r="Z38" s="10">
        <v>0</v>
      </c>
      <c r="AA38" s="167"/>
      <c r="AB38" s="148"/>
      <c r="AC38" s="166"/>
    </row>
    <row r="39" ht="19.5" customHeight="1">
      <c r="A39" t="s" s="8">
        <v>27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39">
        <v>0</v>
      </c>
      <c r="I39" s="10">
        <v>0</v>
      </c>
      <c r="J39" s="10">
        <v>0</v>
      </c>
      <c r="K39" s="168">
        <v>0</v>
      </c>
      <c r="L39" s="168">
        <v>0</v>
      </c>
      <c r="M39" s="10">
        <v>0</v>
      </c>
      <c r="N39" s="10">
        <v>0</v>
      </c>
      <c r="O39" s="10">
        <v>0</v>
      </c>
      <c r="P39" s="169" cm="1">
        <f t="array" ref="P39">99</f>
        <v>99</v>
      </c>
      <c r="Q39" s="172" cm="1">
        <f t="array" ref="Q39">(K39+L39)/H39</f>
      </c>
      <c r="R39" s="173" cm="1">
        <f t="array" ref="R39">I39/H39</f>
      </c>
      <c r="S39" s="173" cm="1">
        <f t="array" ref="S39">H39/B39</f>
      </c>
      <c r="T39" s="172" cm="1">
        <f t="array" ref="T39">M39/H39</f>
      </c>
      <c r="U39" s="174" cm="1">
        <f t="array" ref="U39">O39/N39</f>
      </c>
      <c r="V39" s="172" cm="1">
        <f t="array" ref="V39">(I39+K39+L39)/H39</f>
      </c>
      <c r="W39" s="175" cm="1">
        <f t="array" ref="W39">(L39+K39)/F39*100</f>
      </c>
      <c r="X39" s="176"/>
      <c r="Y39" s="10">
        <v>0</v>
      </c>
      <c r="Z39" s="10">
        <v>0</v>
      </c>
      <c r="AA39" s="167"/>
      <c r="AB39" s="148"/>
      <c r="AC39" s="166"/>
    </row>
    <row r="40" ht="19.5" customHeight="1">
      <c r="A40" t="s" s="8">
        <v>35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39">
        <v>0</v>
      </c>
      <c r="I40" s="10">
        <v>0</v>
      </c>
      <c r="J40" s="10">
        <v>0</v>
      </c>
      <c r="K40" s="168">
        <v>0</v>
      </c>
      <c r="L40" s="168">
        <v>0</v>
      </c>
      <c r="M40" s="10">
        <v>0</v>
      </c>
      <c r="N40" s="10">
        <v>0</v>
      </c>
      <c r="O40" s="10">
        <v>0</v>
      </c>
      <c r="P40" s="169">
        <v>99</v>
      </c>
      <c r="Q40" s="172" cm="1">
        <f t="array" ref="Q40">(K40+L40)/H40</f>
      </c>
      <c r="R40" s="173" cm="1">
        <f t="array" ref="R40">I40/H40</f>
      </c>
      <c r="S40" s="173" cm="1">
        <f t="array" ref="S40">H40/B40</f>
      </c>
      <c r="T40" s="172" cm="1">
        <f t="array" ref="T40">M40/H40</f>
      </c>
      <c r="U40" s="174" cm="1">
        <f t="array" ref="U40">O40/N40</f>
      </c>
      <c r="V40" s="172" cm="1">
        <f t="array" ref="V40">(I40+K40+L40)/H40</f>
      </c>
      <c r="W40" s="175" cm="1">
        <f t="array" ref="W40">(L40+K40)/F40*100</f>
      </c>
      <c r="X40" s="176"/>
      <c r="Y40" s="10">
        <v>0</v>
      </c>
      <c r="Z40" s="10">
        <v>0</v>
      </c>
      <c r="AA40" s="167"/>
      <c r="AB40" s="148"/>
      <c r="AC40" s="166"/>
    </row>
    <row r="41" ht="19.5" customHeight="1">
      <c r="A41" t="s" s="8">
        <v>42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39">
        <v>0</v>
      </c>
      <c r="I41" s="10">
        <v>0</v>
      </c>
      <c r="J41" s="10">
        <v>0</v>
      </c>
      <c r="K41" s="168">
        <v>0</v>
      </c>
      <c r="L41" s="168">
        <v>0</v>
      </c>
      <c r="M41" s="10">
        <v>0</v>
      </c>
      <c r="N41" s="10">
        <v>0</v>
      </c>
      <c r="O41" s="10">
        <v>0</v>
      </c>
      <c r="P41" s="169" cm="1">
        <f t="array" ref="P41">99</f>
        <v>99</v>
      </c>
      <c r="Q41" s="172" cm="1">
        <f t="array" ref="Q41">(K41+L41)/H41</f>
      </c>
      <c r="R41" s="173" cm="1">
        <f t="array" ref="R41">I41/H41</f>
      </c>
      <c r="S41" s="173" cm="1">
        <f t="array" ref="S41">H41/B41</f>
      </c>
      <c r="T41" s="172" cm="1">
        <f t="array" ref="T41">M41/H41</f>
      </c>
      <c r="U41" s="174" cm="1">
        <f t="array" ref="U41">O41/N41</f>
      </c>
      <c r="V41" s="172" cm="1">
        <f t="array" ref="V41">(I41+K41+L41)/H41</f>
      </c>
      <c r="W41" s="175" cm="1">
        <f t="array" ref="W41">(L41+K41)/F41*100</f>
      </c>
      <c r="X41" s="176"/>
      <c r="Y41" s="10">
        <v>0</v>
      </c>
      <c r="Z41" s="10">
        <v>0</v>
      </c>
      <c r="AA41" s="167"/>
      <c r="AB41" s="148"/>
      <c r="AC41" s="166"/>
    </row>
    <row r="42" ht="19.5" customHeight="1">
      <c r="A42" t="s" s="29">
        <v>45</v>
      </c>
      <c r="B42" s="124"/>
      <c r="C42" s="49" cm="1">
        <f t="array" ref="C42">SUM(C31:C41)</f>
        <v>12</v>
      </c>
      <c r="D42" s="49" cm="1">
        <f t="array" ref="D42">SUM(D31:D41)</f>
        <v>11</v>
      </c>
      <c r="E42" s="49" cm="1">
        <f t="array" ref="E42">SUM(E31:E41)</f>
        <v>0</v>
      </c>
      <c r="F42" s="49" cm="1">
        <f t="array" ref="F42">SUM(F31:F41)</f>
        <v>694</v>
      </c>
      <c r="G42" s="49" cm="1">
        <f t="array" ref="G42">SUM(G31:G41)</f>
        <v>528</v>
      </c>
      <c r="H42" s="50" cm="1">
        <f t="array" ref="H42">SUM(H31:H41)</f>
        <v>103.666665899</v>
      </c>
      <c r="I42" s="49" cm="1">
        <f t="array" ref="I42">SUM(I31:I41)</f>
        <v>191</v>
      </c>
      <c r="J42" s="49" cm="1">
        <f t="array" ref="J42">SUM(J31:J41)</f>
        <v>3</v>
      </c>
      <c r="K42" s="49" cm="1">
        <f t="array" ref="K42">SUM(K31:K41)</f>
        <v>124</v>
      </c>
      <c r="L42" s="49" cm="1">
        <f t="array" ref="L42">SUM(L31:L41)</f>
        <v>35</v>
      </c>
      <c r="M42" s="49" cm="1">
        <f t="array" ref="M42">SUM(M31:M41)</f>
        <v>116</v>
      </c>
      <c r="N42" s="49" cm="1">
        <f t="array" ref="N42">SUM(N31:N41)</f>
        <v>243</v>
      </c>
      <c r="O42" s="49" cm="1">
        <f t="array" ref="O42">SUM(O31:O41)</f>
        <v>163</v>
      </c>
      <c r="P42" s="51" cm="1">
        <f t="array" ref="P42">O42*9/H42</f>
        <v>14.1511255067204</v>
      </c>
      <c r="Q42" s="54" cm="1">
        <f t="array" ref="Q42">(K42+L42)/H42</f>
        <v>1.53376206923554</v>
      </c>
      <c r="R42" s="177" cm="1">
        <f t="array" ref="R42">I42/H42</f>
        <v>1.8424437435471</v>
      </c>
      <c r="S42" s="177"/>
      <c r="T42" s="54" cm="1">
        <f t="array" ref="T42">M42/H42</f>
        <v>1.11897106937939</v>
      </c>
      <c r="U42" s="55" cm="1">
        <f t="array" ref="U42">O42/N42</f>
        <v>0.6707818930041149</v>
      </c>
      <c r="V42" s="54" cm="1">
        <f t="array" ref="V42">(I42+K42+L42)/H42</f>
        <v>3.37620581278264</v>
      </c>
      <c r="W42" s="54"/>
      <c r="X42" s="176"/>
      <c r="Y42" s="49" cm="1">
        <f t="array" ref="Y42">SUM(Y31:Y41)</f>
        <v>10</v>
      </c>
      <c r="Z42" s="49" cm="1">
        <f t="array" ref="Z42">SUM(Z31:Z41)</f>
        <v>0</v>
      </c>
      <c r="AA42" s="167"/>
      <c r="AB42" s="148"/>
      <c r="AC42" s="166"/>
    </row>
    <row r="43" ht="16.5" customHeight="1">
      <c r="A43" s="162"/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48"/>
      <c r="Y43" s="163"/>
      <c r="Z43" s="163"/>
      <c r="AA43" s="148"/>
      <c r="AB43" s="148"/>
      <c r="AC43" s="166"/>
    </row>
    <row r="44" ht="16.5" customHeight="1">
      <c r="A44" s="17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66"/>
    </row>
    <row r="45" ht="16.5" customHeight="1">
      <c r="A45" s="179"/>
      <c r="B45" s="180"/>
      <c r="C45" s="180"/>
      <c r="D45" s="180"/>
      <c r="E45" s="180"/>
      <c r="F45" s="180"/>
      <c r="G45" s="180"/>
      <c r="H45" s="180"/>
      <c r="I45" s="180"/>
      <c r="J45" t="s" s="181">
        <v>120</v>
      </c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2"/>
    </row>
  </sheetData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" customHeight="1" outlineLevelRow="0" outlineLevelCol="0"/>
  <cols>
    <col min="1" max="14" width="16.3516" style="183" customWidth="1"/>
    <col min="15" max="16384" width="16.3516" style="183" customWidth="1"/>
  </cols>
  <sheetData>
    <row r="1" ht="19" customHeight="1">
      <c r="A1" t="s" s="184">
        <v>121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ht="18" customHeight="1">
      <c r="A2" t="s" s="185">
        <v>2</v>
      </c>
      <c r="B2" t="s" s="186">
        <v>51</v>
      </c>
      <c r="C2" t="s" s="186">
        <v>59</v>
      </c>
      <c r="D2" t="s" s="186">
        <v>16</v>
      </c>
      <c r="E2" t="s" s="186">
        <v>61</v>
      </c>
      <c r="F2" t="s" s="186">
        <v>54</v>
      </c>
      <c r="G2" t="s" s="186">
        <v>122</v>
      </c>
      <c r="H2" t="s" s="186">
        <v>65</v>
      </c>
      <c r="I2" t="s" s="186">
        <v>123</v>
      </c>
      <c r="J2" t="s" s="186">
        <v>124</v>
      </c>
      <c r="K2" t="s" s="186">
        <v>125</v>
      </c>
      <c r="L2" t="s" s="186">
        <v>126</v>
      </c>
      <c r="M2" t="s" s="186">
        <v>127</v>
      </c>
      <c r="N2" t="s" s="186">
        <v>128</v>
      </c>
    </row>
    <row r="3" ht="18" customHeight="1">
      <c r="A3" t="s" s="8">
        <v>29</v>
      </c>
      <c r="B3" s="187" cm="1">
        <f t="array" ref="B3">ROUND('25년 시즌'!H31/MAX('25년 시즌'!$H$31:$H$37)*100,0)</f>
        <v>100</v>
      </c>
      <c r="C3" s="188" cm="1">
        <f t="array" ref="C3">ROUND(MIN('25년 시즌'!$P$31:$P$37)/'25년 시즌'!P31*100,0)</f>
        <v>33</v>
      </c>
      <c r="D3" s="188" cm="1">
        <f t="array" ref="D3">ROUND('25년 시즌'!M31/MAX('25년 시즌'!$M$31:$M$41)*100,0)</f>
        <v>79</v>
      </c>
      <c r="E3" s="189" cm="1">
        <f t="array" ref="E3">ROUND(MIN('25년 시즌'!$R$31:$R$36)/'25년 시즌'!R31*100,0)</f>
        <v>54</v>
      </c>
      <c r="F3" s="188" cm="1">
        <f t="array" ref="F3">ROUND(MIN('25년 시즌'!$W$31:$W$38/'25년 시즌'!W31*100),0)</f>
        <v>56</v>
      </c>
      <c r="G3" s="190"/>
      <c r="H3" s="190"/>
      <c r="I3" s="188" cm="1">
        <f t="array" ref="I3">'25년 시즌'!F31</f>
        <v>175</v>
      </c>
      <c r="J3" s="188" cm="1">
        <f t="array" ref="J3">'25년 시즌'!G31</f>
        <v>137</v>
      </c>
      <c r="K3" s="188" cm="1">
        <f t="array" ref="K3">J3-L3-M3</f>
        <v>62</v>
      </c>
      <c r="L3" s="188" cm="1">
        <f t="array" ref="L3">'25년 시즌'!M31</f>
        <v>23</v>
      </c>
      <c r="M3" s="188" cm="1">
        <f t="array" ref="M3">'25년 시즌'!I31</f>
        <v>52</v>
      </c>
      <c r="N3" s="188" cm="1">
        <f t="array" ref="N3">'25년 시즌'!K31+'25년 시즌'!L31</f>
        <v>37</v>
      </c>
    </row>
    <row r="4" ht="18" customHeight="1">
      <c r="A4" t="s" s="8">
        <v>33</v>
      </c>
      <c r="B4" s="191" cm="1">
        <f t="array" ref="B4">ROUND('25년 시즌'!H32/MAX('25년 시즌'!$H$31:$H$37)*100,0)</f>
        <v>89</v>
      </c>
      <c r="C4" s="192" cm="1">
        <f t="array" ref="C4">ROUND(MIN('25년 시즌'!$P$31:$P$37)/'25년 시즌'!P32*100,0)</f>
        <v>100</v>
      </c>
      <c r="D4" s="192" cm="1">
        <f t="array" ref="D4">ROUND('25년 시즌'!M32/MAX('25년 시즌'!$M$31:$M$41)*100,0)</f>
        <v>100</v>
      </c>
      <c r="E4" s="193" cm="1">
        <f t="array" ref="E4">ROUND(MIN('25년 시즌'!$R$31:$R$36)/'25년 시즌'!R32*100,0)</f>
        <v>100</v>
      </c>
      <c r="F4" s="192" cm="1">
        <f t="array" ref="F4">ROUND(MIN('25년 시즌'!$W$31:$W$38/'25년 시즌'!W32*100),0)</f>
        <v>100</v>
      </c>
      <c r="G4" s="194"/>
      <c r="H4" s="194"/>
      <c r="I4" s="192" cm="1">
        <f t="array" ref="I4">'25년 시즌'!F32</f>
        <v>118</v>
      </c>
      <c r="J4" s="192" cm="1">
        <f t="array" ref="J4">'25년 시즌'!G32</f>
        <v>103</v>
      </c>
      <c r="K4" s="192" cm="1">
        <f t="array" ref="K4">J4-L4-M4</f>
        <v>49</v>
      </c>
      <c r="L4" s="192" cm="1">
        <f t="array" ref="L4">'25년 시즌'!M32</f>
        <v>29</v>
      </c>
      <c r="M4" s="192" cm="1">
        <f t="array" ref="M4">'25년 시즌'!I32</f>
        <v>25</v>
      </c>
      <c r="N4" s="192" cm="1">
        <f t="array" ref="N4">'25년 시즌'!K32+'25년 시즌'!L32</f>
        <v>14</v>
      </c>
    </row>
    <row r="5" ht="18" customHeight="1">
      <c r="A5" t="s" s="8">
        <v>43</v>
      </c>
      <c r="B5" s="191" cm="1">
        <f t="array" ref="B5">ROUND('25년 시즌'!H33/MAX('25년 시즌'!$H$31:$H$37)*100,0)</f>
        <v>77</v>
      </c>
      <c r="C5" s="192" cm="1">
        <f t="array" ref="C5">ROUND(MIN('25년 시즌'!$P$31:$P$37)/'25년 시즌'!P33*100,0)</f>
        <v>21</v>
      </c>
      <c r="D5" s="192" cm="1">
        <f t="array" ref="D5">ROUND('25년 시즌'!M33/MAX('25년 시즌'!$M$31:$M$41)*100,0)</f>
        <v>100</v>
      </c>
      <c r="E5" s="193" cm="1">
        <f t="array" ref="E5">ROUND(MIN('25년 시즌'!$R$31:$R$36)/'25년 시즌'!R33*100,0)</f>
        <v>54</v>
      </c>
      <c r="F5" s="192" cm="1">
        <f t="array" ref="F5">ROUND(MIN('25년 시즌'!$W$31:$W$38/'25년 시즌'!W33*100),0)</f>
        <v>41</v>
      </c>
      <c r="G5" s="194"/>
      <c r="H5" s="194"/>
      <c r="I5" s="192" cm="1">
        <f t="array" ref="I5">'25년 시즌'!F33</f>
        <v>170</v>
      </c>
      <c r="J5" s="192" cm="1">
        <f t="array" ref="J5">'25년 시즌'!G33</f>
        <v>119</v>
      </c>
      <c r="K5" s="192" cm="1">
        <f t="array" ref="K5">J5-L5-M5</f>
        <v>50</v>
      </c>
      <c r="L5" s="192" cm="1">
        <f t="array" ref="L5">'25년 시즌'!M33</f>
        <v>29</v>
      </c>
      <c r="M5" s="192" cm="1">
        <f t="array" ref="M5">'25년 시즌'!I33</f>
        <v>40</v>
      </c>
      <c r="N5" s="192" cm="1">
        <f t="array" ref="N5">'25년 시즌'!K33+'25년 시즌'!L33</f>
        <v>49</v>
      </c>
    </row>
    <row r="6" ht="18" customHeight="1">
      <c r="A6" t="s" s="8">
        <v>36</v>
      </c>
      <c r="B6" s="191" cm="1">
        <f t="array" ref="B6">ROUND('25년 시즌'!H34/MAX('25년 시즌'!$H$31:$H$37)*100,0)</f>
        <v>42</v>
      </c>
      <c r="C6" s="192" cm="1">
        <f t="array" ref="C6">ROUND(MIN('25년 시즌'!$P$31:$P$37)/'25년 시즌'!P34*100,0)</f>
        <v>20</v>
      </c>
      <c r="D6" s="192" cm="1">
        <f t="array" ref="D6">ROUND('25년 시즌'!M34/MAX('25년 시즌'!$M$31:$M$41)*100,0)</f>
        <v>38</v>
      </c>
      <c r="E6" s="193" cm="1">
        <f t="array" ref="E6">ROUND(MIN('25년 시즌'!$R$31:$R$36)/'25년 시즌'!R34*100,0)</f>
        <v>38</v>
      </c>
      <c r="F6" s="192" cm="1">
        <f t="array" ref="F6">ROUND(MIN('25년 시즌'!$W$31:$W$38/'25년 시즌'!W34*100),0)</f>
        <v>40</v>
      </c>
      <c r="G6" s="194"/>
      <c r="H6" s="194"/>
      <c r="I6" s="192" cm="1">
        <f t="array" ref="I6">'25년 시즌'!F34</f>
        <v>94</v>
      </c>
      <c r="J6" s="192" cm="1">
        <f t="array" ref="J6">'25년 시즌'!G34</f>
        <v>64</v>
      </c>
      <c r="K6" s="192" cm="1">
        <f t="array" ref="K6">J6-L6-M6</f>
        <v>22</v>
      </c>
      <c r="L6" s="192" cm="1">
        <f t="array" ref="L6">'25년 시즌'!M34</f>
        <v>11</v>
      </c>
      <c r="M6" s="192" cm="1">
        <f t="array" ref="M6">'25년 시즌'!I34</f>
        <v>31</v>
      </c>
      <c r="N6" s="192" cm="1">
        <f t="array" ref="N6">'25년 시즌'!K34+'25년 시즌'!L34</f>
        <v>28</v>
      </c>
    </row>
    <row r="7" ht="18" customHeight="1">
      <c r="A7" t="s" s="8">
        <v>37</v>
      </c>
      <c r="B7" s="191" cm="1">
        <f t="array" ref="B7">ROUND('25년 시즌'!H35/MAX('25년 시즌'!$H$31:$H$37)*100,0)</f>
        <v>33</v>
      </c>
      <c r="C7" s="192" cm="1">
        <f t="array" ref="C7">ROUND(MIN('25년 시즌'!$P$31:$P$37)/'25년 시즌'!P35*100,0)</f>
        <v>22</v>
      </c>
      <c r="D7" s="192" cm="1">
        <f t="array" ref="D7">ROUND('25년 시즌'!M35/MAX('25년 시즌'!$M$31:$M$41)*100,0)</f>
        <v>34</v>
      </c>
      <c r="E7" s="193" cm="1">
        <f t="array" ref="E7">ROUND(MIN('25년 시즌'!$R$31:$R$36)/'25년 시즌'!R35*100,0)</f>
        <v>47</v>
      </c>
      <c r="F7" s="192" cm="1">
        <f t="array" ref="F7">ROUND(MIN('25년 시즌'!$W$31:$W$38/'25년 시즌'!W35*100),0)</f>
        <v>65</v>
      </c>
      <c r="G7" s="194"/>
      <c r="H7" s="194"/>
      <c r="I7" s="192" cm="1">
        <f t="array" ref="I7">'25년 시즌'!F35</f>
        <v>60</v>
      </c>
      <c r="J7" s="192" cm="1">
        <f t="array" ref="J7">'25년 시즌'!G35</f>
        <v>49</v>
      </c>
      <c r="K7" s="192" cm="1">
        <f t="array" ref="K7">J7-L7-M7</f>
        <v>19</v>
      </c>
      <c r="L7" s="192" cm="1">
        <f t="array" ref="L7">'25년 시즌'!M35</f>
        <v>10</v>
      </c>
      <c r="M7" s="192" cm="1">
        <f t="array" ref="M7">'25년 시즌'!I35</f>
        <v>20</v>
      </c>
      <c r="N7" s="192" cm="1">
        <f t="array" ref="N7">'25년 시즌'!K35+'25년 시즌'!L35</f>
        <v>11</v>
      </c>
    </row>
    <row r="8" ht="18" customHeight="1">
      <c r="A8" t="s" s="8">
        <v>40</v>
      </c>
      <c r="B8" s="191" cm="1">
        <f t="array" ref="B8">ROUND('25년 시즌'!H36/MAX('25년 시즌'!$H$31:$H$37)*100,0)</f>
        <v>26</v>
      </c>
      <c r="C8" s="192" cm="1">
        <f t="array" ref="C8">ROUND(MIN('25년 시즌'!$P$31:$P$37)/'25년 시즌'!P36*100,0)</f>
        <v>13</v>
      </c>
      <c r="D8" s="192" cm="1">
        <f t="array" ref="D8">ROUND('25년 시즌'!M36/MAX('25년 시즌'!$M$31:$M$41)*100,0)</f>
        <v>45</v>
      </c>
      <c r="E8" s="193" cm="1">
        <f t="array" ref="E8">ROUND(MIN('25년 시즌'!$R$31:$R$36)/'25년 시즌'!R36*100,0)</f>
        <v>33</v>
      </c>
      <c r="F8" s="192" cm="1">
        <f t="array" ref="F8">ROUND(MIN('25년 시즌'!$W$31:$W$38/'25년 시즌'!W36*100),0)</f>
        <v>58</v>
      </c>
      <c r="G8" s="194"/>
      <c r="H8" s="194"/>
      <c r="I8" s="192" cm="1">
        <f t="array" ref="I8">'25년 시즌'!F36</f>
        <v>68</v>
      </c>
      <c r="J8" s="192" cm="1">
        <f t="array" ref="J8">'25년 시즌'!G36</f>
        <v>53</v>
      </c>
      <c r="K8" s="192" cm="1">
        <f t="array" ref="K8">J8-L8-M8</f>
        <v>18</v>
      </c>
      <c r="L8" s="192" cm="1">
        <f t="array" ref="L8">'25년 시즌'!M36</f>
        <v>13</v>
      </c>
      <c r="M8" s="192" cm="1">
        <f t="array" ref="M8">'25년 시즌'!I36</f>
        <v>22</v>
      </c>
      <c r="N8" s="192" cm="1">
        <f t="array" ref="N8">'25년 시즌'!K36+'25년 시즌'!L36</f>
        <v>14</v>
      </c>
    </row>
    <row r="9" ht="18" customHeight="1">
      <c r="A9" t="s" s="8">
        <v>41</v>
      </c>
      <c r="B9" s="191" cm="1">
        <f t="array" ref="B9">ROUND('25년 시즌'!H37/MAX('25년 시즌'!$H$31:$H$37)*100,0)</f>
        <v>1</v>
      </c>
      <c r="C9" s="192" cm="1">
        <f t="array" ref="C9">ROUND(MIN('25년 시즌'!$P$31:$P$37)/'25년 시즌'!P37*100,0)</f>
        <v>15</v>
      </c>
      <c r="D9" s="192" cm="1">
        <f t="array" ref="D9">ROUND('25년 시즌'!M37/MAX('25년 시즌'!$M$31:$M$41)*100,0)</f>
        <v>0</v>
      </c>
      <c r="E9" s="192">
        <v>0</v>
      </c>
      <c r="F9" s="192" cm="1">
        <f t="array" ref="F9">ROUND(MIN('25년 시즌'!$W$31:$W$38/'25년 시즌'!W37*100),0)</f>
        <v>15</v>
      </c>
      <c r="G9" s="194"/>
      <c r="H9" s="194"/>
      <c r="I9" s="192" cm="1">
        <f t="array" ref="I9">'25년 시즌'!F37</f>
        <v>5</v>
      </c>
      <c r="J9" s="192" cm="1">
        <f t="array" ref="J9">'25년 시즌'!G37</f>
        <v>1</v>
      </c>
      <c r="K9" s="192" cm="1">
        <f t="array" ref="K9">J9-L9-M9</f>
        <v>1</v>
      </c>
      <c r="L9" s="192" cm="1">
        <f t="array" ref="L9">'25년 시즌'!M37</f>
        <v>0</v>
      </c>
      <c r="M9" s="192" cm="1">
        <f t="array" ref="M9">'25년 시즌'!I37</f>
        <v>0</v>
      </c>
      <c r="N9" s="192" cm="1">
        <f t="array" ref="N9">'25년 시즌'!K37+'25년 시즌'!L37</f>
        <v>4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2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" customHeight="1" outlineLevelRow="0" outlineLevelCol="0"/>
  <cols>
    <col min="1" max="14" width="16.3516" style="195" customWidth="1"/>
    <col min="15" max="16384" width="16.3516" style="195" customWidth="1"/>
  </cols>
  <sheetData>
    <row r="1" ht="19" customHeight="1">
      <c r="A1" t="s" s="184">
        <v>121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ht="18" customHeight="1">
      <c r="A2" t="s" s="185">
        <v>2</v>
      </c>
      <c r="B2" t="s" s="186">
        <v>5</v>
      </c>
      <c r="C2" t="s" s="186">
        <v>4</v>
      </c>
      <c r="D2" t="s" s="186">
        <v>13</v>
      </c>
      <c r="E2" t="s" s="186">
        <v>14</v>
      </c>
      <c r="F2" t="s" s="186">
        <v>129</v>
      </c>
      <c r="G2" t="s" s="186">
        <v>122</v>
      </c>
      <c r="H2" t="s" s="186">
        <v>130</v>
      </c>
      <c r="I2" t="s" s="186">
        <v>124</v>
      </c>
      <c r="J2" t="s" s="186">
        <v>131</v>
      </c>
      <c r="K2" t="s" s="186">
        <v>132</v>
      </c>
      <c r="L2" t="s" s="186">
        <v>125</v>
      </c>
      <c r="M2" t="s" s="186">
        <v>133</v>
      </c>
      <c r="N2" t="s" s="186">
        <v>134</v>
      </c>
    </row>
    <row r="3" ht="18" customHeight="1">
      <c r="A3" t="s" s="8">
        <v>30</v>
      </c>
      <c r="B3" s="187" cm="1">
        <f t="array" ref="B3">ROUND('25년 시즌'!D4/MAX('25년 시즌'!$D$4:$D$26)*100,0)</f>
        <v>90</v>
      </c>
      <c r="C3" s="188" cm="1">
        <f t="array" ref="C3">ROUND(('25년 시즌'!C4*100)/(MAX('25년 시즌'!$C$4:$C$26)*100)*100,0)</f>
        <v>100</v>
      </c>
      <c r="D3" s="188" cm="1">
        <f t="array" ref="D3">ROUND('25년 시즌'!L4/MAX('25년 시즌'!$L$4:$L$26)*100,0)</f>
        <v>92</v>
      </c>
      <c r="E3" s="188" cm="1">
        <f t="array" ref="E3">ROUND('25년 시즌'!M4/MAX('25년 시즌'!$M$4:$M$26)*100,0)</f>
        <v>100</v>
      </c>
      <c r="F3" s="188" cm="1">
        <f t="array" ref="F3">ROUND(('25년 시즌'!Q4*100)/(MAX('25년 시즌'!$Q$4:$Q$26)*100)*100,0)</f>
        <v>100</v>
      </c>
      <c r="G3" s="190"/>
      <c r="H3" s="188" cm="1">
        <f t="array" ref="H3">ROUND(100-('25년 시즌'!O4/'25년 시즌'!D4*100),0)</f>
        <v>93</v>
      </c>
      <c r="I3" s="188" cm="1">
        <f t="array" ref="I3">'25년 시즌'!D4</f>
        <v>56</v>
      </c>
      <c r="J3" s="188" cm="1">
        <f t="array" ref="J3">'25년 시즌'!E4</f>
        <v>46</v>
      </c>
      <c r="K3" s="188" cm="1">
        <f t="array" ref="K3">'25년 시즌'!F4</f>
        <v>28</v>
      </c>
      <c r="L3" s="188" cm="1">
        <f t="array" ref="L3">J3-K3</f>
        <v>18</v>
      </c>
      <c r="M3" s="188" cm="1">
        <f t="array" ref="M3">'25년 시즌'!O4</f>
        <v>4</v>
      </c>
      <c r="N3" s="188" cm="1">
        <f t="array" ref="N3">'25년 시즌'!N4</f>
        <v>7</v>
      </c>
    </row>
    <row r="4" ht="18" customHeight="1">
      <c r="A4" t="s" s="8">
        <v>26</v>
      </c>
      <c r="B4" s="191" cm="1">
        <f t="array" ref="B4">ROUND('25년 시즌'!D5/MAX('25년 시즌'!$D$4:$D$26)*100,0)</f>
        <v>94</v>
      </c>
      <c r="C4" s="192" cm="1">
        <f t="array" ref="C4">ROUND(('25년 시즌'!C5*100)/(MAX('25년 시즌'!$C$4:$C$26)*100)*100,0)</f>
        <v>86</v>
      </c>
      <c r="D4" s="192" cm="1">
        <f t="array" ref="D4">ROUND('25년 시즌'!L5/MAX('25년 시즌'!$L$4:$L$26)*100,0)</f>
        <v>100</v>
      </c>
      <c r="E4" s="192" cm="1">
        <f t="array" ref="E4">ROUND('25년 시즌'!M5/MAX('25년 시즌'!$M$4:$M$26)*100,0)</f>
        <v>59</v>
      </c>
      <c r="F4" s="192" cm="1">
        <f t="array" ref="F4">ROUND(('25년 시즌'!Q5*100)/(MAX('25년 시즌'!$Q$4:$Q$26)*100)*100,0)</f>
        <v>98</v>
      </c>
      <c r="G4" s="194"/>
      <c r="H4" s="192" cm="1">
        <f t="array" ref="H4">ROUND(100-('25년 시즌'!O5/'25년 시즌'!D5*100),0)</f>
        <v>95</v>
      </c>
      <c r="I4" s="192" cm="1">
        <f t="array" ref="I4">'25년 시즌'!D5</f>
        <v>58</v>
      </c>
      <c r="J4" s="192" cm="1">
        <f t="array" ref="J4">'25년 시즌'!E5</f>
        <v>48</v>
      </c>
      <c r="K4" s="192" cm="1">
        <f t="array" ref="K4">'25년 시즌'!F5</f>
        <v>25</v>
      </c>
      <c r="L4" s="192" cm="1">
        <f t="array" ref="L4">J4-K4</f>
        <v>23</v>
      </c>
      <c r="M4" s="192" cm="1">
        <f t="array" ref="M4">'25년 시즌'!O5</f>
        <v>3</v>
      </c>
      <c r="N4" s="192" cm="1">
        <f t="array" ref="N4">'25년 시즌'!N5</f>
        <v>7</v>
      </c>
    </row>
    <row r="5" ht="18" customHeight="1">
      <c r="A5" t="s" s="8">
        <v>33</v>
      </c>
      <c r="B5" s="191" cm="1">
        <f t="array" ref="B5">ROUND('25년 시즌'!D6/MAX('25년 시즌'!$D$4:$D$26)*100,0)</f>
        <v>68</v>
      </c>
      <c r="C5" s="192" cm="1">
        <f t="array" ref="C5">ROUND(('25년 시즌'!C6*100)/(MAX('25년 시즌'!$C$4:$C$26)*100)*100,0)</f>
        <v>78</v>
      </c>
      <c r="D5" s="192" cm="1">
        <f t="array" ref="D5">ROUND('25년 시즌'!L6/MAX('25년 시즌'!$L$4:$L$26)*100,0)</f>
        <v>75</v>
      </c>
      <c r="E5" s="192" cm="1">
        <f t="array" ref="E5">ROUND('25년 시즌'!M6/MAX('25년 시즌'!$M$4:$M$26)*100,0)</f>
        <v>38</v>
      </c>
      <c r="F5" s="192" cm="1">
        <f t="array" ref="F5">ROUND(('25년 시즌'!Q6*100)/(MAX('25년 시즌'!$Q$4:$Q$26)*100)*100,0)</f>
        <v>81</v>
      </c>
      <c r="G5" s="194"/>
      <c r="H5" s="192" cm="1">
        <f t="array" ref="H5">ROUND(100-('25년 시즌'!O6/'25년 시즌'!D6*100),0)</f>
        <v>93</v>
      </c>
      <c r="I5" s="192" cm="1">
        <f t="array" ref="I5">'25년 시즌'!D6</f>
        <v>42</v>
      </c>
      <c r="J5" s="192" cm="1">
        <f t="array" ref="J5">'25년 시즌'!E6</f>
        <v>38</v>
      </c>
      <c r="K5" s="192" cm="1">
        <f t="array" ref="K5">'25년 시즌'!F6</f>
        <v>18</v>
      </c>
      <c r="L5" s="192" cm="1">
        <f t="array" ref="L5">J5-K5</f>
        <v>20</v>
      </c>
      <c r="M5" s="192" cm="1">
        <f t="array" ref="M5">'25년 시즌'!O6</f>
        <v>3</v>
      </c>
      <c r="N5" s="192" cm="1">
        <f t="array" ref="N5">'25년 시즌'!N6</f>
        <v>4</v>
      </c>
    </row>
    <row r="6" ht="18" customHeight="1">
      <c r="A6" t="s" s="8">
        <v>24</v>
      </c>
      <c r="B6" s="191" cm="1">
        <f t="array" ref="B6">ROUND('25년 시즌'!D7/MAX('25년 시즌'!$D$4:$D$26)*100,0)</f>
        <v>32</v>
      </c>
      <c r="C6" s="192" cm="1">
        <f t="array" ref="C6">ROUND(('25년 시즌'!C7*100)/(MAX('25년 시즌'!$C$4:$C$26)*100)*100,0)</f>
        <v>77</v>
      </c>
      <c r="D6" s="192" cm="1">
        <f t="array" ref="D6">ROUND('25년 시즌'!L7/MAX('25년 시즌'!$L$4:$L$26)*100,0)</f>
        <v>21</v>
      </c>
      <c r="E6" s="192" cm="1">
        <f t="array" ref="E6">ROUND('25년 시즌'!M7/MAX('25년 시즌'!$M$4:$M$26)*100,0)</f>
        <v>28</v>
      </c>
      <c r="F6" s="192" cm="1">
        <f t="array" ref="F6">ROUND(('25년 시즌'!Q7*100)/(MAX('25년 시즌'!$Q$4:$Q$26)*100)*100,0)</f>
        <v>71</v>
      </c>
      <c r="G6" s="194"/>
      <c r="H6" s="192" cm="1">
        <f t="array" ref="H6">ROUND(100-('25년 시즌'!O7/'25년 시즌'!D7*100),0)</f>
        <v>70</v>
      </c>
      <c r="I6" s="192" cm="1">
        <f t="array" ref="I6">'25년 시즌'!D7</f>
        <v>20</v>
      </c>
      <c r="J6" s="192" cm="1">
        <f t="array" ref="J6">'25년 시즌'!E7</f>
        <v>17</v>
      </c>
      <c r="K6" s="192" cm="1">
        <f t="array" ref="K6">'25년 시즌'!F7</f>
        <v>8</v>
      </c>
      <c r="L6" s="192" cm="1">
        <f t="array" ref="L6">J6-K6</f>
        <v>9</v>
      </c>
      <c r="M6" s="192" cm="1">
        <f t="array" ref="M6">'25년 시즌'!O7</f>
        <v>6</v>
      </c>
      <c r="N6" s="192" cm="1">
        <f t="array" ref="N6">'25년 시즌'!N7</f>
        <v>3</v>
      </c>
    </row>
    <row r="7" ht="18" customHeight="1">
      <c r="A7" t="s" s="8">
        <v>29</v>
      </c>
      <c r="B7" s="191" cm="1">
        <f t="array" ref="B7">ROUND('25년 시즌'!D8/MAX('25년 시즌'!$D$4:$D$26)*100,0)</f>
        <v>26</v>
      </c>
      <c r="C7" s="192" cm="1">
        <f t="array" ref="C7">ROUND(('25년 시즌'!C8*100)/(MAX('25년 시즌'!$C$4:$C$26)*100)*100,0)</f>
        <v>76</v>
      </c>
      <c r="D7" s="192" cm="1">
        <f t="array" ref="D7">ROUND('25년 시즌'!L8/MAX('25년 시즌'!$L$4:$L$26)*100,0)</f>
        <v>13</v>
      </c>
      <c r="E7" s="192" cm="1">
        <f t="array" ref="E7">ROUND('25년 시즌'!M8/MAX('25년 시즌'!$M$4:$M$26)*100,0)</f>
        <v>7</v>
      </c>
      <c r="F7" s="192" cm="1">
        <f t="array" ref="F7">ROUND(('25년 시즌'!Q8*100)/(MAX('25년 시즌'!$Q$4:$Q$26)*100)*100,0)</f>
        <v>51</v>
      </c>
      <c r="G7" s="194"/>
      <c r="H7" s="192" cm="1">
        <f t="array" ref="H7">ROUND(100-('25년 시즌'!O8/'25년 시즌'!D8*100),0)</f>
        <v>88</v>
      </c>
      <c r="I7" s="192" cm="1">
        <f t="array" ref="I7">'25년 시즌'!D8</f>
        <v>16</v>
      </c>
      <c r="J7" s="192" cm="1">
        <f t="array" ref="J7">'25년 시즌'!E8</f>
        <v>13</v>
      </c>
      <c r="K7" s="192" cm="1">
        <f t="array" ref="K7">'25년 시즌'!F8</f>
        <v>6</v>
      </c>
      <c r="L7" s="192" cm="1">
        <f t="array" ref="L7">J7-K7</f>
        <v>7</v>
      </c>
      <c r="M7" s="192" cm="1">
        <f t="array" ref="M7">'25년 시즌'!O8</f>
        <v>2</v>
      </c>
      <c r="N7" s="192" cm="1">
        <f t="array" ref="N7">'25년 시즌'!N8</f>
        <v>2</v>
      </c>
    </row>
    <row r="8" ht="18" customHeight="1">
      <c r="A8" t="s" s="8">
        <v>37</v>
      </c>
      <c r="B8" s="191" cm="1">
        <f t="array" ref="B8">ROUND('25년 시즌'!D9/MAX('25년 시즌'!$D$4:$D$26)*100,0)</f>
        <v>48</v>
      </c>
      <c r="C8" s="192" cm="1">
        <f t="array" ref="C8">ROUND(('25년 시즌'!C9*100)/(MAX('25년 시즌'!$C$4:$C$26)*100)*100,0)</f>
        <v>71</v>
      </c>
      <c r="D8" s="192" cm="1">
        <f t="array" ref="D8">ROUND('25년 시즌'!L9/MAX('25년 시즌'!$L$4:$L$26)*100,0)</f>
        <v>29</v>
      </c>
      <c r="E8" s="192" cm="1">
        <f t="array" ref="E8">ROUND('25년 시즌'!M9/MAX('25년 시즌'!$M$4:$M$26)*100,0)</f>
        <v>55</v>
      </c>
      <c r="F8" s="192" cm="1">
        <f t="array" ref="F8">ROUND(('25년 시즌'!Q9*100)/(MAX('25년 시즌'!$Q$4:$Q$26)*100)*100,0)</f>
        <v>62</v>
      </c>
      <c r="G8" s="194"/>
      <c r="H8" s="192" cm="1">
        <f t="array" ref="H8">ROUND(100-('25년 시즌'!O9/'25년 시즌'!D9*100),0)</f>
        <v>77</v>
      </c>
      <c r="I8" s="192" cm="1">
        <f t="array" ref="I8">'25년 시즌'!D9</f>
        <v>30</v>
      </c>
      <c r="J8" s="192" cm="1">
        <f t="array" ref="J8">'25년 시즌'!E9</f>
        <v>23</v>
      </c>
      <c r="K8" s="192" cm="1">
        <f t="array" ref="K8">'25년 시즌'!F9</f>
        <v>10</v>
      </c>
      <c r="L8" s="192" cm="1">
        <f t="array" ref="L8">J8-K8</f>
        <v>13</v>
      </c>
      <c r="M8" s="192" cm="1">
        <f t="array" ref="M8">'25년 시즌'!O9</f>
        <v>7</v>
      </c>
      <c r="N8" s="192" cm="1">
        <f t="array" ref="N8">'25년 시즌'!N9</f>
        <v>6</v>
      </c>
    </row>
    <row r="9" ht="18" customHeight="1">
      <c r="A9" t="s" s="8">
        <v>43</v>
      </c>
      <c r="B9" s="191" cm="1">
        <f t="array" ref="B9">ROUND('25년 시즌'!D10/MAX('25년 시즌'!$D$4:$D$26)*100,0)</f>
        <v>100</v>
      </c>
      <c r="C9" s="192" cm="1">
        <f t="array" ref="C9">ROUND(('25년 시즌'!C10*100)/(MAX('25년 시즌'!$C$4:$C$26)*100)*100,0)</f>
        <v>71</v>
      </c>
      <c r="D9" s="192" cm="1">
        <f t="array" ref="D9">ROUND('25년 시즌'!L10/MAX('25년 시즌'!$L$4:$L$26)*100,0)</f>
        <v>79</v>
      </c>
      <c r="E9" s="192" cm="1">
        <f t="array" ref="E9">ROUND('25년 시즌'!M10/MAX('25년 시즌'!$M$4:$M$26)*100,0)</f>
        <v>62</v>
      </c>
      <c r="F9" s="192" cm="1">
        <f t="array" ref="F9">ROUND(('25년 시즌'!Q10*100)/(MAX('25년 시즌'!$Q$4:$Q$26)*100)*100,0)</f>
        <v>58</v>
      </c>
      <c r="G9" s="194"/>
      <c r="H9" s="192" cm="1">
        <f t="array" ref="H9">ROUND(100-('25년 시즌'!O10/'25년 시즌'!D10*100),0)</f>
        <v>95</v>
      </c>
      <c r="I9" s="192" cm="1">
        <f t="array" ref="I9">'25년 시즌'!D10</f>
        <v>62</v>
      </c>
      <c r="J9" s="192" cm="1">
        <f t="array" ref="J9">'25년 시즌'!E10</f>
        <v>51</v>
      </c>
      <c r="K9" s="192" cm="1">
        <f t="array" ref="K9">'25년 시즌'!F10</f>
        <v>22</v>
      </c>
      <c r="L9" s="192" cm="1">
        <f t="array" ref="L9">J9-K9</f>
        <v>29</v>
      </c>
      <c r="M9" s="192" cm="1">
        <f t="array" ref="M9">'25년 시즌'!O10</f>
        <v>3</v>
      </c>
      <c r="N9" s="192" cm="1">
        <f t="array" ref="N9">'25년 시즌'!N10</f>
        <v>11</v>
      </c>
    </row>
    <row r="10" ht="18" customHeight="1">
      <c r="A10" t="s" s="8">
        <v>28</v>
      </c>
      <c r="B10" s="191" cm="1">
        <f t="array" ref="B10">ROUND('25년 시즌'!D11/MAX('25년 시즌'!$D$4:$D$26)*100,0)</f>
        <v>60</v>
      </c>
      <c r="C10" s="192" cm="1">
        <f t="array" ref="C10">ROUND(('25년 시즌'!C11*100)/(MAX('25년 시즌'!$C$4:$C$26)*100)*100,0)</f>
        <v>70</v>
      </c>
      <c r="D10" s="192" cm="1">
        <f t="array" ref="D10">ROUND('25년 시즌'!L11/MAX('25년 시즌'!$L$4:$L$26)*100,0)</f>
        <v>33</v>
      </c>
      <c r="E10" s="192" cm="1">
        <f t="array" ref="E10">ROUND('25년 시즌'!M11/MAX('25년 시즌'!$M$4:$M$26)*100,0)</f>
        <v>55</v>
      </c>
      <c r="F10" s="192" cm="1">
        <f t="array" ref="F10">ROUND(('25년 시즌'!Q11*100)/(MAX('25년 시즌'!$Q$4:$Q$26)*100)*100,0)</f>
        <v>73</v>
      </c>
      <c r="G10" s="194"/>
      <c r="H10" s="192" cm="1">
        <f t="array" ref="H10">ROUND(100-('25년 시즌'!O11/'25년 시즌'!D11*100),0)</f>
        <v>86</v>
      </c>
      <c r="I10" s="192" cm="1">
        <f t="array" ref="I10">'25년 시즌'!D11</f>
        <v>37</v>
      </c>
      <c r="J10" s="192" cm="1">
        <f t="array" ref="J10">'25년 시즌'!E11</f>
        <v>21</v>
      </c>
      <c r="K10" s="192" cm="1">
        <f t="array" ref="K10">'25년 시즌'!F11</f>
        <v>9</v>
      </c>
      <c r="L10" s="192" cm="1">
        <f t="array" ref="L10">J10-K10</f>
        <v>12</v>
      </c>
      <c r="M10" s="192" cm="1">
        <f t="array" ref="M10">'25년 시즌'!O11</f>
        <v>5</v>
      </c>
      <c r="N10" s="192" cm="1">
        <f t="array" ref="N10">'25년 시즌'!N11</f>
        <v>15</v>
      </c>
    </row>
    <row r="11" ht="18" customHeight="1">
      <c r="A11" t="s" s="8">
        <v>31</v>
      </c>
      <c r="B11" s="191" cm="1">
        <f t="array" ref="B11">ROUND('25년 시즌'!D12/MAX('25년 시즌'!$D$4:$D$26)*100,0)</f>
        <v>84</v>
      </c>
      <c r="C11" s="192" cm="1">
        <f t="array" ref="C11">ROUND(('25년 시즌'!C12*100)/(MAX('25년 시즌'!$C$4:$C$26)*100)*100,0)</f>
        <v>70</v>
      </c>
      <c r="D11" s="192" cm="1">
        <f t="array" ref="D11">ROUND('25년 시즌'!L12/MAX('25년 시즌'!$L$4:$L$26)*100,0)</f>
        <v>42</v>
      </c>
      <c r="E11" s="192" cm="1">
        <f t="array" ref="E11">ROUND('25년 시즌'!M12/MAX('25년 시즌'!$M$4:$M$26)*100,0)</f>
        <v>45</v>
      </c>
      <c r="F11" s="192" cm="1">
        <f t="array" ref="F11">ROUND(('25년 시즌'!Q12*100)/(MAX('25년 시즌'!$Q$4:$Q$26)*100)*100,0)</f>
        <v>49</v>
      </c>
      <c r="G11" s="194"/>
      <c r="H11" s="192" cm="1">
        <f t="array" ref="H11">ROUND(100-('25년 시즌'!O12/'25년 시즌'!D12*100),0)</f>
        <v>85</v>
      </c>
      <c r="I11" s="192" cm="1">
        <f t="array" ref="I11">'25년 시즌'!D12</f>
        <v>52</v>
      </c>
      <c r="J11" s="192" cm="1">
        <f t="array" ref="J11">'25년 시즌'!E12</f>
        <v>40</v>
      </c>
      <c r="K11" s="192" cm="1">
        <f t="array" ref="K11">'25년 시즌'!F12</f>
        <v>17</v>
      </c>
      <c r="L11" s="192" cm="1">
        <f t="array" ref="L11">J11-K11</f>
        <v>23</v>
      </c>
      <c r="M11" s="192" cm="1">
        <f t="array" ref="M11">'25년 시즌'!O12</f>
        <v>8</v>
      </c>
      <c r="N11" s="192" cm="1">
        <f t="array" ref="N11">'25년 시즌'!N12</f>
        <v>12</v>
      </c>
    </row>
    <row r="12" ht="18" customHeight="1">
      <c r="A12" t="s" s="8">
        <v>40</v>
      </c>
      <c r="B12" s="191" cm="1">
        <f t="array" ref="B12">ROUND('25년 시즌'!D13/MAX('25년 시즌'!$D$4:$D$26)*100,0)</f>
        <v>24</v>
      </c>
      <c r="C12" s="192" cm="1">
        <f t="array" ref="C12">ROUND(('25년 시즌'!C13*100)/(MAX('25년 시즌'!$C$4:$C$26)*100)*100,0)</f>
        <v>68</v>
      </c>
      <c r="D12" s="192" cm="1">
        <f t="array" ref="D12">ROUND('25년 시즌'!L13/MAX('25년 시즌'!$L$4:$L$26)*100,0)</f>
        <v>25</v>
      </c>
      <c r="E12" s="192" cm="1">
        <f t="array" ref="E12">ROUND('25년 시즌'!M13/MAX('25년 시즌'!$M$4:$M$26)*100,0)</f>
        <v>14</v>
      </c>
      <c r="F12" s="192" cm="1">
        <f t="array" ref="F12">ROUND(('25년 시즌'!Q13*100)/(MAX('25년 시즌'!$Q$4:$Q$26)*100)*100,0)</f>
        <v>73</v>
      </c>
      <c r="G12" s="194"/>
      <c r="H12" s="192" cm="1">
        <f t="array" ref="H12">ROUND(100-('25년 시즌'!O13/'25년 시즌'!D13*100),0)</f>
        <v>87</v>
      </c>
      <c r="I12" s="192" cm="1">
        <f t="array" ref="I12">'25년 시즌'!D13</f>
        <v>15</v>
      </c>
      <c r="J12" s="192" cm="1">
        <f t="array" ref="J12">'25년 시즌'!E13</f>
        <v>12</v>
      </c>
      <c r="K12" s="192" cm="1">
        <f t="array" ref="K12">'25년 시즌'!F13</f>
        <v>5</v>
      </c>
      <c r="L12" s="192" cm="1">
        <f t="array" ref="L12">J12-K12</f>
        <v>7</v>
      </c>
      <c r="M12" s="192" cm="1">
        <f t="array" ref="M12">'25년 시즌'!O13</f>
        <v>2</v>
      </c>
      <c r="N12" s="192" cm="1">
        <f t="array" ref="N12">'25년 시즌'!N13</f>
        <v>3</v>
      </c>
    </row>
    <row r="13" ht="18" customHeight="1">
      <c r="A13" t="s" s="8">
        <v>70</v>
      </c>
      <c r="B13" s="191" cm="1">
        <f t="array" ref="B13">ROUND('25년 시즌'!D14/MAX('25년 시즌'!$D$4:$D$26)*100,0)</f>
        <v>32</v>
      </c>
      <c r="C13" s="192" cm="1">
        <f t="array" ref="C13">ROUND(('25년 시즌'!C14*100)/(MAX('25년 시즌'!$C$4:$C$26)*100)*100,0)</f>
        <v>68</v>
      </c>
      <c r="D13" s="192" cm="1">
        <f t="array" ref="D13">ROUND('25년 시즌'!L14/MAX('25년 시즌'!$L$4:$L$26)*100,0)</f>
        <v>38</v>
      </c>
      <c r="E13" s="192" cm="1">
        <f t="array" ref="E13">ROUND('25년 시즌'!M14/MAX('25년 시즌'!$M$4:$M$26)*100,0)</f>
        <v>10</v>
      </c>
      <c r="F13" s="192" cm="1">
        <f t="array" ref="F13">ROUND(('25년 시즌'!Q14*100)/(MAX('25년 시즌'!$Q$4:$Q$26)*100)*100,0)</f>
        <v>52</v>
      </c>
      <c r="G13" s="194"/>
      <c r="H13" s="192" cm="1">
        <f t="array" ref="H13">ROUND(100-('25년 시즌'!O14/'25년 시즌'!D14*100),0)</f>
        <v>95</v>
      </c>
      <c r="I13" s="192" cm="1">
        <f t="array" ref="I13">'25년 시즌'!D14</f>
        <v>20</v>
      </c>
      <c r="J13" s="192" cm="1">
        <f t="array" ref="J13">'25년 시즌'!E14</f>
        <v>17</v>
      </c>
      <c r="K13" s="192" cm="1">
        <f t="array" ref="K13">'25년 시즌'!F14</f>
        <v>7</v>
      </c>
      <c r="L13" s="192" cm="1">
        <f t="array" ref="L13">J13-K13</f>
        <v>10</v>
      </c>
      <c r="M13" s="192" cm="1">
        <f t="array" ref="M13">'25년 시즌'!O14</f>
        <v>1</v>
      </c>
      <c r="N13" s="192" cm="1">
        <f t="array" ref="N13">'25년 시즌'!N14</f>
        <v>3</v>
      </c>
    </row>
    <row r="14" ht="18" customHeight="1">
      <c r="A14" t="s" s="8">
        <v>32</v>
      </c>
      <c r="B14" s="191" cm="1">
        <f t="array" ref="B14">ROUND('25년 시즌'!D15/MAX('25년 시즌'!$D$4:$D$26)*100,0)</f>
        <v>47</v>
      </c>
      <c r="C14" s="192" cm="1">
        <f t="array" ref="C14">ROUND(('25년 시즌'!C15*100)/(MAX('25년 시즌'!$C$4:$C$26)*100)*100,0)</f>
        <v>66</v>
      </c>
      <c r="D14" s="192" cm="1">
        <f t="array" ref="D14">ROUND('25년 시즌'!L15/MAX('25년 시즌'!$L$4:$L$26)*100,0)</f>
        <v>29</v>
      </c>
      <c r="E14" s="192" cm="1">
        <f t="array" ref="E14">ROUND('25년 시즌'!M15/MAX('25년 시즌'!$M$4:$M$26)*100,0)</f>
        <v>14</v>
      </c>
      <c r="F14" s="192" cm="1">
        <f t="array" ref="F14">ROUND(('25년 시즌'!Q15*100)/(MAX('25년 시즌'!$Q$4:$Q$26)*100)*100,0)</f>
        <v>44</v>
      </c>
      <c r="G14" s="194"/>
      <c r="H14" s="192" cm="1">
        <f t="array" ref="H14">ROUND(100-('25년 시즌'!O15/'25년 시즌'!D15*100),0)</f>
        <v>97</v>
      </c>
      <c r="I14" s="192" cm="1">
        <f t="array" ref="I14">'25년 시즌'!D15</f>
        <v>29</v>
      </c>
      <c r="J14" s="192" cm="1">
        <f t="array" ref="J14">'25년 시즌'!E15</f>
        <v>25</v>
      </c>
      <c r="K14" s="192" cm="1">
        <f t="array" ref="K14">'25년 시즌'!F15</f>
        <v>10</v>
      </c>
      <c r="L14" s="192" cm="1">
        <f t="array" ref="L14">J14-K14</f>
        <v>15</v>
      </c>
      <c r="M14" s="192" cm="1">
        <f t="array" ref="M14">'25년 시즌'!O15</f>
        <v>1</v>
      </c>
      <c r="N14" s="192" cm="1">
        <f t="array" ref="N14">'25년 시즌'!N15</f>
        <v>3</v>
      </c>
    </row>
    <row r="15" ht="18" customHeight="1">
      <c r="A15" t="s" s="8">
        <v>38</v>
      </c>
      <c r="B15" s="191" cm="1">
        <f t="array" ref="B15">ROUND('25년 시즌'!D16/MAX('25년 시즌'!$D$4:$D$26)*100,0)</f>
        <v>26</v>
      </c>
      <c r="C15" s="192" cm="1">
        <f t="array" ref="C15">ROUND(('25년 시즌'!C16*100)/(MAX('25년 시즌'!$C$4:$C$26)*100)*100,0)</f>
        <v>60</v>
      </c>
      <c r="D15" s="192" cm="1">
        <f t="array" ref="D15">ROUND('25년 시즌'!L16/MAX('25년 시즌'!$L$4:$L$26)*100,0)</f>
        <v>13</v>
      </c>
      <c r="E15" s="192" cm="1">
        <f t="array" ref="E15">ROUND('25년 시즌'!M16/MAX('25년 시즌'!$M$4:$M$26)*100,0)</f>
        <v>10</v>
      </c>
      <c r="F15" s="192" cm="1">
        <f t="array" ref="F15">ROUND(('25년 시즌'!Q16*100)/(MAX('25년 시즌'!$Q$4:$Q$26)*100)*100,0)</f>
        <v>60</v>
      </c>
      <c r="G15" s="194"/>
      <c r="H15" s="192" cm="1">
        <f t="array" ref="H15">ROUND(100-('25년 시즌'!O16/'25년 시즌'!D16*100),0)</f>
        <v>100</v>
      </c>
      <c r="I15" s="192" cm="1">
        <f t="array" ref="I15">'25년 시즌'!D16</f>
        <v>16</v>
      </c>
      <c r="J15" s="192" cm="1">
        <f t="array" ref="J15">'25년 시즌'!E16</f>
        <v>11</v>
      </c>
      <c r="K15" s="192" cm="1">
        <f t="array" ref="K15">'25년 시즌'!F16</f>
        <v>4</v>
      </c>
      <c r="L15" s="192" cm="1">
        <f t="array" ref="L15">J15-K15</f>
        <v>7</v>
      </c>
      <c r="M15" s="192" cm="1">
        <f t="array" ref="M15">'25년 시즌'!O16</f>
        <v>0</v>
      </c>
      <c r="N15" s="192" cm="1">
        <f t="array" ref="N15">'25년 시즌'!N16</f>
        <v>5</v>
      </c>
    </row>
    <row r="16" ht="18" customHeight="1">
      <c r="A16" t="s" s="8">
        <v>35</v>
      </c>
      <c r="B16" s="191" cm="1">
        <f t="array" ref="B16">ROUND('25년 시즌'!D17/MAX('25년 시즌'!$D$4:$D$26)*100,0)</f>
        <v>47</v>
      </c>
      <c r="C16" s="192" cm="1">
        <f t="array" ref="C16">ROUND(('25년 시즌'!C17*100)/(MAX('25년 시즌'!$C$4:$C$26)*100)*100,0)</f>
        <v>55</v>
      </c>
      <c r="D16" s="192" cm="1">
        <f t="array" ref="D16">ROUND('25년 시즌'!L17/MAX('25년 시즌'!$L$4:$L$26)*100,0)</f>
        <v>17</v>
      </c>
      <c r="E16" s="192" cm="1">
        <f t="array" ref="E16">ROUND('25년 시즌'!M17/MAX('25년 시즌'!$M$4:$M$26)*100,0)</f>
        <v>34</v>
      </c>
      <c r="F16" s="192" cm="1">
        <f t="array" ref="F16">ROUND(('25년 시즌'!Q17*100)/(MAX('25년 시즌'!$Q$4:$Q$26)*100)*100,0)</f>
        <v>37</v>
      </c>
      <c r="G16" s="194"/>
      <c r="H16" s="192" cm="1">
        <f t="array" ref="H16">ROUND(100-('25년 시즌'!O17/'25년 시즌'!D17*100),0)</f>
        <v>79</v>
      </c>
      <c r="I16" s="192" cm="1">
        <f t="array" ref="I16">'25년 시즌'!D17</f>
        <v>29</v>
      </c>
      <c r="J16" s="192" cm="1">
        <f t="array" ref="J16">'25년 시즌'!E17</f>
        <v>21</v>
      </c>
      <c r="K16" s="192" cm="1">
        <f t="array" ref="K16">'25년 시즌'!F17</f>
        <v>7</v>
      </c>
      <c r="L16" s="192" cm="1">
        <f t="array" ref="L16">J16-K16</f>
        <v>14</v>
      </c>
      <c r="M16" s="192" cm="1">
        <f t="array" ref="M16">'25년 시즌'!O17</f>
        <v>6</v>
      </c>
      <c r="N16" s="192" cm="1">
        <f t="array" ref="N16">'25년 시즌'!N17</f>
        <v>7</v>
      </c>
    </row>
    <row r="17" ht="18" customHeight="1">
      <c r="A17" t="s" s="8">
        <v>39</v>
      </c>
      <c r="B17" s="191" cm="1">
        <f t="array" ref="B17">ROUND('25년 시즌'!D18/MAX('25년 시즌'!$D$4:$D$26)*100,0)</f>
        <v>58</v>
      </c>
      <c r="C17" s="192" cm="1">
        <f t="array" ref="C17">ROUND(('25년 시즌'!C18*100)/(MAX('25년 시즌'!$C$4:$C$26)*100)*100,0)</f>
        <v>55</v>
      </c>
      <c r="D17" s="192" cm="1">
        <f t="array" ref="D17">ROUND('25년 시즌'!L18/MAX('25년 시즌'!$L$4:$L$26)*100,0)</f>
        <v>25</v>
      </c>
      <c r="E17" s="192" cm="1">
        <f t="array" ref="E17">ROUND('25년 시즌'!M18/MAX('25년 시즌'!$M$4:$M$26)*100,0)</f>
        <v>10</v>
      </c>
      <c r="F17" s="192" cm="1">
        <f t="array" ref="F17">ROUND(('25년 시즌'!Q18*100)/(MAX('25년 시즌'!$Q$4:$Q$26)*100)*100,0)</f>
        <v>40</v>
      </c>
      <c r="G17" s="194"/>
      <c r="H17" s="192" cm="1">
        <f t="array" ref="H17">ROUND(100-('25년 시즌'!O18/'25년 시즌'!D18*100),0)</f>
        <v>83</v>
      </c>
      <c r="I17" s="192" cm="1">
        <f t="array" ref="I17">'25년 시즌'!D18</f>
        <v>36</v>
      </c>
      <c r="J17" s="192" cm="1">
        <f t="array" ref="J17">'25년 시즌'!E18</f>
        <v>30</v>
      </c>
      <c r="K17" s="192" cm="1">
        <f t="array" ref="K17">'25년 시즌'!F18</f>
        <v>10</v>
      </c>
      <c r="L17" s="192" cm="1">
        <f t="array" ref="L17">J17-K17</f>
        <v>20</v>
      </c>
      <c r="M17" s="192" cm="1">
        <f t="array" ref="M17">'25년 시즌'!O18</f>
        <v>6</v>
      </c>
      <c r="N17" s="192" cm="1">
        <f t="array" ref="N17">'25년 시즌'!N18</f>
        <v>4</v>
      </c>
    </row>
    <row r="18" ht="18" customHeight="1">
      <c r="A18" t="s" s="8">
        <v>71</v>
      </c>
      <c r="B18" s="191" cm="1">
        <f t="array" ref="B18">ROUND('25년 시즌'!D19/MAX('25년 시즌'!$D$4:$D$26)*100,0)</f>
        <v>40</v>
      </c>
      <c r="C18" s="192" cm="1">
        <f t="array" ref="C18">ROUND(('25년 시즌'!C19*100)/(MAX('25년 시즌'!$C$4:$C$26)*100)*100,0)</f>
        <v>49</v>
      </c>
      <c r="D18" s="192" cm="1">
        <f t="array" ref="D18">ROUND('25년 시즌'!L19/MAX('25년 시즌'!$L$4:$L$26)*100,0)</f>
        <v>42</v>
      </c>
      <c r="E18" s="192" cm="1">
        <f t="array" ref="E18">ROUND('25년 시즌'!M19/MAX('25년 시즌'!$M$4:$M$26)*100,0)</f>
        <v>17</v>
      </c>
      <c r="F18" s="192" cm="1">
        <f t="array" ref="F18">ROUND(('25년 시즌'!Q19*100)/(MAX('25년 시즌'!$Q$4:$Q$26)*100)*100,0)</f>
        <v>66</v>
      </c>
      <c r="G18" s="194"/>
      <c r="H18" s="192" cm="1">
        <f t="array" ref="H18">ROUND(100-('25년 시즌'!O19/'25년 시즌'!D19*100),0)</f>
        <v>88</v>
      </c>
      <c r="I18" s="192" cm="1">
        <f t="array" ref="I18">'25년 시즌'!D19</f>
        <v>25</v>
      </c>
      <c r="J18" s="192" cm="1">
        <f t="array" ref="J18">'25년 시즌'!E19</f>
        <v>20</v>
      </c>
      <c r="K18" s="192" cm="1">
        <f t="array" ref="K18">'25년 시즌'!F19</f>
        <v>6</v>
      </c>
      <c r="L18" s="192" cm="1">
        <f t="array" ref="L18">J18-K18</f>
        <v>14</v>
      </c>
      <c r="M18" s="192" cm="1">
        <f t="array" ref="M18">'25년 시즌'!O19</f>
        <v>3</v>
      </c>
      <c r="N18" s="192" cm="1">
        <f t="array" ref="N18">'25년 시즌'!N19</f>
        <v>3</v>
      </c>
    </row>
    <row r="19" ht="18" customHeight="1">
      <c r="A19" t="s" s="8">
        <v>36</v>
      </c>
      <c r="B19" s="191" cm="1">
        <f t="array" ref="B19">ROUND('25년 시즌'!D20/MAX('25년 시즌'!$D$4:$D$26)*100,0)</f>
        <v>32</v>
      </c>
      <c r="C19" s="192" cm="1">
        <f t="array" ref="C19">ROUND(('25년 시즌'!C20*100)/(MAX('25년 시즌'!$C$4:$C$26)*100)*100,0)</f>
        <v>48</v>
      </c>
      <c r="D19" s="192" cm="1">
        <f t="array" ref="D19">ROUND('25년 시즌'!L20/MAX('25년 시즌'!$L$4:$L$26)*100,0)</f>
        <v>8</v>
      </c>
      <c r="E19" s="192" cm="1">
        <f t="array" ref="E19">ROUND('25년 시즌'!M20/MAX('25년 시즌'!$M$4:$M$26)*100,0)</f>
        <v>10</v>
      </c>
      <c r="F19" s="192" cm="1">
        <f t="array" ref="F19">ROUND(('25년 시즌'!Q20*100)/(MAX('25년 시즌'!$Q$4:$Q$26)*100)*100,0)</f>
        <v>32</v>
      </c>
      <c r="G19" s="194"/>
      <c r="H19" s="192" cm="1">
        <f t="array" ref="H19">ROUND(100-('25년 시즌'!O20/'25년 시즌'!D20*100),0)</f>
        <v>90</v>
      </c>
      <c r="I19" s="192" cm="1">
        <f t="array" ref="I19">'25년 시즌'!D20</f>
        <v>20</v>
      </c>
      <c r="J19" s="192" cm="1">
        <f t="array" ref="J19">'25년 시즌'!E20</f>
        <v>17</v>
      </c>
      <c r="K19" s="192" cm="1">
        <f t="array" ref="K19">'25년 시즌'!F20</f>
        <v>5</v>
      </c>
      <c r="L19" s="192" cm="1">
        <f t="array" ref="L19">J19-K19</f>
        <v>12</v>
      </c>
      <c r="M19" s="192" cm="1">
        <f t="array" ref="M19">'25년 시즌'!O20</f>
        <v>2</v>
      </c>
      <c r="N19" s="192" cm="1">
        <f t="array" ref="N19">'25년 시즌'!N20</f>
        <v>2</v>
      </c>
    </row>
    <row r="20" ht="18" customHeight="1">
      <c r="A20" t="s" s="8">
        <v>44</v>
      </c>
      <c r="B20" s="191" cm="1">
        <f t="array" ref="B20">ROUND('25년 시즌'!D21/MAX('25년 시즌'!$D$4:$D$26)*100,0)</f>
        <v>76</v>
      </c>
      <c r="C20" s="192" cm="1">
        <f t="array" ref="C20">ROUND(('25년 시즌'!C21*100)/(MAX('25년 시즌'!$C$4:$C$26)*100)*100,0)</f>
        <v>46</v>
      </c>
      <c r="D20" s="192" cm="1">
        <f t="array" ref="D20">ROUND('25년 시즌'!L21/MAX('25년 시즌'!$L$4:$L$26)*100,0)</f>
        <v>46</v>
      </c>
      <c r="E20" s="192" cm="1">
        <f t="array" ref="E20">ROUND('25년 시즌'!M21/MAX('25년 시즌'!$M$4:$M$26)*100,0)</f>
        <v>38</v>
      </c>
      <c r="F20" s="192" cm="1">
        <f t="array" ref="F20">ROUND(('25년 시즌'!Q21*100)/(MAX('25년 시즌'!$Q$4:$Q$26)*100)*100,0)</f>
        <v>46</v>
      </c>
      <c r="G20" s="194"/>
      <c r="H20" s="192" cm="1">
        <f t="array" ref="H20">ROUND(100-('25년 시즌'!O21/'25년 시즌'!D21*100),0)</f>
        <v>87</v>
      </c>
      <c r="I20" s="192" cm="1">
        <f t="array" ref="I20">'25년 시즌'!D21</f>
        <v>47</v>
      </c>
      <c r="J20" s="192" cm="1">
        <f t="array" ref="J20">'25년 시즌'!E21</f>
        <v>36</v>
      </c>
      <c r="K20" s="192" cm="1">
        <f t="array" ref="K20">'25년 시즌'!F21</f>
        <v>10</v>
      </c>
      <c r="L20" s="192" cm="1">
        <f t="array" ref="L20">J20-K20</f>
        <v>26</v>
      </c>
      <c r="M20" s="192" cm="1">
        <f t="array" ref="M20">'25년 시즌'!O21</f>
        <v>6</v>
      </c>
      <c r="N20" s="192" cm="1">
        <f t="array" ref="N20">'25년 시즌'!N21</f>
        <v>8</v>
      </c>
    </row>
    <row r="21" ht="18" customHeight="1">
      <c r="A21" t="s" s="8">
        <v>69</v>
      </c>
      <c r="B21" s="191" cm="1">
        <f t="array" ref="B21">ROUND('25년 시즌'!D22/MAX('25년 시즌'!$D$4:$D$26)*100,0)</f>
        <v>26</v>
      </c>
      <c r="C21" s="192" cm="1">
        <f t="array" ref="C21">ROUND(('25년 시즌'!C22*100)/(MAX('25년 시즌'!$C$4:$C$26)*100)*100,0)</f>
        <v>45</v>
      </c>
      <c r="D21" s="192" cm="1">
        <f t="array" ref="D21">ROUND('25년 시즌'!L22/MAX('25년 시즌'!$L$4:$L$26)*100,0)</f>
        <v>17</v>
      </c>
      <c r="E21" s="192" cm="1">
        <f t="array" ref="E21">ROUND('25년 시즌'!M22/MAX('25년 시즌'!$M$4:$M$26)*100,0)</f>
        <v>21</v>
      </c>
      <c r="F21" s="192" cm="1">
        <f t="array" ref="F21">ROUND(('25년 시즌'!Q22*100)/(MAX('25년 시즌'!$Q$4:$Q$26)*100)*100,0)</f>
        <v>30</v>
      </c>
      <c r="G21" s="194"/>
      <c r="H21" s="192" cm="1">
        <f t="array" ref="H21">ROUND(100-('25년 시즌'!O22/'25년 시즌'!D22*100),0)</f>
        <v>69</v>
      </c>
      <c r="I21" s="192" cm="1">
        <f t="array" ref="I21">'25년 시즌'!D22</f>
        <v>16</v>
      </c>
      <c r="J21" s="192" cm="1">
        <f t="array" ref="J21">'25년 시즌'!E22</f>
        <v>11</v>
      </c>
      <c r="K21" s="192" cm="1">
        <f t="array" ref="K21">'25년 시즌'!F22</f>
        <v>3</v>
      </c>
      <c r="L21" s="192" cm="1">
        <f t="array" ref="L21">J21-K21</f>
        <v>8</v>
      </c>
      <c r="M21" s="192" cm="1">
        <f t="array" ref="M21">'25년 시즌'!O22</f>
        <v>5</v>
      </c>
      <c r="N21" s="192" cm="1">
        <f t="array" ref="N21">'25년 시즌'!N22</f>
        <v>5</v>
      </c>
    </row>
    <row r="22" ht="18" customHeight="1">
      <c r="A22" t="s" s="8">
        <v>42</v>
      </c>
      <c r="B22" s="191" cm="1">
        <f t="array" ref="B22">ROUND('25년 시즌'!D23/MAX('25년 시즌'!$D$4:$D$26)*100,0)</f>
        <v>24</v>
      </c>
      <c r="C22" s="192" cm="1">
        <f t="array" ref="C22">ROUND(('25년 시즌'!C23*100)/(MAX('25년 시즌'!$C$4:$C$26)*100)*100,0)</f>
        <v>33</v>
      </c>
      <c r="D22" s="192" cm="1">
        <f t="array" ref="D22">ROUND('25년 시즌'!L23/MAX('25년 시즌'!$L$4:$L$26)*100,0)</f>
        <v>0</v>
      </c>
      <c r="E22" s="192" cm="1">
        <f t="array" ref="E22">ROUND('25년 시즌'!M23/MAX('25년 시즌'!$M$4:$M$26)*100,0)</f>
        <v>3</v>
      </c>
      <c r="F22" s="192" cm="1">
        <f t="array" ref="F22">ROUND(('25년 시즌'!Q23*100)/(MAX('25년 시즌'!$Q$4:$Q$26)*100)*100,0)</f>
        <v>33</v>
      </c>
      <c r="G22" s="194"/>
      <c r="H22" s="192" cm="1">
        <f t="array" ref="H22">ROUND(100-('25년 시즌'!O23/'25년 시즌'!D23*100),0)</f>
        <v>73</v>
      </c>
      <c r="I22" s="192" cm="1">
        <f t="array" ref="I22">'25년 시즌'!D23</f>
        <v>15</v>
      </c>
      <c r="J22" s="192" cm="1">
        <f t="array" ref="J22">'25년 시즌'!E23</f>
        <v>10</v>
      </c>
      <c r="K22" s="192" cm="1">
        <f t="array" ref="K22">'25년 시즌'!F23</f>
        <v>2</v>
      </c>
      <c r="L22" s="192" cm="1">
        <f t="array" ref="L22">J22-K22</f>
        <v>8</v>
      </c>
      <c r="M22" s="192" cm="1">
        <f t="array" ref="M22">'25년 시즌'!O23</f>
        <v>4</v>
      </c>
      <c r="N22" s="192" cm="1">
        <f t="array" ref="N22">'25년 시즌'!N23</f>
        <v>5</v>
      </c>
    </row>
    <row r="23" ht="18" customHeight="1">
      <c r="A23" t="s" s="8">
        <v>25</v>
      </c>
      <c r="B23" s="191" cm="1">
        <f t="array" ref="B23">ROUND('25년 시즌'!D24/MAX('25년 시즌'!$D$4:$D$26)*100,0)</f>
        <v>26</v>
      </c>
      <c r="C23" s="192" cm="1">
        <f t="array" ref="C23">ROUND(('25년 시즌'!C24*100)/(MAX('25년 시즌'!$C$4:$C$26)*100)*100,0)</f>
        <v>18</v>
      </c>
      <c r="D23" s="192" cm="1">
        <f t="array" ref="D23">ROUND('25년 시즌'!L24/MAX('25년 시즌'!$L$4:$L$26)*100,0)</f>
        <v>4</v>
      </c>
      <c r="E23" s="192" cm="1">
        <f t="array" ref="E23">ROUND('25년 시즌'!M24/MAX('25년 시즌'!$M$4:$M$26)*100,0)</f>
        <v>3</v>
      </c>
      <c r="F23" s="192" cm="1">
        <f t="array" ref="F23">ROUND(('25년 시즌'!Q24*100)/(MAX('25년 시즌'!$Q$4:$Q$26)*100)*100,0)</f>
        <v>12</v>
      </c>
      <c r="G23" s="194"/>
      <c r="H23" s="192" cm="1">
        <f t="array" ref="H23">ROUND(100-('25년 시즌'!O24/'25년 시즌'!D24*100),0)</f>
        <v>63</v>
      </c>
      <c r="I23" s="192" cm="1">
        <f t="array" ref="I23">'25년 시즌'!D24</f>
        <v>16</v>
      </c>
      <c r="J23" s="192" cm="1">
        <f t="array" ref="J23">'25년 시즌'!E24</f>
        <v>9</v>
      </c>
      <c r="K23" s="192" cm="1">
        <f t="array" ref="K23">'25년 시즌'!F24</f>
        <v>1</v>
      </c>
      <c r="L23" s="192" cm="1">
        <f t="array" ref="L23">J23-K23</f>
        <v>8</v>
      </c>
      <c r="M23" s="192" cm="1">
        <f t="array" ref="M23">'25년 시즌'!O24</f>
        <v>6</v>
      </c>
      <c r="N23" s="192" cm="1">
        <f t="array" ref="N23">'25년 시즌'!N24</f>
        <v>7</v>
      </c>
    </row>
    <row r="24" ht="18" customHeight="1">
      <c r="A24" t="s" s="8">
        <v>27</v>
      </c>
      <c r="B24" s="191" cm="1">
        <f t="array" ref="B24">ROUND('25년 시즌'!D25/MAX('25년 시즌'!$D$4:$D$26)*100,0)</f>
        <v>3</v>
      </c>
      <c r="C24" s="192" cm="1">
        <f t="array" ref="C24">ROUND(('25년 시즌'!C25*100)/(MAX('25년 시즌'!$C$4:$C$26)*100)*100,0)</f>
        <v>0</v>
      </c>
      <c r="D24" s="192" cm="1">
        <f t="array" ref="D24">ROUND('25년 시즌'!L25/MAX('25년 시즌'!$L$4:$L$26)*100,0)</f>
        <v>0</v>
      </c>
      <c r="E24" s="192" cm="1">
        <f t="array" ref="E24">ROUND('25년 시즌'!M25/MAX('25년 시즌'!$M$4:$M$26)*100,0)</f>
        <v>0</v>
      </c>
      <c r="F24" s="192" cm="1">
        <f t="array" ref="F24">ROUND(('25년 시즌'!Q25*100)/(MAX('25년 시즌'!$Q$4:$Q$26)*100)*100,0)</f>
        <v>0</v>
      </c>
      <c r="G24" s="194"/>
      <c r="H24" s="192" cm="1">
        <f t="array" ref="H24">ROUND(100-('25년 시즌'!O25/'25년 시즌'!D25*100),0)</f>
        <v>50</v>
      </c>
      <c r="I24" s="192" cm="1">
        <f t="array" ref="I24">'25년 시즌'!D25</f>
        <v>2</v>
      </c>
      <c r="J24" s="192" cm="1">
        <f t="array" ref="J24">'25년 시즌'!E25</f>
        <v>2</v>
      </c>
      <c r="K24" s="192" cm="1">
        <f t="array" ref="K24">'25년 시즌'!F25</f>
        <v>0</v>
      </c>
      <c r="L24" s="192" cm="1">
        <f t="array" ref="L24">J24-K24</f>
        <v>2</v>
      </c>
      <c r="M24" s="192" cm="1">
        <f t="array" ref="M24">'25년 시즌'!O25</f>
        <v>1</v>
      </c>
      <c r="N24" s="192" cm="1">
        <f t="array" ref="N24">'25년 시즌'!N25</f>
        <v>0</v>
      </c>
    </row>
    <row r="25" ht="18" customHeight="1">
      <c r="A25" t="s" s="8">
        <v>41</v>
      </c>
      <c r="B25" s="191" cm="1">
        <f t="array" ref="B25">ROUND('25년 시즌'!D26/MAX('25년 시즌'!$D$4:$D$26)*100,0)</f>
        <v>6</v>
      </c>
      <c r="C25" s="192" cm="1">
        <f t="array" ref="C25">ROUND(('25년 시즌'!C26*100)/(MAX('25년 시즌'!$C$4:$C$26)*100)*100,0)</f>
        <v>0</v>
      </c>
      <c r="D25" s="192" cm="1">
        <f t="array" ref="D25">ROUND('25년 시즌'!L26/MAX('25년 시즌'!$L$4:$L$26)*100,0)</f>
        <v>0</v>
      </c>
      <c r="E25" s="192" cm="1">
        <f t="array" ref="E25">ROUND('25년 시즌'!M26/MAX('25년 시즌'!$M$4:$M$26)*100,0)</f>
        <v>7</v>
      </c>
      <c r="F25" s="192" cm="1">
        <f t="array" ref="F25">ROUND(('25년 시즌'!Q26*100)/(MAX('25년 시즌'!$Q$4:$Q$26)*100)*100,0)</f>
        <v>0</v>
      </c>
      <c r="G25" s="194"/>
      <c r="H25" s="192" cm="1">
        <f t="array" ref="H25">ROUND(100-('25년 시즌'!O26/'25년 시즌'!D26*100),0)</f>
        <v>100</v>
      </c>
      <c r="I25" s="192" cm="1">
        <f t="array" ref="I25">'25년 시즌'!D26</f>
        <v>4</v>
      </c>
      <c r="J25" s="192" cm="1">
        <f t="array" ref="J25">'25년 시즌'!E26</f>
        <v>3</v>
      </c>
      <c r="K25" s="192" cm="1">
        <f t="array" ref="K25">'25년 시즌'!F26</f>
        <v>0</v>
      </c>
      <c r="L25" s="192" cm="1">
        <f t="array" ref="L25">J25-K25</f>
        <v>3</v>
      </c>
      <c r="M25" s="192" cm="1">
        <f t="array" ref="M25">'25년 시즌'!O26</f>
        <v>0</v>
      </c>
      <c r="N25" s="192" cm="1">
        <f t="array" ref="N25">'25년 시즌'!N26</f>
        <v>1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" customHeight="1" outlineLevelRow="0" outlineLevelCol="0"/>
  <cols>
    <col min="1" max="2" width="5.17188" style="196" customWidth="1"/>
    <col min="3" max="3" width="17.8516" style="196" customWidth="1"/>
    <col min="4" max="4" width="9.67188" style="196" customWidth="1"/>
    <col min="5" max="5" width="16.3516" style="196" customWidth="1"/>
    <col min="6" max="16384" width="16.3516" style="196" customWidth="1"/>
  </cols>
  <sheetData>
    <row r="1" ht="19" customHeight="1">
      <c r="A1" t="s" s="184">
        <v>121</v>
      </c>
      <c r="B1" s="184"/>
      <c r="C1" s="184"/>
      <c r="D1" s="184"/>
      <c r="E1" s="184"/>
    </row>
    <row r="2" ht="15.7" customHeight="1">
      <c r="A2" t="s" s="197">
        <v>2</v>
      </c>
      <c r="B2" t="s" s="197">
        <v>135</v>
      </c>
      <c r="C2" t="s" s="197">
        <v>136</v>
      </c>
      <c r="D2" t="s" s="197">
        <v>137</v>
      </c>
      <c r="E2" s="198"/>
    </row>
    <row r="3" ht="15" customHeight="1">
      <c r="A3" t="s" s="199">
        <v>24</v>
      </c>
      <c r="B3" s="200">
        <v>29</v>
      </c>
      <c r="C3" t="s" s="199">
        <v>138</v>
      </c>
      <c r="D3" s="201"/>
      <c r="E3" s="202"/>
    </row>
    <row r="4" ht="15" customHeight="1">
      <c r="A4" t="s" s="199">
        <v>25</v>
      </c>
      <c r="B4" s="200">
        <v>10</v>
      </c>
      <c r="C4" t="s" s="199">
        <v>139</v>
      </c>
      <c r="D4" s="201"/>
      <c r="E4" s="203"/>
    </row>
    <row r="5" ht="15" customHeight="1">
      <c r="A5" t="s" s="199">
        <v>26</v>
      </c>
      <c r="B5" s="200">
        <v>50</v>
      </c>
      <c r="C5" t="s" s="199">
        <v>140</v>
      </c>
      <c r="D5" s="201"/>
      <c r="E5" s="203"/>
    </row>
    <row r="6" ht="15" customHeight="1">
      <c r="A6" t="s" s="199">
        <v>27</v>
      </c>
      <c r="B6" s="200">
        <v>12</v>
      </c>
      <c r="C6" t="s" s="199">
        <v>141</v>
      </c>
      <c r="D6" s="201"/>
      <c r="E6" s="203"/>
    </row>
    <row r="7" ht="15" customHeight="1">
      <c r="A7" t="s" s="199">
        <v>28</v>
      </c>
      <c r="B7" s="200">
        <v>46</v>
      </c>
      <c r="C7" t="s" s="199">
        <v>142</v>
      </c>
      <c r="D7" t="s" s="204">
        <v>143</v>
      </c>
      <c r="E7" s="203"/>
    </row>
    <row r="8" ht="15" customHeight="1">
      <c r="A8" t="s" s="199">
        <v>29</v>
      </c>
      <c r="B8" s="200">
        <v>91</v>
      </c>
      <c r="C8" t="s" s="199">
        <v>144</v>
      </c>
      <c r="D8" s="201"/>
      <c r="E8" s="203"/>
    </row>
    <row r="9" ht="15" customHeight="1">
      <c r="A9" t="s" s="199">
        <v>30</v>
      </c>
      <c r="B9" s="200">
        <v>3</v>
      </c>
      <c r="C9" t="s" s="199">
        <v>145</v>
      </c>
      <c r="D9" t="s" s="204">
        <v>146</v>
      </c>
      <c r="E9" s="203"/>
    </row>
    <row r="10" ht="15" customHeight="1">
      <c r="A10" t="s" s="199">
        <v>31</v>
      </c>
      <c r="B10" s="200">
        <v>27</v>
      </c>
      <c r="C10" t="s" s="199">
        <v>147</v>
      </c>
      <c r="D10" s="201"/>
      <c r="E10" s="203"/>
    </row>
    <row r="11" ht="15" customHeight="1">
      <c r="A11" t="s" s="199">
        <v>32</v>
      </c>
      <c r="B11" s="200">
        <v>13</v>
      </c>
      <c r="C11" t="s" s="199">
        <v>148</v>
      </c>
      <c r="D11" s="201"/>
      <c r="E11" s="203"/>
    </row>
    <row r="12" ht="15" customHeight="1">
      <c r="A12" t="s" s="199">
        <v>33</v>
      </c>
      <c r="B12" s="200">
        <v>25</v>
      </c>
      <c r="C12" t="s" s="199">
        <v>149</v>
      </c>
      <c r="D12" s="201"/>
      <c r="E12" s="203"/>
    </row>
    <row r="13" ht="15" customHeight="1">
      <c r="A13" t="s" s="199">
        <v>69</v>
      </c>
      <c r="B13" s="200">
        <v>21</v>
      </c>
      <c r="C13" t="s" s="199">
        <v>150</v>
      </c>
      <c r="D13" s="201"/>
      <c r="E13" s="203"/>
    </row>
    <row r="14" ht="15" customHeight="1">
      <c r="A14" t="s" s="199">
        <v>35</v>
      </c>
      <c r="B14" s="200">
        <v>55</v>
      </c>
      <c r="C14" t="s" s="199">
        <v>151</v>
      </c>
      <c r="D14" s="201"/>
      <c r="E14" s="203"/>
    </row>
    <row r="15" ht="15" customHeight="1">
      <c r="A15" t="s" s="199">
        <v>36</v>
      </c>
      <c r="B15" s="200">
        <v>88</v>
      </c>
      <c r="C15" t="s" s="199">
        <v>152</v>
      </c>
      <c r="D15" s="201"/>
      <c r="E15" s="203"/>
    </row>
    <row r="16" ht="15" customHeight="1">
      <c r="A16" t="s" s="199">
        <v>37</v>
      </c>
      <c r="B16" s="200">
        <v>0</v>
      </c>
      <c r="C16" t="s" s="199">
        <v>153</v>
      </c>
      <c r="D16" s="201"/>
      <c r="E16" s="203"/>
    </row>
    <row r="17" ht="15" customHeight="1">
      <c r="A17" t="s" s="199">
        <v>38</v>
      </c>
      <c r="B17" s="200">
        <v>18</v>
      </c>
      <c r="C17" t="s" s="199">
        <v>154</v>
      </c>
      <c r="D17" s="201"/>
      <c r="E17" s="203"/>
    </row>
    <row r="18" ht="15" customHeight="1">
      <c r="A18" t="s" s="199">
        <v>39</v>
      </c>
      <c r="B18" s="200">
        <v>100</v>
      </c>
      <c r="C18" t="s" s="199">
        <v>155</v>
      </c>
      <c r="D18" t="s" s="204">
        <v>156</v>
      </c>
      <c r="E18" s="203"/>
    </row>
    <row r="19" ht="15" customHeight="1">
      <c r="A19" t="s" s="199">
        <v>40</v>
      </c>
      <c r="B19" s="200">
        <v>17</v>
      </c>
      <c r="C19" t="s" s="199">
        <v>157</v>
      </c>
      <c r="D19" s="201"/>
      <c r="E19" s="203"/>
    </row>
    <row r="20" ht="15" customHeight="1">
      <c r="A20" t="s" s="199">
        <v>41</v>
      </c>
      <c r="B20" s="200">
        <v>14</v>
      </c>
      <c r="C20" t="s" s="199">
        <v>158</v>
      </c>
      <c r="D20" s="201"/>
      <c r="E20" s="203"/>
    </row>
    <row r="21" ht="15" customHeight="1">
      <c r="A21" t="s" s="199">
        <v>42</v>
      </c>
      <c r="B21" s="200">
        <v>56</v>
      </c>
      <c r="C21" t="s" s="199">
        <v>159</v>
      </c>
      <c r="D21" s="201"/>
      <c r="E21" s="203"/>
    </row>
    <row r="22" ht="15" customHeight="1">
      <c r="A22" t="s" s="199">
        <v>43</v>
      </c>
      <c r="B22" s="200">
        <v>1</v>
      </c>
      <c r="C22" t="s" s="199">
        <v>160</v>
      </c>
      <c r="D22" s="201"/>
      <c r="E22" s="203"/>
    </row>
    <row r="23" ht="15" customHeight="1">
      <c r="A23" t="s" s="199">
        <v>44</v>
      </c>
      <c r="B23" s="200">
        <v>20</v>
      </c>
      <c r="C23" t="s" s="199">
        <v>161</v>
      </c>
      <c r="D23" s="201"/>
      <c r="E23" s="20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W36"/>
  <sheetViews>
    <sheetView workbookViewId="0" showGridLines="0" defaultGridColor="1"/>
  </sheetViews>
  <sheetFormatPr defaultColWidth="9" defaultRowHeight="16.5" customHeight="1" outlineLevelRow="0" outlineLevelCol="0"/>
  <cols>
    <col min="1" max="20" width="8.17188" style="205" customWidth="1"/>
    <col min="21" max="23" width="9" style="205" customWidth="1"/>
    <col min="24" max="16384" width="9" style="205" customWidth="1"/>
  </cols>
  <sheetData>
    <row r="1" ht="26.25" customHeight="1">
      <c r="A1" t="s" s="2">
        <v>162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34.5" customHeight="1">
      <c r="A3" t="s" s="8">
        <v>101</v>
      </c>
      <c r="B3" t="s" s="8">
        <v>102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21</v>
      </c>
      <c r="U3" t="s" s="8">
        <v>22</v>
      </c>
      <c r="V3" t="s" s="8">
        <v>23</v>
      </c>
      <c r="W3" t="s" s="8">
        <v>114</v>
      </c>
    </row>
    <row r="4" ht="17.25" customHeight="1">
      <c r="A4" t="s" s="8">
        <v>24</v>
      </c>
      <c r="B4" s="10">
        <v>4</v>
      </c>
      <c r="C4" s="206" cm="1">
        <f t="array" ref="C4">F4/E4</f>
        <v>0.25</v>
      </c>
      <c r="D4" s="10">
        <v>9</v>
      </c>
      <c r="E4" s="10">
        <v>8</v>
      </c>
      <c r="F4" s="10">
        <v>2</v>
      </c>
      <c r="G4" s="10" cm="1">
        <f t="array" ref="G4">F4-(H4+I4+J4)</f>
        <v>1</v>
      </c>
      <c r="H4" s="10">
        <v>0</v>
      </c>
      <c r="I4" s="10">
        <v>1</v>
      </c>
      <c r="J4" s="10">
        <v>0</v>
      </c>
      <c r="K4" s="10">
        <v>1</v>
      </c>
      <c r="L4" s="10">
        <v>3</v>
      </c>
      <c r="M4" s="10">
        <v>1</v>
      </c>
      <c r="N4" s="10" cm="1">
        <f t="array" ref="N4">D4-E4</f>
        <v>1</v>
      </c>
      <c r="O4" s="10">
        <v>4</v>
      </c>
      <c r="P4" s="12" cm="1">
        <f t="array" ref="P4">O4/D4</f>
        <v>0.444444444444444</v>
      </c>
      <c r="Q4" s="13" cm="1">
        <f t="array" ref="Q4">(G4*1+H4*2+I4*3+J4*4)/E4</f>
        <v>0.5</v>
      </c>
      <c r="R4" s="13" cm="1">
        <f t="array" ref="R4">(F4+N4)/D4</f>
        <v>0.333333333333333</v>
      </c>
      <c r="S4" s="15" cm="1">
        <f t="array" ref="S4">R4+Q4</f>
        <v>0.833333333333333</v>
      </c>
      <c r="T4" s="16" cm="1">
        <f t="array" ref="T4">O4/(D4-(F4+N4))</f>
        <v>0.666666666666667</v>
      </c>
      <c r="U4" s="17" cm="1">
        <f t="array" ref="U4">RANK(R4,$R$4:$R$23)</f>
        <v>17</v>
      </c>
      <c r="V4" s="18" cm="1">
        <f t="array" ref="V4">RANK(S4,$S$4:$S$23)</f>
        <v>12</v>
      </c>
      <c r="W4" s="48">
        <v>1</v>
      </c>
    </row>
    <row r="5" ht="17.25" customHeight="1">
      <c r="A5" t="s" s="8">
        <v>25</v>
      </c>
      <c r="B5" s="10">
        <v>5</v>
      </c>
      <c r="C5" s="206" cm="1">
        <f t="array" ref="C5">F5/E5</f>
        <v>0.25</v>
      </c>
      <c r="D5" s="10">
        <v>12</v>
      </c>
      <c r="E5" s="10">
        <v>8</v>
      </c>
      <c r="F5" s="10">
        <v>2</v>
      </c>
      <c r="G5" s="10" cm="1">
        <f t="array" ref="G5">F5-(H5+I5+J5)</f>
        <v>0</v>
      </c>
      <c r="H5" s="10">
        <v>2</v>
      </c>
      <c r="I5" s="10">
        <v>0</v>
      </c>
      <c r="J5" s="10">
        <v>0</v>
      </c>
      <c r="K5" s="10">
        <v>5</v>
      </c>
      <c r="L5" s="10">
        <v>1</v>
      </c>
      <c r="M5" s="10">
        <v>3</v>
      </c>
      <c r="N5" s="10" cm="1">
        <f t="array" ref="N5">D5-E5</f>
        <v>4</v>
      </c>
      <c r="O5" s="10">
        <v>5</v>
      </c>
      <c r="P5" s="12" cm="1">
        <f t="array" ref="P5">O5/D5</f>
        <v>0.416666666666667</v>
      </c>
      <c r="Q5" s="13" cm="1">
        <f t="array" ref="Q5">(G5*1+H5*2+I5*3+J5*4)/E5</f>
        <v>0.5</v>
      </c>
      <c r="R5" s="13" cm="1">
        <f t="array" ref="R5">(F5+N5)/D5</f>
        <v>0.5</v>
      </c>
      <c r="S5" s="15" cm="1">
        <f t="array" ref="S5">R5+Q5</f>
        <v>1</v>
      </c>
      <c r="T5" s="20" cm="1">
        <f t="array" ref="T5">O5/(D5-(F5+N5))</f>
        <v>0.833333333333333</v>
      </c>
      <c r="U5" s="17" cm="1">
        <f t="array" ref="U5">RANK(R5,$R$4:$R$23)</f>
        <v>8</v>
      </c>
      <c r="V5" s="18" cm="1">
        <f t="array" ref="V5">RANK(S5,$S$4:$S$23)</f>
        <v>9</v>
      </c>
      <c r="W5" s="48">
        <v>1</v>
      </c>
    </row>
    <row r="6" ht="17.25" customHeight="1">
      <c r="A6" t="s" s="8">
        <v>26</v>
      </c>
      <c r="B6" s="10">
        <v>7</v>
      </c>
      <c r="C6" s="206" cm="1">
        <f t="array" ref="C6">F6/E6</f>
        <v>0.611111111111111</v>
      </c>
      <c r="D6" s="10">
        <v>23</v>
      </c>
      <c r="E6" s="10">
        <v>18</v>
      </c>
      <c r="F6" s="10">
        <v>11</v>
      </c>
      <c r="G6" s="10" cm="1">
        <f t="array" ref="G6">F6-(H6+I6+J6)</f>
        <v>9</v>
      </c>
      <c r="H6" s="10">
        <v>2</v>
      </c>
      <c r="I6" s="10">
        <v>0</v>
      </c>
      <c r="J6" s="10">
        <v>0</v>
      </c>
      <c r="K6" s="10">
        <v>8</v>
      </c>
      <c r="L6" s="10">
        <v>7</v>
      </c>
      <c r="M6" s="10">
        <v>6</v>
      </c>
      <c r="N6" s="10" cm="1">
        <f t="array" ref="N6">D6-E6</f>
        <v>5</v>
      </c>
      <c r="O6" s="10">
        <v>0</v>
      </c>
      <c r="P6" s="19" cm="1">
        <f t="array" ref="P6">O6/D6</f>
        <v>0</v>
      </c>
      <c r="Q6" s="13" cm="1">
        <f t="array" ref="Q6">(G6*1+H6*2+I6*3+J6*4)/E6</f>
        <v>0.722222222222222</v>
      </c>
      <c r="R6" s="13" cm="1">
        <f t="array" ref="R6">(F6+N6)/D6</f>
        <v>0.695652173913043</v>
      </c>
      <c r="S6" s="15" cm="1">
        <f t="array" ref="S6">R6+Q6</f>
        <v>1.41787439613527</v>
      </c>
      <c r="T6" s="21" cm="1">
        <f t="array" ref="T6">O6/(D6-(F6+N6))</f>
        <v>0</v>
      </c>
      <c r="U6" s="17" cm="1">
        <f t="array" ref="U6">RANK(R6,$R$4:$R$23)</f>
        <v>3</v>
      </c>
      <c r="V6" s="18" cm="1">
        <f t="array" ref="V6">RANK(S6,$S$4:$S$23)</f>
        <v>3</v>
      </c>
      <c r="W6" s="48">
        <v>4</v>
      </c>
    </row>
    <row r="7" ht="17.25" customHeight="1">
      <c r="A7" t="s" s="8">
        <v>27</v>
      </c>
      <c r="B7" s="10">
        <v>1</v>
      </c>
      <c r="C7" s="206" cm="1">
        <f t="array" ref="C7">F7/E7</f>
        <v>0</v>
      </c>
      <c r="D7" s="10">
        <v>3</v>
      </c>
      <c r="E7" s="10">
        <v>2</v>
      </c>
      <c r="F7" s="10">
        <v>0</v>
      </c>
      <c r="G7" s="10" cm="1">
        <f t="array" ref="G7">F7-(H7+I7+J7)</f>
        <v>0</v>
      </c>
      <c r="H7" s="10">
        <v>0</v>
      </c>
      <c r="I7" s="10">
        <v>0</v>
      </c>
      <c r="J7" s="10">
        <v>0</v>
      </c>
      <c r="K7" s="10">
        <v>2</v>
      </c>
      <c r="L7" s="10">
        <v>1</v>
      </c>
      <c r="M7" s="10">
        <v>0</v>
      </c>
      <c r="N7" s="10" cm="1">
        <f t="array" ref="N7">D7-E7</f>
        <v>1</v>
      </c>
      <c r="O7" s="10">
        <v>1</v>
      </c>
      <c r="P7" s="12" cm="1">
        <f t="array" ref="P7">O7/D7</f>
        <v>0.333333333333333</v>
      </c>
      <c r="Q7" s="13" cm="1">
        <f t="array" ref="Q7">(G7*1+H7*2+I7*3+J7*4)/E7</f>
        <v>0</v>
      </c>
      <c r="R7" s="13" cm="1">
        <f t="array" ref="R7">(F7+N7)/D7</f>
        <v>0.333333333333333</v>
      </c>
      <c r="S7" s="15" cm="1">
        <f t="array" ref="S7">R7+Q7</f>
        <v>0.333333333333333</v>
      </c>
      <c r="T7" s="22" cm="1">
        <f t="array" ref="T7">O7/(D7-(F7+N7))</f>
        <v>0.5</v>
      </c>
      <c r="U7" s="17" cm="1">
        <f t="array" ref="U7">RANK(R7,$R$4:$R$23)</f>
        <v>17</v>
      </c>
      <c r="V7" s="18" cm="1">
        <f t="array" ref="V7">RANK(S7,$S$4:$S$23)</f>
        <v>18</v>
      </c>
      <c r="W7" s="158"/>
    </row>
    <row r="8" ht="17.25" customHeight="1">
      <c r="A8" t="s" s="8">
        <v>28</v>
      </c>
      <c r="B8" s="10">
        <v>2</v>
      </c>
      <c r="C8" s="206" cm="1">
        <f t="array" ref="C8">F8/E8</f>
        <v>0</v>
      </c>
      <c r="D8" s="10">
        <v>6</v>
      </c>
      <c r="E8" s="10">
        <v>3</v>
      </c>
      <c r="F8" s="10">
        <v>0</v>
      </c>
      <c r="G8" s="10" cm="1">
        <f t="array" ref="G8">F8-(H8+I8+J8)</f>
        <v>0</v>
      </c>
      <c r="H8" s="10">
        <v>0</v>
      </c>
      <c r="I8" s="10">
        <v>0</v>
      </c>
      <c r="J8" s="10">
        <v>0</v>
      </c>
      <c r="K8" s="10">
        <v>3</v>
      </c>
      <c r="L8" s="10">
        <v>1</v>
      </c>
      <c r="M8" s="10">
        <v>1</v>
      </c>
      <c r="N8" s="10" cm="1">
        <f t="array" ref="N8">D8-E8</f>
        <v>3</v>
      </c>
      <c r="O8" s="10">
        <v>3</v>
      </c>
      <c r="P8" s="12" cm="1">
        <f t="array" ref="P8">O8/D8</f>
        <v>0.5</v>
      </c>
      <c r="Q8" s="13" cm="1">
        <f t="array" ref="Q8">(G8*1+H8*2+I8*3+J8*4)/E8</f>
        <v>0</v>
      </c>
      <c r="R8" s="13" cm="1">
        <f t="array" ref="R8">(F8+N8)/D8</f>
        <v>0.5</v>
      </c>
      <c r="S8" s="15" cm="1">
        <f t="array" ref="S8">R8+Q8</f>
        <v>0.5</v>
      </c>
      <c r="T8" s="20" cm="1">
        <f t="array" ref="T8">O8/(D8-(F8+N8))</f>
        <v>1</v>
      </c>
      <c r="U8" s="17" cm="1">
        <f t="array" ref="U8">RANK(R8,$R$4:$R$23)</f>
        <v>8</v>
      </c>
      <c r="V8" s="18" cm="1">
        <f t="array" ref="V8">RANK(S8,$S$4:$S$23)</f>
        <v>16</v>
      </c>
      <c r="W8" s="48">
        <v>0</v>
      </c>
    </row>
    <row r="9" ht="17.25" customHeight="1">
      <c r="A9" t="s" s="8">
        <v>29</v>
      </c>
      <c r="B9" s="10">
        <v>1</v>
      </c>
      <c r="C9" s="206" cm="1">
        <f t="array" ref="C9">F9/E9</f>
        <v>0.25</v>
      </c>
      <c r="D9" s="10">
        <v>2</v>
      </c>
      <c r="E9" s="10">
        <v>4</v>
      </c>
      <c r="F9" s="10">
        <v>1</v>
      </c>
      <c r="G9" s="10" cm="1">
        <f t="array" ref="G9">F9-(H9+I9+J9)</f>
        <v>1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 cm="1">
        <f t="array" ref="N9">D9-E9</f>
        <v>-2</v>
      </c>
      <c r="O9" s="10">
        <v>1</v>
      </c>
      <c r="P9" s="12" cm="1">
        <f t="array" ref="P9">O9/D9</f>
        <v>0.5</v>
      </c>
      <c r="Q9" s="13" cm="1">
        <f t="array" ref="Q9">(G9*1+H9*2+I9*3+J9*4)/E9</f>
        <v>0.25</v>
      </c>
      <c r="R9" s="13" cm="1">
        <f t="array" ref="R9">(F9+N9)/D9</f>
        <v>-0.5</v>
      </c>
      <c r="S9" s="15" cm="1">
        <f t="array" ref="S9">R9+Q9</f>
        <v>-0.25</v>
      </c>
      <c r="T9" s="20" cm="1">
        <f t="array" ref="T9">O9/(D9-(F9+N9))</f>
        <v>0.333333333333333</v>
      </c>
      <c r="U9" s="17" cm="1">
        <f t="array" ref="U9">RANK(R9,$R$4:$R$23)</f>
        <v>20</v>
      </c>
      <c r="V9" s="18" cm="1">
        <f t="array" ref="V9">RANK(S9,$S$4:$S$23)</f>
        <v>20</v>
      </c>
      <c r="W9" s="48">
        <v>2</v>
      </c>
    </row>
    <row r="10" ht="17.25" customHeight="1">
      <c r="A10" t="s" s="8">
        <v>30</v>
      </c>
      <c r="B10" s="10">
        <v>6</v>
      </c>
      <c r="C10" s="206" cm="1">
        <f t="array" ref="C10">F10/E10</f>
        <v>0.5</v>
      </c>
      <c r="D10" s="10">
        <v>15</v>
      </c>
      <c r="E10" s="10">
        <v>14</v>
      </c>
      <c r="F10" s="10">
        <v>7</v>
      </c>
      <c r="G10" s="10" cm="1">
        <f t="array" ref="G10">F10-(H10+I10+J10)</f>
        <v>3</v>
      </c>
      <c r="H10" s="10">
        <v>2</v>
      </c>
      <c r="I10" s="10">
        <v>2</v>
      </c>
      <c r="J10" s="10">
        <v>0</v>
      </c>
      <c r="K10" s="10">
        <v>5</v>
      </c>
      <c r="L10" s="10">
        <v>5</v>
      </c>
      <c r="M10" s="10">
        <v>5</v>
      </c>
      <c r="N10" s="10" cm="1">
        <f t="array" ref="N10">D10-E10</f>
        <v>1</v>
      </c>
      <c r="O10" s="10">
        <v>2</v>
      </c>
      <c r="P10" s="19" cm="1">
        <f t="array" ref="P10">O10/D10</f>
        <v>0.133333333333333</v>
      </c>
      <c r="Q10" s="13" cm="1">
        <f t="array" ref="Q10">(G10*1+H10*2+I10*3+J10*4)/E10</f>
        <v>0.928571428571429</v>
      </c>
      <c r="R10" s="13" cm="1">
        <f t="array" ref="R10">(F10+N10)/D10</f>
        <v>0.533333333333333</v>
      </c>
      <c r="S10" s="15" cm="1">
        <f t="array" ref="S10">R10+Q10</f>
        <v>1.46190476190476</v>
      </c>
      <c r="T10" s="21" cm="1">
        <f t="array" ref="T10">O10/(D10-(F10+N10))</f>
        <v>0.285714285714286</v>
      </c>
      <c r="U10" s="17" cm="1">
        <f t="array" ref="U10">RANK(R10,$R$4:$R$23)</f>
        <v>7</v>
      </c>
      <c r="V10" s="18" cm="1">
        <f t="array" ref="V10">RANK(S10,$S$4:$S$23)</f>
        <v>2</v>
      </c>
      <c r="W10" s="158"/>
    </row>
    <row r="11" ht="17.25" customHeight="1">
      <c r="A11" t="s" s="8">
        <v>31</v>
      </c>
      <c r="B11" s="10">
        <v>3</v>
      </c>
      <c r="C11" s="206" cm="1">
        <f t="array" ref="C11">F11/E11</f>
        <v>0.25</v>
      </c>
      <c r="D11" s="10">
        <v>5</v>
      </c>
      <c r="E11" s="10">
        <v>4</v>
      </c>
      <c r="F11" s="10">
        <v>1</v>
      </c>
      <c r="G11" s="10" cm="1">
        <f t="array" ref="G11">F11-(H11+I11+J11)</f>
        <v>1</v>
      </c>
      <c r="H11" s="10">
        <v>0</v>
      </c>
      <c r="I11" s="10">
        <v>0</v>
      </c>
      <c r="J11" s="10">
        <v>0</v>
      </c>
      <c r="K11" s="10">
        <v>3</v>
      </c>
      <c r="L11" s="10">
        <v>1</v>
      </c>
      <c r="M11" s="10">
        <v>0</v>
      </c>
      <c r="N11" s="10" cm="1">
        <f t="array" ref="N11">D11-E11</f>
        <v>1</v>
      </c>
      <c r="O11" s="10">
        <v>1</v>
      </c>
      <c r="P11" s="19" cm="1">
        <f t="array" ref="P11">O11/D11</f>
        <v>0.2</v>
      </c>
      <c r="Q11" s="13" cm="1">
        <f t="array" ref="Q11">(G11*1+H11*2+I11*3+J11*4)/E11</f>
        <v>0.25</v>
      </c>
      <c r="R11" s="13" cm="1">
        <f t="array" ref="R11">(F11+N11)/D11</f>
        <v>0.4</v>
      </c>
      <c r="S11" s="15" cm="1">
        <f t="array" ref="S11">R11+Q11</f>
        <v>0.65</v>
      </c>
      <c r="T11" s="20" cm="1">
        <f t="array" ref="T11">O11/(D11-(F11+N11))</f>
        <v>0.333333333333333</v>
      </c>
      <c r="U11" s="17" cm="1">
        <f t="array" ref="U11">RANK(R11,$R$4:$R$23)</f>
        <v>14</v>
      </c>
      <c r="V11" s="18" cm="1">
        <f t="array" ref="V11">RANK(S11,$S$4:$S$23)</f>
        <v>14</v>
      </c>
      <c r="W11" s="48">
        <v>1</v>
      </c>
    </row>
    <row r="12" ht="17.25" customHeight="1">
      <c r="A12" t="s" s="8">
        <v>32</v>
      </c>
      <c r="B12" s="10">
        <v>4</v>
      </c>
      <c r="C12" s="206" cm="1">
        <f t="array" ref="C12">F12/E12</f>
        <v>0.666666666666667</v>
      </c>
      <c r="D12" s="10">
        <v>9</v>
      </c>
      <c r="E12" s="10">
        <v>6</v>
      </c>
      <c r="F12" s="10">
        <v>4</v>
      </c>
      <c r="G12" s="10" cm="1">
        <f t="array" ref="G12">F12-(H12+I12+J12)</f>
        <v>3</v>
      </c>
      <c r="H12" s="10">
        <v>1</v>
      </c>
      <c r="I12" s="10">
        <v>0</v>
      </c>
      <c r="J12" s="10">
        <v>0</v>
      </c>
      <c r="K12" s="10">
        <v>5</v>
      </c>
      <c r="L12" s="10">
        <v>0</v>
      </c>
      <c r="M12" s="10">
        <v>5</v>
      </c>
      <c r="N12" s="10" cm="1">
        <f t="array" ref="N12">D12-E12</f>
        <v>3</v>
      </c>
      <c r="O12" s="10">
        <v>0</v>
      </c>
      <c r="P12" s="19" cm="1">
        <f t="array" ref="P12">O12/D12</f>
        <v>0</v>
      </c>
      <c r="Q12" s="13" cm="1">
        <f t="array" ref="Q12">(G12*1+H12*2+I12*3+J12*4)/E12</f>
        <v>0.833333333333333</v>
      </c>
      <c r="R12" s="13" cm="1">
        <f t="array" ref="R12">(F12+N12)/D12</f>
        <v>0.777777777777778</v>
      </c>
      <c r="S12" s="15" cm="1">
        <f t="array" ref="S12">R12+Q12</f>
        <v>1.61111111111111</v>
      </c>
      <c r="T12" s="22" cm="1">
        <f t="array" ref="T12">O12/(D12-(F12+N12))</f>
        <v>0</v>
      </c>
      <c r="U12" s="17" cm="1">
        <f t="array" ref="U12">RANK(R12,$R$4:$R$23)</f>
        <v>2</v>
      </c>
      <c r="V12" s="18" cm="1">
        <f t="array" ref="V12">RANK(S12,$S$4:$S$23)</f>
        <v>1</v>
      </c>
      <c r="W12" s="48">
        <v>0</v>
      </c>
    </row>
    <row r="13" ht="17.25" customHeight="1">
      <c r="A13" t="s" s="8">
        <v>33</v>
      </c>
      <c r="B13" s="10">
        <v>5</v>
      </c>
      <c r="C13" s="206" cm="1">
        <f t="array" ref="C13">F13/E13</f>
        <v>0.375</v>
      </c>
      <c r="D13" s="10">
        <v>12</v>
      </c>
      <c r="E13" s="10">
        <v>8</v>
      </c>
      <c r="F13" s="10">
        <v>3</v>
      </c>
      <c r="G13" s="10" cm="1">
        <f t="array" ref="G13">F13-(H13+I13+J13)</f>
        <v>3</v>
      </c>
      <c r="H13" s="10">
        <v>0</v>
      </c>
      <c r="I13" s="10">
        <v>0</v>
      </c>
      <c r="J13" s="10">
        <v>0</v>
      </c>
      <c r="K13" s="10">
        <v>4</v>
      </c>
      <c r="L13" s="10">
        <v>2</v>
      </c>
      <c r="M13" s="10">
        <v>1</v>
      </c>
      <c r="N13" s="10" cm="1">
        <f t="array" ref="N13">D13-E13</f>
        <v>4</v>
      </c>
      <c r="O13" s="10">
        <v>0</v>
      </c>
      <c r="P13" s="19" cm="1">
        <f t="array" ref="P13">O13/D13</f>
        <v>0</v>
      </c>
      <c r="Q13" s="13" cm="1">
        <f t="array" ref="Q13">(G13*1+H13*2+I13*3+J13*4)/E13</f>
        <v>0.375</v>
      </c>
      <c r="R13" s="13" cm="1">
        <f t="array" ref="R13">(F13+N13)/D13</f>
        <v>0.583333333333333</v>
      </c>
      <c r="S13" s="15" cm="1">
        <f t="array" ref="S13">R13+Q13</f>
        <v>0.958333333333333</v>
      </c>
      <c r="T13" s="21" cm="1">
        <f t="array" ref="T13">O13/(D13-(F13+N13))</f>
        <v>0</v>
      </c>
      <c r="U13" s="17" cm="1">
        <f t="array" ref="U13">RANK(R13,$R$4:$R$23)</f>
        <v>4</v>
      </c>
      <c r="V13" s="18" cm="1">
        <f t="array" ref="V13">RANK(S13,$S$4:$S$23)</f>
        <v>11</v>
      </c>
      <c r="W13" s="48">
        <v>2</v>
      </c>
    </row>
    <row r="14" ht="17.25" customHeight="1">
      <c r="A14" t="s" s="8">
        <v>35</v>
      </c>
      <c r="B14" s="10">
        <v>6</v>
      </c>
      <c r="C14" s="206" cm="1">
        <f t="array" ref="C14">F14/E14</f>
        <v>0.111111111111111</v>
      </c>
      <c r="D14" s="10">
        <v>14</v>
      </c>
      <c r="E14" s="10">
        <v>9</v>
      </c>
      <c r="F14" s="10">
        <v>1</v>
      </c>
      <c r="G14" s="10" cm="1">
        <f t="array" ref="G14">F14-(H14+I14+J14)</f>
        <v>1</v>
      </c>
      <c r="H14" s="10">
        <v>0</v>
      </c>
      <c r="I14" s="10">
        <v>0</v>
      </c>
      <c r="J14" s="10">
        <v>0</v>
      </c>
      <c r="K14" s="10">
        <v>2</v>
      </c>
      <c r="L14" s="10">
        <v>2</v>
      </c>
      <c r="M14" s="10">
        <v>3</v>
      </c>
      <c r="N14" s="10" cm="1">
        <f t="array" ref="N14">D14-E14</f>
        <v>5</v>
      </c>
      <c r="O14" s="10">
        <v>6</v>
      </c>
      <c r="P14" s="12" cm="1">
        <f t="array" ref="P14">O14/D14</f>
        <v>0.428571428571429</v>
      </c>
      <c r="Q14" s="13" cm="1">
        <f t="array" ref="Q14">(G14*1+H14*2+I14*3+J14*4)/E14</f>
        <v>0.111111111111111</v>
      </c>
      <c r="R14" s="13" cm="1">
        <f t="array" ref="R14">(F14+N14)/D14</f>
        <v>0.428571428571429</v>
      </c>
      <c r="S14" s="15" cm="1">
        <f t="array" ref="S14">R14+Q14</f>
        <v>0.53968253968254</v>
      </c>
      <c r="T14" s="16" cm="1">
        <f t="array" ref="T14">O14/(D14-(F14+N14))</f>
        <v>0.75</v>
      </c>
      <c r="U14" s="17" cm="1">
        <f t="array" ref="U14">RANK(R14,$R$4:$R$23)</f>
        <v>13</v>
      </c>
      <c r="V14" s="18" cm="1">
        <f t="array" ref="V14">RANK(S14,$S$4:$S$23)</f>
        <v>15</v>
      </c>
      <c r="W14" s="48">
        <v>6</v>
      </c>
    </row>
    <row r="15" ht="17.25" customHeight="1">
      <c r="A15" t="s" s="8">
        <v>36</v>
      </c>
      <c r="B15" s="10">
        <v>7</v>
      </c>
      <c r="C15" s="206" cm="1">
        <f t="array" ref="C15">F15/E15</f>
        <v>0.461538461538462</v>
      </c>
      <c r="D15" s="10">
        <v>13</v>
      </c>
      <c r="E15" s="10">
        <v>13</v>
      </c>
      <c r="F15" s="10">
        <v>6</v>
      </c>
      <c r="G15" s="10" cm="1">
        <f t="array" ref="G15">F15-(H15+I15+J15)</f>
        <v>5</v>
      </c>
      <c r="H15" s="10">
        <v>1</v>
      </c>
      <c r="I15" s="10">
        <v>0</v>
      </c>
      <c r="J15" s="10">
        <v>0</v>
      </c>
      <c r="K15" s="10">
        <v>2</v>
      </c>
      <c r="L15" s="10">
        <v>5</v>
      </c>
      <c r="M15" s="10">
        <v>1</v>
      </c>
      <c r="N15" s="10" cm="1">
        <f t="array" ref="N15">D15-E15</f>
        <v>0</v>
      </c>
      <c r="O15" s="10">
        <v>3</v>
      </c>
      <c r="P15" s="19" cm="1">
        <f t="array" ref="P15">O15/D15</f>
        <v>0.230769230769231</v>
      </c>
      <c r="Q15" s="13" cm="1">
        <f t="array" ref="Q15">(G15*1+H15*2+I15*3+J15*4)/E15</f>
        <v>0.538461538461538</v>
      </c>
      <c r="R15" s="13" cm="1">
        <f t="array" ref="R15">(F15+N15)/D15</f>
        <v>0.461538461538462</v>
      </c>
      <c r="S15" s="15" cm="1">
        <f t="array" ref="S15">R15+Q15</f>
        <v>1</v>
      </c>
      <c r="T15" s="16" cm="1">
        <f t="array" ref="T15">O15/(D15-(F15+N15))</f>
        <v>0.428571428571429</v>
      </c>
      <c r="U15" s="17" cm="1">
        <f t="array" ref="U15">RANK(R15,$R$4:$R$23)</f>
        <v>12</v>
      </c>
      <c r="V15" s="18" cm="1">
        <f t="array" ref="V15">RANK(S15,$S$4:$S$23)</f>
        <v>9</v>
      </c>
      <c r="W15" s="48">
        <v>1</v>
      </c>
    </row>
    <row r="16" ht="17.25" customHeight="1">
      <c r="A16" t="s" s="8">
        <v>37</v>
      </c>
      <c r="B16" s="10">
        <v>4</v>
      </c>
      <c r="C16" s="206" cm="1">
        <f t="array" ref="C16">F16/E16</f>
        <v>0.416666666666667</v>
      </c>
      <c r="D16" s="10">
        <v>14</v>
      </c>
      <c r="E16" s="10">
        <v>12</v>
      </c>
      <c r="F16" s="10">
        <v>5</v>
      </c>
      <c r="G16" s="10" cm="1">
        <f t="array" ref="G16">F16-(H16+I16+J16)</f>
        <v>3</v>
      </c>
      <c r="H16" s="10">
        <v>0</v>
      </c>
      <c r="I16" s="10">
        <v>2</v>
      </c>
      <c r="J16" s="10">
        <v>0</v>
      </c>
      <c r="K16" s="10">
        <v>5</v>
      </c>
      <c r="L16" s="10">
        <v>3</v>
      </c>
      <c r="M16" s="10">
        <v>2</v>
      </c>
      <c r="N16" s="10" cm="1">
        <f t="array" ref="N16">D16-E16</f>
        <v>2</v>
      </c>
      <c r="O16" s="10">
        <v>1</v>
      </c>
      <c r="P16" s="19" cm="1">
        <f t="array" ref="P16">O16/D16</f>
        <v>0.0714285714285714</v>
      </c>
      <c r="Q16" s="13" cm="1">
        <f t="array" ref="Q16">(G16*1+H16*2+I16*3+J16*4)/E16</f>
        <v>0.75</v>
      </c>
      <c r="R16" s="13" cm="1">
        <f t="array" ref="R16">(F16+N16)/D16</f>
        <v>0.5</v>
      </c>
      <c r="S16" s="15" cm="1">
        <f t="array" ref="S16">R16+Q16</f>
        <v>1.25</v>
      </c>
      <c r="T16" s="16" cm="1">
        <f t="array" ref="T16">O16/(D16-(F16+N16))</f>
        <v>0.142857142857143</v>
      </c>
      <c r="U16" s="17" cm="1">
        <f t="array" ref="U16">RANK(R16,$R$4:$R$23)</f>
        <v>8</v>
      </c>
      <c r="V16" s="18" cm="1">
        <f t="array" ref="V16">RANK(S16,$S$4:$S$23)</f>
        <v>5</v>
      </c>
      <c r="W16" s="48">
        <v>4</v>
      </c>
    </row>
    <row r="17" ht="17.25" customHeight="1">
      <c r="A17" t="s" s="8">
        <v>38</v>
      </c>
      <c r="B17" s="10">
        <v>6</v>
      </c>
      <c r="C17" s="206" cm="1">
        <f t="array" ref="C17">F17/E17</f>
        <v>0.444444444444444</v>
      </c>
      <c r="D17" s="10">
        <v>11</v>
      </c>
      <c r="E17" s="10">
        <v>9</v>
      </c>
      <c r="F17" s="10">
        <v>4</v>
      </c>
      <c r="G17" s="10" cm="1">
        <f t="array" ref="G17">F17-(H17+I17+J17)</f>
        <v>2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1</v>
      </c>
      <c r="N17" s="10" cm="1">
        <f t="array" ref="N17">D17-E17</f>
        <v>2</v>
      </c>
      <c r="O17" s="10">
        <v>1</v>
      </c>
      <c r="P17" s="19" cm="1">
        <f t="array" ref="P17">O17/D17</f>
        <v>0.0909090909090909</v>
      </c>
      <c r="Q17" s="13" cm="1">
        <f t="array" ref="Q17">(G17*1+H17*2+I17*3+J17*4)/E17</f>
        <v>0.666666666666667</v>
      </c>
      <c r="R17" s="13" cm="1">
        <f t="array" ref="R17">(F17+N17)/D17</f>
        <v>0.545454545454545</v>
      </c>
      <c r="S17" s="15" cm="1">
        <f t="array" ref="S17">R17+Q17</f>
        <v>1.21212121212121</v>
      </c>
      <c r="T17" s="20" cm="1">
        <f t="array" ref="T17">O17/(D17-(F17+N17))</f>
        <v>0.2</v>
      </c>
      <c r="U17" s="17" cm="1">
        <f t="array" ref="U17">RANK(R17,$R$4:$R$23)</f>
        <v>6</v>
      </c>
      <c r="V17" s="18" cm="1">
        <f t="array" ref="V17">RANK(S17,$S$4:$S$23)</f>
        <v>6</v>
      </c>
      <c r="W17" s="48">
        <v>5</v>
      </c>
    </row>
    <row r="18" ht="17.25" customHeight="1">
      <c r="A18" t="s" s="8">
        <v>39</v>
      </c>
      <c r="B18" s="10">
        <v>2</v>
      </c>
      <c r="C18" s="206" cm="1">
        <f t="array" ref="C18">F18/E18</f>
        <v>0</v>
      </c>
      <c r="D18" s="10">
        <v>3</v>
      </c>
      <c r="E18" s="10">
        <v>2</v>
      </c>
      <c r="F18" s="10">
        <v>0</v>
      </c>
      <c r="G18" s="10" cm="1">
        <f t="array" ref="G18">F18-(H18+I18+J18)</f>
        <v>0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 cm="1">
        <f t="array" ref="N18">D18-E18</f>
        <v>1</v>
      </c>
      <c r="O18" s="10">
        <v>0</v>
      </c>
      <c r="P18" s="19" cm="1">
        <f t="array" ref="P18">O18/D18</f>
        <v>0</v>
      </c>
      <c r="Q18" s="13" cm="1">
        <f t="array" ref="Q18">(G18*1+H18*2+I18*3+J18*4)/E18</f>
        <v>0</v>
      </c>
      <c r="R18" s="13" cm="1">
        <f t="array" ref="R18">(F18+N18)/D18</f>
        <v>0.333333333333333</v>
      </c>
      <c r="S18" s="15" cm="1">
        <f t="array" ref="S18">R18+Q18</f>
        <v>0.333333333333333</v>
      </c>
      <c r="T18" s="21" cm="1">
        <f t="array" ref="T18">O18/(D18-(F18+N18))</f>
        <v>0</v>
      </c>
      <c r="U18" s="17" cm="1">
        <f t="array" ref="U18">RANK(R18,$R$4:$R$23)</f>
        <v>17</v>
      </c>
      <c r="V18" s="18" cm="1">
        <f t="array" ref="V18">RANK(S18,$S$4:$S$23)</f>
        <v>18</v>
      </c>
      <c r="W18" s="158"/>
    </row>
    <row r="19" ht="17.25" customHeight="1">
      <c r="A19" t="s" s="8">
        <v>40</v>
      </c>
      <c r="B19" s="10">
        <v>3</v>
      </c>
      <c r="C19" s="206" cm="1">
        <f t="array" ref="C19">F19/E19</f>
        <v>0.5</v>
      </c>
      <c r="D19" s="10">
        <v>8</v>
      </c>
      <c r="E19" s="10">
        <v>2</v>
      </c>
      <c r="F19" s="10">
        <v>1</v>
      </c>
      <c r="G19" s="10" cm="1">
        <f t="array" ref="G19">F19-(H19+I19+J19)</f>
        <v>1</v>
      </c>
      <c r="H19" s="10">
        <v>0</v>
      </c>
      <c r="I19" s="10">
        <v>0</v>
      </c>
      <c r="J19" s="10">
        <v>0</v>
      </c>
      <c r="K19" s="10">
        <v>5</v>
      </c>
      <c r="L19" s="10">
        <v>2</v>
      </c>
      <c r="M19" s="10">
        <v>5</v>
      </c>
      <c r="N19" s="10" cm="1">
        <f t="array" ref="N19">D19-E19</f>
        <v>6</v>
      </c>
      <c r="O19" s="10">
        <v>0</v>
      </c>
      <c r="P19" s="19" cm="1">
        <f t="array" ref="P19">O19/D19</f>
        <v>0</v>
      </c>
      <c r="Q19" s="13" cm="1">
        <f t="array" ref="Q19">(G19*1+H19*2+I19*3+J19*4)/E19</f>
        <v>0.5</v>
      </c>
      <c r="R19" s="13" cm="1">
        <f t="array" ref="R19">(F19+N19)/D19</f>
        <v>0.875</v>
      </c>
      <c r="S19" s="15" cm="1">
        <f t="array" ref="S19">R19+Q19</f>
        <v>1.375</v>
      </c>
      <c r="T19" s="20" cm="1">
        <f t="array" ref="T19">O19/(D19-(F19+N19))</f>
        <v>0</v>
      </c>
      <c r="U19" s="17" cm="1">
        <f t="array" ref="U19">RANK(R19,$R$4:$R$23)</f>
        <v>1</v>
      </c>
      <c r="V19" s="18" cm="1">
        <f t="array" ref="V19">RANK(S19,$S$4:$S$23)</f>
        <v>4</v>
      </c>
      <c r="W19" s="48">
        <v>0</v>
      </c>
    </row>
    <row r="20" ht="17.25" customHeight="1">
      <c r="A20" t="s" s="8">
        <v>41</v>
      </c>
      <c r="B20" s="10">
        <v>7</v>
      </c>
      <c r="C20" s="206" cm="1">
        <f t="array" ref="C20">F20/E20</f>
        <v>0.454545454545455</v>
      </c>
      <c r="D20" s="10">
        <v>14</v>
      </c>
      <c r="E20" s="10">
        <v>11</v>
      </c>
      <c r="F20" s="10">
        <v>5</v>
      </c>
      <c r="G20" s="10" cm="1">
        <f t="array" ref="G20">F20-(H20+I20+J20)</f>
        <v>4</v>
      </c>
      <c r="H20" s="10">
        <v>1</v>
      </c>
      <c r="I20" s="10">
        <v>0</v>
      </c>
      <c r="J20" s="10">
        <v>0</v>
      </c>
      <c r="K20" s="10">
        <v>5</v>
      </c>
      <c r="L20" s="10">
        <v>5</v>
      </c>
      <c r="M20" s="10">
        <v>1</v>
      </c>
      <c r="N20" s="10" cm="1">
        <f t="array" ref="N20">D20-E20</f>
        <v>3</v>
      </c>
      <c r="O20" s="10">
        <v>3</v>
      </c>
      <c r="P20" s="19" cm="1">
        <f t="array" ref="P20">O20/D20</f>
        <v>0.214285714285714</v>
      </c>
      <c r="Q20" s="13" cm="1">
        <f t="array" ref="Q20">(G20*1+H20*2+I20*3+J20*4)/E20</f>
        <v>0.545454545454545</v>
      </c>
      <c r="R20" s="13" cm="1">
        <f t="array" ref="R20">(F20+N20)/D20</f>
        <v>0.571428571428571</v>
      </c>
      <c r="S20" s="15" cm="1">
        <f t="array" ref="S20">R20+Q20</f>
        <v>1.11688311688312</v>
      </c>
      <c r="T20" s="25" cm="1">
        <f t="array" ref="T20">O20/(D20-(F20+N20))</f>
        <v>0.5</v>
      </c>
      <c r="U20" s="17" cm="1">
        <f t="array" ref="U20">RANK(R20,$R$4:$R$23)</f>
        <v>5</v>
      </c>
      <c r="V20" s="18" cm="1">
        <f t="array" ref="V20">RANK(S20,$S$4:$S$23)</f>
        <v>7</v>
      </c>
      <c r="W20" s="48">
        <v>3</v>
      </c>
    </row>
    <row r="21" ht="17.25" customHeight="1">
      <c r="A21" t="s" s="8">
        <v>42</v>
      </c>
      <c r="B21" s="10">
        <v>6</v>
      </c>
      <c r="C21" s="206" cm="1">
        <f t="array" ref="C21">F21/E21</f>
        <v>0.4</v>
      </c>
      <c r="D21" s="10">
        <v>18</v>
      </c>
      <c r="E21" s="10">
        <v>15</v>
      </c>
      <c r="F21" s="10">
        <v>6</v>
      </c>
      <c r="G21" s="10" cm="1">
        <f t="array" ref="G21">F21-(H21+I21+J21)</f>
        <v>3</v>
      </c>
      <c r="H21" s="10">
        <v>3</v>
      </c>
      <c r="I21" s="10">
        <v>0</v>
      </c>
      <c r="J21" s="10">
        <v>0</v>
      </c>
      <c r="K21" s="10">
        <v>5</v>
      </c>
      <c r="L21" s="10">
        <v>5</v>
      </c>
      <c r="M21" s="10">
        <v>2</v>
      </c>
      <c r="N21" s="10" cm="1">
        <f t="array" ref="N21">D21-E21</f>
        <v>3</v>
      </c>
      <c r="O21" s="10">
        <v>5</v>
      </c>
      <c r="P21" s="19" cm="1">
        <f t="array" ref="P21">O21/D21</f>
        <v>0.277777777777778</v>
      </c>
      <c r="Q21" s="13" cm="1">
        <f t="array" ref="Q21">(G21*1+H21*2+I21*3+J21*4)/E21</f>
        <v>0.6</v>
      </c>
      <c r="R21" s="13" cm="1">
        <f t="array" ref="R21">(F21+N21)/D21</f>
        <v>0.5</v>
      </c>
      <c r="S21" s="15" cm="1">
        <f t="array" ref="S21">R21+Q21</f>
        <v>1.1</v>
      </c>
      <c r="T21" s="26" cm="1">
        <f t="array" ref="T21">O21/(D21-(F21+N21))</f>
        <v>0.555555555555556</v>
      </c>
      <c r="U21" s="17" cm="1">
        <f t="array" ref="U21">RANK(R21,$R$4:$R$23)</f>
        <v>8</v>
      </c>
      <c r="V21" s="18" cm="1">
        <f t="array" ref="V21">RANK(S21,$S$4:$S$23)</f>
        <v>8</v>
      </c>
      <c r="W21" s="48">
        <v>0</v>
      </c>
    </row>
    <row r="22" ht="17.25" customHeight="1">
      <c r="A22" t="s" s="8">
        <v>43</v>
      </c>
      <c r="B22" s="10">
        <v>5</v>
      </c>
      <c r="C22" s="206" cm="1">
        <f t="array" ref="C22">F22/E22</f>
        <v>0.222222222222222</v>
      </c>
      <c r="D22" s="10">
        <v>11</v>
      </c>
      <c r="E22" s="10">
        <v>9</v>
      </c>
      <c r="F22" s="10">
        <v>2</v>
      </c>
      <c r="G22" s="10" cm="1">
        <f t="array" ref="G22">F22-(H22+I22+J22)</f>
        <v>1</v>
      </c>
      <c r="H22" s="10">
        <v>1</v>
      </c>
      <c r="I22" s="10">
        <v>0</v>
      </c>
      <c r="J22" s="10">
        <v>0</v>
      </c>
      <c r="K22" s="10">
        <v>2</v>
      </c>
      <c r="L22" s="10">
        <v>3</v>
      </c>
      <c r="M22" s="10">
        <v>0</v>
      </c>
      <c r="N22" s="10" cm="1">
        <f t="array" ref="N22">D22-E22</f>
        <v>2</v>
      </c>
      <c r="O22" s="10">
        <v>2</v>
      </c>
      <c r="P22" s="19" cm="1">
        <f t="array" ref="P22">O22/D22</f>
        <v>0.181818181818182</v>
      </c>
      <c r="Q22" s="13" cm="1">
        <f t="array" ref="Q22">(G22*1+H22*2+I22*3+J22*4)/E22</f>
        <v>0.333333333333333</v>
      </c>
      <c r="R22" s="13" cm="1">
        <f t="array" ref="R22">(F22+N22)/D22</f>
        <v>0.363636363636364</v>
      </c>
      <c r="S22" s="15" cm="1">
        <f t="array" ref="S22">R22+Q22</f>
        <v>0.696969696969697</v>
      </c>
      <c r="T22" s="27" cm="1">
        <f t="array" ref="T22">O22/(D22-(F22+N22))</f>
        <v>0.285714285714286</v>
      </c>
      <c r="U22" s="17" cm="1">
        <f t="array" ref="U22">RANK(R22,$R$4:$R$23)</f>
        <v>16</v>
      </c>
      <c r="V22" s="18" cm="1">
        <f t="array" ref="V22">RANK(S22,$S$4:$S$23)</f>
        <v>13</v>
      </c>
      <c r="W22" s="48">
        <v>0</v>
      </c>
    </row>
    <row r="23" ht="17.25" customHeight="1">
      <c r="A23" t="s" s="8">
        <v>44</v>
      </c>
      <c r="B23" s="10">
        <v>2</v>
      </c>
      <c r="C23" s="206" cm="1">
        <f t="array" ref="C23">F23/E23</f>
        <v>0</v>
      </c>
      <c r="D23" s="10">
        <v>5</v>
      </c>
      <c r="E23" s="10">
        <v>3</v>
      </c>
      <c r="F23" s="10">
        <v>0</v>
      </c>
      <c r="G23" s="10" cm="1">
        <f t="array" ref="G23">F23-(H23+I23+J23)</f>
        <v>0</v>
      </c>
      <c r="H23" s="10">
        <v>0</v>
      </c>
      <c r="I23" s="10">
        <v>0</v>
      </c>
      <c r="J23" s="10">
        <v>0</v>
      </c>
      <c r="K23" s="10">
        <v>1</v>
      </c>
      <c r="L23" s="10">
        <v>1</v>
      </c>
      <c r="M23" s="10">
        <v>0</v>
      </c>
      <c r="N23" s="10" cm="1">
        <f t="array" ref="N23">D23-E23</f>
        <v>2</v>
      </c>
      <c r="O23" s="10">
        <v>1</v>
      </c>
      <c r="P23" s="19" cm="1">
        <f t="array" ref="P23">O23/D23</f>
        <v>0.2</v>
      </c>
      <c r="Q23" s="13" cm="1">
        <f t="array" ref="Q23">(G23*1+H23*2+I23*3+J23*4)/E23</f>
        <v>0</v>
      </c>
      <c r="R23" s="13" cm="1">
        <f t="array" ref="R23">(F23+N23)/D23</f>
        <v>0.4</v>
      </c>
      <c r="S23" s="15" cm="1">
        <f t="array" ref="S23">R23+Q23</f>
        <v>0.4</v>
      </c>
      <c r="T23" s="28" cm="1">
        <f t="array" ref="T23">O23/(D23-(F23+N23))</f>
        <v>0.333333333333333</v>
      </c>
      <c r="U23" s="17" cm="1">
        <f t="array" ref="U23">RANK(R23,$R$4:$R$23)</f>
        <v>14</v>
      </c>
      <c r="V23" s="18" cm="1">
        <f t="array" ref="V23">RANK(S23,$S$4:$S$23)</f>
        <v>17</v>
      </c>
      <c r="W23" s="48">
        <v>1</v>
      </c>
    </row>
    <row r="24" ht="17.25" customHeight="1">
      <c r="A24" t="s" s="29">
        <v>45</v>
      </c>
      <c r="B24" s="124"/>
      <c r="C24" s="127" cm="1">
        <f t="array" ref="C24">F24/E24</f>
        <v>0.38125</v>
      </c>
      <c r="D24" s="49" cm="1">
        <f t="array" ref="D24">SUM(D4:D23)</f>
        <v>207</v>
      </c>
      <c r="E24" s="49" cm="1">
        <f t="array" ref="E24">SUM(E4:E23)</f>
        <v>160</v>
      </c>
      <c r="F24" s="49" cm="1">
        <f t="array" ref="F24">SUM(F4:F23)</f>
        <v>61</v>
      </c>
      <c r="G24" s="49" cm="1">
        <f t="array" ref="G24">SUM(G4:G23)</f>
        <v>41</v>
      </c>
      <c r="H24" s="49" cm="1">
        <f t="array" ref="H24">SUM(H4:H23)</f>
        <v>15</v>
      </c>
      <c r="I24" s="49" cm="1">
        <f t="array" ref="I24">SUM(I4:I23)</f>
        <v>5</v>
      </c>
      <c r="J24" s="49" cm="1">
        <f t="array" ref="J24">SUM(J4:J23)</f>
        <v>0</v>
      </c>
      <c r="K24" s="49" cm="1">
        <f t="array" ref="K24">SUM(K4:K23)</f>
        <v>63</v>
      </c>
      <c r="L24" s="49" cm="1">
        <f t="array" ref="L24">SUM(L4:L23)</f>
        <v>48</v>
      </c>
      <c r="M24" s="49" cm="1">
        <f t="array" ref="M24">SUM(M4:M23)</f>
        <v>37</v>
      </c>
      <c r="N24" s="49" cm="1">
        <f t="array" ref="N24">SUM(N4:N23)</f>
        <v>47</v>
      </c>
      <c r="O24" s="49" cm="1">
        <f t="array" ref="O24">SUM(O4:O23)</f>
        <v>39</v>
      </c>
      <c r="P24" s="33" cm="1">
        <f t="array" ref="P24">O24/D24</f>
        <v>0.188405797101449</v>
      </c>
      <c r="Q24" s="127"/>
      <c r="R24" s="127"/>
      <c r="S24" s="121"/>
      <c r="T24" s="31"/>
      <c r="U24" s="31"/>
      <c r="V24" s="31"/>
      <c r="W24" s="49" cm="1">
        <f t="array" ref="W24">SUM(W4:W23)</f>
        <v>31</v>
      </c>
    </row>
    <row r="25" ht="17.25" customHeight="1">
      <c r="A25" s="135"/>
      <c r="B25" s="136"/>
      <c r="C25" s="137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7"/>
      <c r="R25" s="137"/>
      <c r="S25" s="138"/>
      <c r="T25" s="34"/>
      <c r="U25" s="34"/>
      <c r="V25" s="34"/>
      <c r="W25" s="34"/>
    </row>
    <row r="26" ht="17.25" customHeight="1">
      <c r="A26" t="s" s="139">
        <v>46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6"/>
      <c r="T26" s="6"/>
      <c r="U26" s="6"/>
      <c r="V26" s="6"/>
      <c r="W26" s="3"/>
    </row>
    <row r="27" ht="51.75" customHeight="1">
      <c r="A27" t="s" s="8">
        <v>2</v>
      </c>
      <c r="B27" t="s" s="8">
        <v>3</v>
      </c>
      <c r="C27" t="s" s="8">
        <v>47</v>
      </c>
      <c r="D27" t="s" s="8">
        <v>48</v>
      </c>
      <c r="E27" t="s" s="8">
        <v>49</v>
      </c>
      <c r="F27" t="s" s="8">
        <v>50</v>
      </c>
      <c r="G27" t="s" s="8">
        <v>6</v>
      </c>
      <c r="H27" t="s" s="8">
        <v>51</v>
      </c>
      <c r="I27" t="s" s="8">
        <v>52</v>
      </c>
      <c r="J27" t="s" s="8">
        <v>53</v>
      </c>
      <c r="K27" t="s" s="8">
        <v>54</v>
      </c>
      <c r="L27" t="s" s="8">
        <v>55</v>
      </c>
      <c r="M27" t="s" s="8">
        <v>56</v>
      </c>
      <c r="N27" t="s" s="8">
        <v>57</v>
      </c>
      <c r="O27" t="s" s="8">
        <v>58</v>
      </c>
      <c r="P27" t="s" s="8">
        <v>59</v>
      </c>
      <c r="Q27" t="s" s="8">
        <v>60</v>
      </c>
      <c r="R27" t="s" s="8">
        <v>61</v>
      </c>
      <c r="S27" t="s" s="8">
        <v>116</v>
      </c>
      <c r="T27" t="s" s="8">
        <v>63</v>
      </c>
      <c r="U27" t="s" s="8">
        <v>64</v>
      </c>
      <c r="V27" t="s" s="8">
        <v>65</v>
      </c>
      <c r="W27" s="9"/>
    </row>
    <row r="28" ht="17.25" customHeight="1">
      <c r="A28" t="s" s="8">
        <v>24</v>
      </c>
      <c r="B28" s="10">
        <v>1</v>
      </c>
      <c r="C28" s="10">
        <v>0</v>
      </c>
      <c r="D28" s="10">
        <v>0</v>
      </c>
      <c r="E28" s="10">
        <v>0</v>
      </c>
      <c r="F28" s="10">
        <v>6</v>
      </c>
      <c r="G28" s="10">
        <v>3</v>
      </c>
      <c r="H28" s="39">
        <v>0.333</v>
      </c>
      <c r="I28" s="10">
        <v>1</v>
      </c>
      <c r="J28" s="10">
        <v>0</v>
      </c>
      <c r="K28" s="10">
        <v>3</v>
      </c>
      <c r="L28" s="10">
        <v>0</v>
      </c>
      <c r="M28" s="10">
        <v>0</v>
      </c>
      <c r="N28" s="10">
        <v>5</v>
      </c>
      <c r="O28" s="10">
        <v>3</v>
      </c>
      <c r="P28" s="40" cm="1">
        <f t="array" ref="P28">O28*9/H28</f>
        <v>81.08108108108109</v>
      </c>
      <c r="Q28" s="41" cm="1">
        <f t="array" ref="Q28">(K28+L28)/H28</f>
        <v>9.009009009009009</v>
      </c>
      <c r="R28" s="42" cm="1">
        <f t="array" ref="R28">I28/H28</f>
        <v>3.003003003003</v>
      </c>
      <c r="S28" s="42" cm="1">
        <f t="array" ref="S28">H28/B28</f>
        <v>0.333</v>
      </c>
      <c r="T28" s="41" cm="1">
        <f t="array" ref="T28">M28/H28</f>
        <v>0</v>
      </c>
      <c r="U28" s="44" cm="1">
        <f t="array" ref="U28">O28/N28</f>
        <v>0.6</v>
      </c>
      <c r="V28" s="41" cm="1">
        <f t="array" ref="V28">(I28+K28+L28)/H28</f>
        <v>12.012012012012</v>
      </c>
      <c r="W28" s="9"/>
    </row>
    <row r="29" ht="17.25" customHeight="1">
      <c r="A29" t="s" s="8">
        <v>27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39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40">
        <v>0</v>
      </c>
      <c r="Q29" s="41" cm="1">
        <f t="array" ref="Q29">(K29+L29)/H29</f>
      </c>
      <c r="R29" s="42" cm="1">
        <f t="array" ref="R29">I29/H29</f>
      </c>
      <c r="S29" s="42" cm="1">
        <f t="array" ref="S29">H29/B29</f>
      </c>
      <c r="T29" s="41" cm="1">
        <f t="array" ref="T29">M29/H29</f>
      </c>
      <c r="U29" s="44">
        <v>1</v>
      </c>
      <c r="V29" s="41" cm="1">
        <f t="array" ref="V29">(I29+K29+L29)/H29</f>
      </c>
      <c r="W29" s="9"/>
    </row>
    <row r="30" ht="17.25" customHeight="1">
      <c r="A30" t="s" s="8">
        <v>29</v>
      </c>
      <c r="B30" s="10">
        <v>1</v>
      </c>
      <c r="C30" s="10">
        <v>0</v>
      </c>
      <c r="D30" s="10">
        <v>0</v>
      </c>
      <c r="E30" s="10">
        <v>0</v>
      </c>
      <c r="F30" s="10">
        <v>3</v>
      </c>
      <c r="G30" s="10">
        <v>2</v>
      </c>
      <c r="H30" s="39">
        <v>0.333333</v>
      </c>
      <c r="I30" s="10">
        <v>1</v>
      </c>
      <c r="J30" s="10">
        <v>0</v>
      </c>
      <c r="K30" s="10">
        <v>1</v>
      </c>
      <c r="L30" s="10">
        <v>0</v>
      </c>
      <c r="M30" s="10">
        <v>0</v>
      </c>
      <c r="N30" s="10">
        <v>0</v>
      </c>
      <c r="O30" s="10">
        <v>0</v>
      </c>
      <c r="P30" s="40" cm="1">
        <f t="array" ref="P30">O30*9/H30</f>
        <v>0</v>
      </c>
      <c r="Q30" s="41" cm="1">
        <f t="array" ref="Q30">(K30+L30)/H30</f>
        <v>3.000003000003</v>
      </c>
      <c r="R30" s="42" cm="1">
        <f t="array" ref="R30">I30/H30</f>
        <v>3.000003000003</v>
      </c>
      <c r="S30" s="42" cm="1">
        <f t="array" ref="S30">H30/B30</f>
        <v>0.333333</v>
      </c>
      <c r="T30" s="41" cm="1">
        <f t="array" ref="T30">M30/H30</f>
        <v>0</v>
      </c>
      <c r="U30" s="44">
        <v>1</v>
      </c>
      <c r="V30" s="41" cm="1">
        <f t="array" ref="V30">(I30+K30+L30)/H30</f>
        <v>6.000006000006</v>
      </c>
      <c r="W30" s="9"/>
    </row>
    <row r="31" ht="17.25" customHeight="1">
      <c r="A31" t="s" s="8">
        <v>33</v>
      </c>
      <c r="B31" s="10">
        <v>4</v>
      </c>
      <c r="C31" s="10">
        <v>0</v>
      </c>
      <c r="D31" s="10">
        <v>1</v>
      </c>
      <c r="E31" s="10">
        <v>1</v>
      </c>
      <c r="F31" s="10">
        <v>54</v>
      </c>
      <c r="G31" s="10">
        <v>48</v>
      </c>
      <c r="H31" s="39">
        <v>9</v>
      </c>
      <c r="I31" s="10">
        <v>21</v>
      </c>
      <c r="J31" s="10">
        <v>1</v>
      </c>
      <c r="K31" s="10">
        <v>6</v>
      </c>
      <c r="L31" s="10">
        <v>0</v>
      </c>
      <c r="M31" s="10">
        <v>10</v>
      </c>
      <c r="N31" s="10">
        <v>19</v>
      </c>
      <c r="O31" s="10">
        <v>16</v>
      </c>
      <c r="P31" s="40" cm="1">
        <f t="array" ref="P31">O31*9/H31</f>
        <v>16</v>
      </c>
      <c r="Q31" s="41" cm="1">
        <f t="array" ref="Q31">(K31+L31)/H31</f>
        <v>0.666666666666667</v>
      </c>
      <c r="R31" s="42" cm="1">
        <f t="array" ref="R31">I31/H31</f>
        <v>2.33333333333333</v>
      </c>
      <c r="S31" s="42" cm="1">
        <f t="array" ref="S31">H31/B31</f>
        <v>2.25</v>
      </c>
      <c r="T31" s="41" cm="1">
        <f t="array" ref="T31">M31/H31</f>
        <v>1.11111111111111</v>
      </c>
      <c r="U31" s="44" cm="1">
        <f t="array" ref="U31">O31/N31</f>
        <v>0.842105263157895</v>
      </c>
      <c r="V31" s="41" cm="1">
        <f t="array" ref="V31">(I31+K31+L31)/H31</f>
        <v>3</v>
      </c>
      <c r="W31" s="9"/>
    </row>
    <row r="32" ht="17.25" customHeight="1">
      <c r="A32" t="s" s="8">
        <v>36</v>
      </c>
      <c r="B32" s="10">
        <v>5</v>
      </c>
      <c r="C32" s="10">
        <v>2</v>
      </c>
      <c r="D32" s="10">
        <v>2</v>
      </c>
      <c r="E32" s="10">
        <v>0</v>
      </c>
      <c r="F32" s="10">
        <v>55</v>
      </c>
      <c r="G32" s="10">
        <v>35</v>
      </c>
      <c r="H32" s="39">
        <v>6</v>
      </c>
      <c r="I32" s="10">
        <v>16</v>
      </c>
      <c r="J32" s="10">
        <v>0</v>
      </c>
      <c r="K32" s="10">
        <v>19</v>
      </c>
      <c r="L32" s="10">
        <v>1</v>
      </c>
      <c r="M32" s="10">
        <v>6</v>
      </c>
      <c r="N32" s="10">
        <v>29</v>
      </c>
      <c r="O32" s="10">
        <v>24</v>
      </c>
      <c r="P32" s="40" cm="1">
        <f t="array" ref="P32">O32*9/H32</f>
        <v>36</v>
      </c>
      <c r="Q32" s="41" cm="1">
        <f t="array" ref="Q32">(K32+L32)/H32</f>
        <v>3.33333333333333</v>
      </c>
      <c r="R32" s="42" cm="1">
        <f t="array" ref="R32">I32/H32</f>
        <v>2.66666666666667</v>
      </c>
      <c r="S32" s="42" cm="1">
        <f t="array" ref="S32">H32/B32</f>
        <v>1.2</v>
      </c>
      <c r="T32" s="41" cm="1">
        <f t="array" ref="T32">M32/H32</f>
        <v>1</v>
      </c>
      <c r="U32" s="44" cm="1">
        <f t="array" ref="U32">O32/N32</f>
        <v>0.827586206896552</v>
      </c>
      <c r="V32" s="41" cm="1">
        <f t="array" ref="V32">(I32+K32+L32)/H32</f>
        <v>6</v>
      </c>
      <c r="W32" s="9"/>
    </row>
    <row r="33" ht="17.25" customHeight="1">
      <c r="A33" t="s" s="8">
        <v>37</v>
      </c>
      <c r="B33" s="10">
        <v>5</v>
      </c>
      <c r="C33" s="10">
        <v>1</v>
      </c>
      <c r="D33" s="10">
        <v>2</v>
      </c>
      <c r="E33" s="10">
        <v>0</v>
      </c>
      <c r="F33" s="10" cm="1">
        <f t="array" ref="F33">67+14</f>
        <v>81</v>
      </c>
      <c r="G33" s="10">
        <v>58</v>
      </c>
      <c r="H33" s="39">
        <v>11.3333</v>
      </c>
      <c r="I33" s="10">
        <v>28</v>
      </c>
      <c r="J33" s="10">
        <v>0</v>
      </c>
      <c r="K33" s="10">
        <v>19</v>
      </c>
      <c r="L33" s="10">
        <v>2</v>
      </c>
      <c r="M33" s="10">
        <v>15</v>
      </c>
      <c r="N33" s="10">
        <v>35</v>
      </c>
      <c r="O33" s="10">
        <v>29</v>
      </c>
      <c r="P33" s="40" cm="1">
        <f t="array" ref="P33">O33*9/H33</f>
        <v>23.0294794984691</v>
      </c>
      <c r="Q33" s="41" cm="1">
        <f t="array" ref="Q33">(K33+L33)/H33</f>
        <v>1.85294662631361</v>
      </c>
      <c r="R33" s="42" cm="1">
        <f t="array" ref="R33">I33/H33</f>
        <v>2.47059550175148</v>
      </c>
      <c r="S33" s="42" cm="1">
        <f t="array" ref="S33">H33/B33</f>
        <v>2.26666</v>
      </c>
      <c r="T33" s="41" cm="1">
        <f t="array" ref="T33">M33/H33</f>
        <v>1.32353330450972</v>
      </c>
      <c r="U33" s="44" cm="1">
        <f t="array" ref="U33">O33/N33</f>
        <v>0.828571428571429</v>
      </c>
      <c r="V33" s="41" cm="1">
        <f t="array" ref="V33">(I33+K33+L33)/H33</f>
        <v>4.32354212806508</v>
      </c>
      <c r="W33" s="9"/>
    </row>
    <row r="34" ht="17.25" customHeight="1">
      <c r="A34" t="s" s="8">
        <v>42</v>
      </c>
      <c r="B34" s="10">
        <v>1</v>
      </c>
      <c r="C34" s="10">
        <v>0</v>
      </c>
      <c r="D34" s="10">
        <v>0</v>
      </c>
      <c r="E34" s="10">
        <v>1</v>
      </c>
      <c r="F34" s="10">
        <v>2</v>
      </c>
      <c r="G34" s="10">
        <v>1</v>
      </c>
      <c r="H34" s="39">
        <v>0.333333333333</v>
      </c>
      <c r="I34" s="10">
        <v>0</v>
      </c>
      <c r="J34" s="10">
        <v>0</v>
      </c>
      <c r="K34" s="10">
        <v>0</v>
      </c>
      <c r="L34" s="10">
        <v>1</v>
      </c>
      <c r="M34" s="10">
        <v>0</v>
      </c>
      <c r="N34" s="10">
        <v>1</v>
      </c>
      <c r="O34" s="10">
        <v>0</v>
      </c>
      <c r="P34" s="40" cm="1">
        <f t="array" ref="P34">O34*9/H34</f>
        <v>0</v>
      </c>
      <c r="Q34" s="41" cm="1">
        <f t="array" ref="Q34">(K34+L34)/H34</f>
        <v>3.000000000003</v>
      </c>
      <c r="R34" s="42" cm="1">
        <f t="array" ref="R34">I34/H34</f>
        <v>0</v>
      </c>
      <c r="S34" s="42" cm="1">
        <f t="array" ref="S34">H34/B34</f>
        <v>0.333333333333</v>
      </c>
      <c r="T34" s="41" cm="1">
        <f t="array" ref="T34">M34/H34</f>
        <v>0</v>
      </c>
      <c r="U34" s="44" cm="1">
        <f t="array" ref="U34">O34/N34</f>
        <v>0</v>
      </c>
      <c r="V34" s="41" cm="1">
        <f t="array" ref="V34">(I34+K34+L34)/H34</f>
        <v>3.000000000003</v>
      </c>
      <c r="W34" s="9"/>
    </row>
    <row r="35" ht="17.25" customHeight="1">
      <c r="A35" t="s" s="8">
        <v>43</v>
      </c>
      <c r="B35" s="10">
        <v>3</v>
      </c>
      <c r="C35" s="10">
        <v>0</v>
      </c>
      <c r="D35" s="10">
        <v>0</v>
      </c>
      <c r="E35" s="10">
        <v>0</v>
      </c>
      <c r="F35" s="10">
        <v>25</v>
      </c>
      <c r="G35" s="10">
        <v>19</v>
      </c>
      <c r="H35" s="39">
        <v>3.66666666</v>
      </c>
      <c r="I35" s="10">
        <v>8</v>
      </c>
      <c r="J35" s="10">
        <v>0</v>
      </c>
      <c r="K35" s="10">
        <v>3</v>
      </c>
      <c r="L35" s="10">
        <v>3</v>
      </c>
      <c r="M35" s="10">
        <v>5</v>
      </c>
      <c r="N35" s="10">
        <v>8</v>
      </c>
      <c r="O35" s="10">
        <v>8</v>
      </c>
      <c r="P35" s="40" cm="1">
        <f t="array" ref="P35">O35*9/H35</f>
        <v>19.6363636720661</v>
      </c>
      <c r="Q35" s="41" cm="1">
        <f t="array" ref="Q35">(K35+L35)/H35</f>
        <v>1.63636363933884</v>
      </c>
      <c r="R35" s="42" cm="1">
        <f t="array" ref="R35">I35/H35</f>
        <v>2.18181818578512</v>
      </c>
      <c r="S35" s="42" cm="1">
        <f t="array" ref="S35">H35/B35</f>
        <v>1.22222222</v>
      </c>
      <c r="T35" s="41" cm="1">
        <f t="array" ref="T35">M35/H35</f>
        <v>1.3636363661157</v>
      </c>
      <c r="U35" s="44" cm="1">
        <f t="array" ref="U35">O35/N35</f>
        <v>1</v>
      </c>
      <c r="V35" s="41" cm="1">
        <f t="array" ref="V35">(I35+K35+L35)/H35</f>
        <v>3.81818182512397</v>
      </c>
      <c r="W35" s="9"/>
    </row>
    <row r="36" ht="17.25" customHeight="1">
      <c r="A36" t="s" s="29">
        <v>45</v>
      </c>
      <c r="B36" s="124"/>
      <c r="C36" s="49" cm="1">
        <f t="array" ref="C36">SUM(C28:C35)</f>
        <v>3</v>
      </c>
      <c r="D36" s="49" cm="1">
        <f t="array" ref="D36">SUM(D28:D35)</f>
        <v>5</v>
      </c>
      <c r="E36" s="49" cm="1">
        <f t="array" ref="E36">SUM(E28:E35)</f>
        <v>2</v>
      </c>
      <c r="F36" s="49" cm="1">
        <f t="array" ref="F36">SUM(F28:F35)</f>
        <v>226</v>
      </c>
      <c r="G36" s="49" cm="1">
        <f t="array" ref="G36">SUM(G28:G35)</f>
        <v>166</v>
      </c>
      <c r="H36" s="50" cm="1">
        <f t="array" ref="H36">SUM(H28:H35)</f>
        <v>30.999632993333</v>
      </c>
      <c r="I36" s="49" cm="1">
        <f t="array" ref="I36">SUM(I28:I35)</f>
        <v>75</v>
      </c>
      <c r="J36" s="49" cm="1">
        <f t="array" ref="J36">SUM(J28:J35)</f>
        <v>1</v>
      </c>
      <c r="K36" s="49" cm="1">
        <f t="array" ref="K36">SUM(K28:K35)</f>
        <v>51</v>
      </c>
      <c r="L36" s="49" cm="1">
        <f t="array" ref="L36">SUM(L28:L35)</f>
        <v>7</v>
      </c>
      <c r="M36" s="49" cm="1">
        <f t="array" ref="M36">SUM(M28:M35)</f>
        <v>36</v>
      </c>
      <c r="N36" s="49" cm="1">
        <f t="array" ref="N36">SUM(N28:N35)</f>
        <v>97</v>
      </c>
      <c r="O36" s="49" cm="1">
        <f t="array" ref="O36">SUM(O28:O35)</f>
        <v>80</v>
      </c>
      <c r="P36" s="51" cm="1">
        <f t="array" ref="P36">O36*9/H36</f>
        <v>23.2260814234429</v>
      </c>
      <c r="Q36" s="52" cm="1">
        <f t="array" ref="Q36">(K36+L36)/H36</f>
        <v>1.87098989244401</v>
      </c>
      <c r="R36" s="53" cm="1">
        <f t="array" ref="R36">I36/H36</f>
        <v>2.41938348160864</v>
      </c>
      <c r="S36" s="53"/>
      <c r="T36" s="52" cm="1">
        <f t="array" ref="T36">M36/H36</f>
        <v>1.16130407117215</v>
      </c>
      <c r="U36" s="55" cm="1">
        <f t="array" ref="U36">O36/N36</f>
        <v>0.824742268041237</v>
      </c>
      <c r="V36" s="52" cm="1">
        <f t="array" ref="V36">(I36+K36+L36)/H36</f>
        <v>4.29037337405265</v>
      </c>
      <c r="W36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Y36"/>
  <sheetViews>
    <sheetView workbookViewId="0" showGridLines="0" defaultGridColor="1"/>
  </sheetViews>
  <sheetFormatPr defaultColWidth="9" defaultRowHeight="16.5" customHeight="1" outlineLevelRow="0" outlineLevelCol="0"/>
  <cols>
    <col min="1" max="18" width="8.17188" style="207" customWidth="1"/>
    <col min="19" max="19" width="10.8516" style="207" customWidth="1"/>
    <col min="20" max="20" width="8.17188" style="207" customWidth="1"/>
    <col min="21" max="25" width="9" style="207" customWidth="1"/>
    <col min="26" max="16384" width="9" style="207" customWidth="1"/>
  </cols>
  <sheetData>
    <row r="1" ht="26.25" customHeight="1">
      <c r="A1" t="s" s="2">
        <v>163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3"/>
      <c r="Y2" s="3"/>
    </row>
    <row r="3" ht="34.5" customHeight="1">
      <c r="A3" t="s" s="8">
        <v>101</v>
      </c>
      <c r="B3" t="s" s="8">
        <v>102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21</v>
      </c>
      <c r="U3" t="s" s="8">
        <v>22</v>
      </c>
      <c r="V3" t="s" s="8">
        <v>23</v>
      </c>
      <c r="W3" t="s" s="8">
        <v>114</v>
      </c>
      <c r="X3" s="9"/>
      <c r="Y3" s="3"/>
    </row>
    <row r="4" ht="17.25" customHeight="1">
      <c r="A4" t="s" s="8">
        <v>24</v>
      </c>
      <c r="B4" s="10">
        <v>2</v>
      </c>
      <c r="C4" s="13" cm="1">
        <f t="array" ref="C4">F4/E4</f>
        <v>0</v>
      </c>
      <c r="D4" s="10">
        <v>1</v>
      </c>
      <c r="E4" s="10">
        <v>1</v>
      </c>
      <c r="F4" s="10">
        <v>0</v>
      </c>
      <c r="G4" s="10" cm="1">
        <f t="array" ref="G4">F4-(H4+I4+J4)</f>
        <v>0</v>
      </c>
      <c r="H4" s="10">
        <v>0</v>
      </c>
      <c r="I4" s="10">
        <v>0</v>
      </c>
      <c r="J4" s="10">
        <v>0</v>
      </c>
      <c r="K4" s="10">
        <v>1</v>
      </c>
      <c r="L4" s="10">
        <v>0</v>
      </c>
      <c r="M4" s="10">
        <v>2</v>
      </c>
      <c r="N4" s="10">
        <v>0</v>
      </c>
      <c r="O4" s="10">
        <v>1</v>
      </c>
      <c r="P4" s="12" cm="1">
        <f t="array" ref="P4">O4/D4</f>
        <v>1</v>
      </c>
      <c r="Q4" s="13" cm="1">
        <f t="array" ref="Q4">(G4*1+H4*2+I4*3+J4*4)/E4</f>
        <v>0</v>
      </c>
      <c r="R4" s="13" cm="1">
        <f t="array" ref="R4">(F4+N4)/D4</f>
        <v>0</v>
      </c>
      <c r="S4" s="15" cm="1">
        <f t="array" ref="S4">R4+Q4</f>
        <v>0</v>
      </c>
      <c r="T4" s="153" cm="1">
        <f t="array" ref="T4">O4/(D4-(F4+N4))</f>
        <v>1</v>
      </c>
      <c r="U4" s="17" cm="1">
        <f t="array" ref="U4">RANK(R4,$R$4:$R$23)</f>
        <v>17</v>
      </c>
      <c r="V4" s="18" cm="1">
        <f t="array" ref="V4">RANK(S4,$S$4:$S$23)</f>
        <v>17</v>
      </c>
      <c r="W4" s="158"/>
      <c r="X4" s="9"/>
      <c r="Y4" s="78"/>
    </row>
    <row r="5" ht="17.25" customHeight="1">
      <c r="A5" t="s" s="8">
        <v>25</v>
      </c>
      <c r="B5" s="10">
        <v>0</v>
      </c>
      <c r="C5" s="13">
        <v>0</v>
      </c>
      <c r="D5" s="10">
        <v>0</v>
      </c>
      <c r="E5" s="10">
        <v>0</v>
      </c>
      <c r="F5" s="10">
        <v>0</v>
      </c>
      <c r="G5" s="10" cm="1">
        <f t="array" ref="G5">F5-(H5+I5+J5)</f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52"/>
      <c r="Q5" s="13"/>
      <c r="R5" s="13"/>
      <c r="S5" s="15"/>
      <c r="T5" s="153"/>
      <c r="U5" s="17" cm="1">
        <f t="array" ref="U5">RANK(R5,$R$4:$R$23)</f>
        <v>17</v>
      </c>
      <c r="V5" s="18" cm="1">
        <f t="array" ref="V5">RANK(S5,$S$4:$S$23)</f>
        <v>17</v>
      </c>
      <c r="W5" s="158"/>
      <c r="X5" s="9"/>
      <c r="Y5" s="78"/>
    </row>
    <row r="6" ht="17.25" customHeight="1">
      <c r="A6" t="s" s="8">
        <v>26</v>
      </c>
      <c r="B6" s="10">
        <v>5</v>
      </c>
      <c r="C6" s="13" cm="1">
        <f t="array" ref="C6">F6/E6</f>
        <v>0.466666666666667</v>
      </c>
      <c r="D6" s="10">
        <v>16</v>
      </c>
      <c r="E6" s="10">
        <v>15</v>
      </c>
      <c r="F6" s="10">
        <v>7</v>
      </c>
      <c r="G6" s="10" cm="1">
        <f t="array" ref="G6">F6-(H6+I6+J6)</f>
        <v>4</v>
      </c>
      <c r="H6" s="10">
        <v>3</v>
      </c>
      <c r="I6" s="10">
        <v>0</v>
      </c>
      <c r="J6" s="10">
        <v>0</v>
      </c>
      <c r="K6" s="10">
        <v>4</v>
      </c>
      <c r="L6" s="10">
        <v>8</v>
      </c>
      <c r="M6" s="10">
        <v>4</v>
      </c>
      <c r="N6" s="10">
        <v>1</v>
      </c>
      <c r="O6" s="10">
        <v>0</v>
      </c>
      <c r="P6" s="152" cm="1">
        <f t="array" ref="P6">O6/D6</f>
        <v>0</v>
      </c>
      <c r="Q6" s="13" cm="1">
        <f t="array" ref="Q6">(G6*1+H6*2+I6*3+J6*4)/E6</f>
        <v>0.666666666666667</v>
      </c>
      <c r="R6" s="13" cm="1">
        <f t="array" ref="R6">(F6+N6)/D6</f>
        <v>0.5</v>
      </c>
      <c r="S6" s="15" cm="1">
        <f t="array" ref="S6">R6+Q6</f>
        <v>1.16666666666667</v>
      </c>
      <c r="T6" s="153" cm="1">
        <f t="array" ref="T6">O6/(D6-(F6+N6))</f>
        <v>0</v>
      </c>
      <c r="U6" s="17" cm="1">
        <f t="array" ref="U6">RANK(R6,$R$4:$R$23)</f>
        <v>8</v>
      </c>
      <c r="V6" s="18" cm="1">
        <f t="array" ref="V6">RANK(S6,$S$4:$S$23)</f>
        <v>4</v>
      </c>
      <c r="W6" s="48">
        <v>1</v>
      </c>
      <c r="X6" s="9"/>
      <c r="Y6" s="78"/>
    </row>
    <row r="7" ht="17.25" customHeight="1">
      <c r="A7" t="s" s="8">
        <v>27</v>
      </c>
      <c r="B7" s="10">
        <v>1</v>
      </c>
      <c r="C7" s="13">
        <v>0</v>
      </c>
      <c r="D7" s="10">
        <v>3</v>
      </c>
      <c r="E7" s="10">
        <v>0</v>
      </c>
      <c r="F7" s="10">
        <v>0</v>
      </c>
      <c r="G7" s="10" cm="1">
        <f t="array" ref="G7">F7-(H7+I7+J7)</f>
        <v>0</v>
      </c>
      <c r="H7" s="10">
        <v>0</v>
      </c>
      <c r="I7" s="10">
        <v>0</v>
      </c>
      <c r="J7" s="10">
        <v>0</v>
      </c>
      <c r="K7" s="10">
        <v>2</v>
      </c>
      <c r="L7" s="10">
        <v>2</v>
      </c>
      <c r="M7" s="10">
        <v>1</v>
      </c>
      <c r="N7" s="10">
        <v>3</v>
      </c>
      <c r="O7" s="10">
        <v>0</v>
      </c>
      <c r="P7" s="152" cm="1">
        <f t="array" ref="P7">O7/D7</f>
        <v>0</v>
      </c>
      <c r="Q7" s="13">
        <v>0</v>
      </c>
      <c r="R7" s="13" cm="1">
        <f t="array" ref="R7">(F7+N7)/D7</f>
        <v>1</v>
      </c>
      <c r="S7" s="15" cm="1">
        <f t="array" ref="S7">R7+Q7</f>
        <v>1</v>
      </c>
      <c r="T7" s="153">
        <v>0</v>
      </c>
      <c r="U7" s="17" cm="1">
        <f t="array" ref="U7">RANK(R7,$R$4:$R$23)</f>
        <v>1</v>
      </c>
      <c r="V7" s="18" cm="1">
        <f t="array" ref="V7">RANK(S7,$S$4:$S$23)</f>
        <v>10</v>
      </c>
      <c r="W7" s="158"/>
      <c r="X7" s="9"/>
      <c r="Y7" s="78"/>
    </row>
    <row r="8" ht="17.25" customHeight="1">
      <c r="A8" t="s" s="8">
        <v>28</v>
      </c>
      <c r="B8" s="10">
        <v>1</v>
      </c>
      <c r="C8" s="13" cm="1">
        <f t="array" ref="C8">F8/E8</f>
        <v>0.5</v>
      </c>
      <c r="D8" s="10">
        <v>3</v>
      </c>
      <c r="E8" s="10">
        <v>2</v>
      </c>
      <c r="F8" s="10">
        <v>1</v>
      </c>
      <c r="G8" s="10" cm="1">
        <f t="array" ref="G8">F8-(H8+I8+J8)</f>
        <v>1</v>
      </c>
      <c r="H8" s="10">
        <v>0</v>
      </c>
      <c r="I8" s="10">
        <v>0</v>
      </c>
      <c r="J8" s="10">
        <v>0</v>
      </c>
      <c r="K8" s="10">
        <v>0</v>
      </c>
      <c r="L8" s="10">
        <v>1</v>
      </c>
      <c r="M8" s="10">
        <v>1</v>
      </c>
      <c r="N8" s="10">
        <v>1</v>
      </c>
      <c r="O8" s="10">
        <v>1</v>
      </c>
      <c r="P8" s="12" cm="1">
        <f t="array" ref="P8">O8/D8</f>
        <v>0.333333333333333</v>
      </c>
      <c r="Q8" s="13" cm="1">
        <f t="array" ref="Q8">(G8*1+H8*2+I8*3+J8*4)/E8</f>
        <v>0.5</v>
      </c>
      <c r="R8" s="13" cm="1">
        <f t="array" ref="R8">(F8+N8)/D8</f>
        <v>0.666666666666667</v>
      </c>
      <c r="S8" s="15" cm="1">
        <f t="array" ref="S8">R8+Q8</f>
        <v>1.16666666666667</v>
      </c>
      <c r="T8" s="153" cm="1">
        <f t="array" ref="T8">O8/(D8-(F8+N8))</f>
        <v>1</v>
      </c>
      <c r="U8" s="17" cm="1">
        <f t="array" ref="U8">RANK(R8,$R$4:$R$23)</f>
        <v>2</v>
      </c>
      <c r="V8" s="18" cm="1">
        <f t="array" ref="V8">RANK(S8,$S$4:$S$23)</f>
        <v>4</v>
      </c>
      <c r="W8" s="158"/>
      <c r="X8" s="9"/>
      <c r="Y8" s="78"/>
    </row>
    <row r="9" ht="17.25" customHeight="1">
      <c r="A9" t="s" s="8">
        <v>29</v>
      </c>
      <c r="B9" s="10">
        <v>0</v>
      </c>
      <c r="C9" s="13">
        <v>0</v>
      </c>
      <c r="D9" s="10">
        <v>0</v>
      </c>
      <c r="E9" s="10">
        <v>4</v>
      </c>
      <c r="F9" s="10">
        <v>0</v>
      </c>
      <c r="G9" s="10" cm="1">
        <f t="array" ref="G9">F9-(H9+I9+J9)</f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52"/>
      <c r="Q9" s="13"/>
      <c r="R9" s="13"/>
      <c r="S9" s="15"/>
      <c r="T9" s="153"/>
      <c r="U9" s="17" cm="1">
        <f t="array" ref="U9">RANK(R9,$R$4:$R$23)</f>
        <v>17</v>
      </c>
      <c r="V9" s="18" cm="1">
        <f t="array" ref="V9">RANK(S9,$S$4:$S$23)</f>
        <v>17</v>
      </c>
      <c r="W9" s="158"/>
      <c r="X9" s="9"/>
      <c r="Y9" s="78"/>
    </row>
    <row r="10" ht="17.25" customHeight="1">
      <c r="A10" t="s" s="8">
        <v>30</v>
      </c>
      <c r="B10" s="10">
        <v>4</v>
      </c>
      <c r="C10" s="13" cm="1">
        <f t="array" ref="C10">F10/E10</f>
        <v>0.7</v>
      </c>
      <c r="D10" s="10">
        <v>12</v>
      </c>
      <c r="E10" s="10">
        <v>10</v>
      </c>
      <c r="F10" s="10">
        <v>7</v>
      </c>
      <c r="G10" s="10" cm="1">
        <f t="array" ref="G10">F10-(H10+I10+J10)</f>
        <v>4</v>
      </c>
      <c r="H10" s="10">
        <v>2</v>
      </c>
      <c r="I10" s="10">
        <v>1</v>
      </c>
      <c r="J10" s="10">
        <v>0</v>
      </c>
      <c r="K10" s="10">
        <v>5</v>
      </c>
      <c r="L10" s="10">
        <v>4</v>
      </c>
      <c r="M10" s="10">
        <v>4</v>
      </c>
      <c r="N10" s="10">
        <v>0</v>
      </c>
      <c r="O10" s="10">
        <v>0</v>
      </c>
      <c r="P10" s="152" cm="1">
        <f t="array" ref="P10">O10/D10</f>
        <v>0</v>
      </c>
      <c r="Q10" s="13" cm="1">
        <f t="array" ref="Q10">(G10*1+H10*2+I10*3+J10*4)/E10</f>
        <v>1.1</v>
      </c>
      <c r="R10" s="13" cm="1">
        <f t="array" ref="R10">(F10+N10)/D10</f>
        <v>0.583333333333333</v>
      </c>
      <c r="S10" s="15" cm="1">
        <f t="array" ref="S10">R10+Q10</f>
        <v>1.68333333333333</v>
      </c>
      <c r="T10" s="153" cm="1">
        <f t="array" ref="T10">O10/(D10-(F10+N10))</f>
        <v>0</v>
      </c>
      <c r="U10" s="17" cm="1">
        <f t="array" ref="U10">RANK(R10,$R$4:$R$23)</f>
        <v>5</v>
      </c>
      <c r="V10" s="18" cm="1">
        <f t="array" ref="V10">RANK(S10,$S$4:$S$23)</f>
        <v>1</v>
      </c>
      <c r="W10" s="48">
        <v>2</v>
      </c>
      <c r="X10" s="9"/>
      <c r="Y10" s="78"/>
    </row>
    <row r="11" ht="17.25" customHeight="1">
      <c r="A11" t="s" s="8">
        <v>31</v>
      </c>
      <c r="B11" s="10">
        <v>4</v>
      </c>
      <c r="C11" s="13" cm="1">
        <f t="array" ref="C11">F11/E11</f>
        <v>0.285714285714286</v>
      </c>
      <c r="D11" s="10">
        <v>7</v>
      </c>
      <c r="E11" s="10">
        <v>7</v>
      </c>
      <c r="F11" s="10">
        <v>2</v>
      </c>
      <c r="G11" s="10" cm="1">
        <f t="array" ref="G11">F11-(H11+I11+J11)</f>
        <v>2</v>
      </c>
      <c r="H11" s="10">
        <v>0</v>
      </c>
      <c r="I11" s="10">
        <v>0</v>
      </c>
      <c r="J11" s="10">
        <v>0</v>
      </c>
      <c r="K11" s="10">
        <v>3</v>
      </c>
      <c r="L11" s="10">
        <v>0</v>
      </c>
      <c r="M11" s="10">
        <v>2</v>
      </c>
      <c r="N11" s="10">
        <v>0</v>
      </c>
      <c r="O11" s="10">
        <v>1</v>
      </c>
      <c r="P11" s="152" cm="1">
        <f t="array" ref="P11">O11/D11</f>
        <v>0.142857142857143</v>
      </c>
      <c r="Q11" s="13" cm="1">
        <f t="array" ref="Q11">(G11*1+H11*2+I11*3+J11*4)/E11</f>
        <v>0.285714285714286</v>
      </c>
      <c r="R11" s="13" cm="1">
        <f t="array" ref="R11">(F11+N11)/D11</f>
        <v>0.285714285714286</v>
      </c>
      <c r="S11" s="15" cm="1">
        <f t="array" ref="S11">R11+Q11</f>
        <v>0.571428571428572</v>
      </c>
      <c r="T11" s="153" cm="1">
        <f t="array" ref="T11">O11/(D11-(F11+N11))</f>
        <v>0.2</v>
      </c>
      <c r="U11" s="17" cm="1">
        <f t="array" ref="U11">RANK(R11,$R$4:$R$23)</f>
        <v>15</v>
      </c>
      <c r="V11" s="18" cm="1">
        <f t="array" ref="V11">RANK(S11,$S$4:$S$23)</f>
        <v>13</v>
      </c>
      <c r="W11" s="48">
        <v>1</v>
      </c>
      <c r="X11" s="9"/>
      <c r="Y11" s="78"/>
    </row>
    <row r="12" ht="17.25" customHeight="1">
      <c r="A12" t="s" s="8">
        <v>32</v>
      </c>
      <c r="B12" s="10">
        <v>5</v>
      </c>
      <c r="C12" s="13" cm="1">
        <f t="array" ref="C12">F12/E12</f>
        <v>0</v>
      </c>
      <c r="D12" s="10">
        <v>8</v>
      </c>
      <c r="E12" s="10">
        <v>4</v>
      </c>
      <c r="F12" s="10">
        <v>0</v>
      </c>
      <c r="G12" s="10" cm="1">
        <f t="array" ref="G12">F12-(H12+I12+J12)</f>
        <v>0</v>
      </c>
      <c r="H12" s="10">
        <v>0</v>
      </c>
      <c r="I12" s="10">
        <v>0</v>
      </c>
      <c r="J12" s="10">
        <v>0</v>
      </c>
      <c r="K12" s="10">
        <v>4</v>
      </c>
      <c r="L12" s="10">
        <v>0</v>
      </c>
      <c r="M12" s="10">
        <v>3</v>
      </c>
      <c r="N12" s="10">
        <v>3</v>
      </c>
      <c r="O12" s="10">
        <v>1</v>
      </c>
      <c r="P12" s="152" cm="1">
        <f t="array" ref="P12">O12/D12</f>
        <v>0.125</v>
      </c>
      <c r="Q12" s="13" cm="1">
        <f t="array" ref="Q12">(G12*1+H12*2+I12*3+J12*4)/E12</f>
        <v>0</v>
      </c>
      <c r="R12" s="13" cm="1">
        <f t="array" ref="R12">(F12+N12)/D12</f>
        <v>0.375</v>
      </c>
      <c r="S12" s="15" cm="1">
        <f t="array" ref="S12">R12+Q12</f>
        <v>0.375</v>
      </c>
      <c r="T12" s="153" cm="1">
        <f t="array" ref="T12">O12/(D12-(F12+N12))</f>
        <v>0.2</v>
      </c>
      <c r="U12" s="17" cm="1">
        <f t="array" ref="U12">RANK(R12,$R$4:$R$23)</f>
        <v>13</v>
      </c>
      <c r="V12" s="18" cm="1">
        <f t="array" ref="V12">RANK(S12,$S$4:$S$23)</f>
        <v>16</v>
      </c>
      <c r="W12" s="48">
        <v>1</v>
      </c>
      <c r="X12" s="9"/>
      <c r="Y12" s="78"/>
    </row>
    <row r="13" ht="17.25" customHeight="1">
      <c r="A13" t="s" s="8">
        <v>33</v>
      </c>
      <c r="B13" s="10">
        <v>7</v>
      </c>
      <c r="C13" s="13" cm="1">
        <f t="array" ref="C13">F13/E13</f>
        <v>0.533333333333333</v>
      </c>
      <c r="D13" s="10">
        <v>19</v>
      </c>
      <c r="E13" s="10">
        <v>15</v>
      </c>
      <c r="F13" s="10">
        <v>8</v>
      </c>
      <c r="G13" s="10" cm="1">
        <f t="array" ref="G13">F13-(H13+I13+J13)</f>
        <v>6</v>
      </c>
      <c r="H13" s="10">
        <v>2</v>
      </c>
      <c r="I13" s="10">
        <v>0</v>
      </c>
      <c r="J13" s="10">
        <v>0</v>
      </c>
      <c r="K13" s="10">
        <v>7</v>
      </c>
      <c r="L13" s="10">
        <v>4</v>
      </c>
      <c r="M13" s="10">
        <v>6</v>
      </c>
      <c r="N13" s="10">
        <v>4</v>
      </c>
      <c r="O13" s="10">
        <v>0</v>
      </c>
      <c r="P13" s="152" cm="1">
        <f t="array" ref="P13">O13/D13</f>
        <v>0</v>
      </c>
      <c r="Q13" s="13" cm="1">
        <f t="array" ref="Q13">(G13*1+H13*2+I13*3+J13*4)/E13</f>
        <v>0.666666666666667</v>
      </c>
      <c r="R13" s="13" cm="1">
        <f t="array" ref="R13">(F13+N13)/D13</f>
        <v>0.631578947368421</v>
      </c>
      <c r="S13" s="15" cm="1">
        <f t="array" ref="S13">R13+Q13</f>
        <v>1.29824561403509</v>
      </c>
      <c r="T13" s="153" cm="1">
        <f t="array" ref="T13">O13/(D13-(F13+N13))</f>
        <v>0</v>
      </c>
      <c r="U13" s="17" cm="1">
        <f t="array" ref="U13">RANK(R13,$R$4:$R$23)</f>
        <v>4</v>
      </c>
      <c r="V13" s="18" cm="1">
        <f t="array" ref="V13">RANK(S13,$S$4:$S$23)</f>
        <v>2</v>
      </c>
      <c r="W13" s="48">
        <v>1</v>
      </c>
      <c r="X13" s="9"/>
      <c r="Y13" s="78"/>
    </row>
    <row r="14" ht="17.25" customHeight="1">
      <c r="A14" t="s" s="8">
        <v>35</v>
      </c>
      <c r="B14" s="10">
        <v>5</v>
      </c>
      <c r="C14" s="13" cm="1">
        <f t="array" ref="C14">F14/E14</f>
        <v>0.142857142857143</v>
      </c>
      <c r="D14" s="10">
        <v>16</v>
      </c>
      <c r="E14" s="10">
        <v>14</v>
      </c>
      <c r="F14" s="10">
        <v>2</v>
      </c>
      <c r="G14" s="10" cm="1">
        <f t="array" ref="G14">F14-(H14+I14+J14)</f>
        <v>0</v>
      </c>
      <c r="H14" s="10">
        <v>2</v>
      </c>
      <c r="I14" s="10">
        <v>0</v>
      </c>
      <c r="J14" s="10">
        <v>0</v>
      </c>
      <c r="K14" s="10">
        <v>3</v>
      </c>
      <c r="L14" s="10">
        <v>5</v>
      </c>
      <c r="M14" s="10">
        <v>1</v>
      </c>
      <c r="N14" s="10">
        <v>2</v>
      </c>
      <c r="O14" s="10">
        <v>8</v>
      </c>
      <c r="P14" s="12" cm="1">
        <f t="array" ref="P14">O14/D14</f>
        <v>0.5</v>
      </c>
      <c r="Q14" s="13" cm="1">
        <f t="array" ref="Q14">(G14*1+H14*2+I14*3+J14*4)/E14</f>
        <v>0.285714285714286</v>
      </c>
      <c r="R14" s="13" cm="1">
        <f t="array" ref="R14">(F14+N14)/D14</f>
        <v>0.25</v>
      </c>
      <c r="S14" s="15" cm="1">
        <f t="array" ref="S14">R14+Q14</f>
        <v>0.535714285714286</v>
      </c>
      <c r="T14" s="153" cm="1">
        <f t="array" ref="T14">O14/(D14-(F14+N14))</f>
        <v>0.666666666666667</v>
      </c>
      <c r="U14" s="17" cm="1">
        <f t="array" ref="U14">RANK(R14,$R$4:$R$23)</f>
        <v>16</v>
      </c>
      <c r="V14" s="18" cm="1">
        <f t="array" ref="V14">RANK(S14,$S$4:$S$23)</f>
        <v>14</v>
      </c>
      <c r="W14" s="48">
        <v>4</v>
      </c>
      <c r="X14" s="9"/>
      <c r="Y14" s="78"/>
    </row>
    <row r="15" ht="17.25" customHeight="1">
      <c r="A15" t="s" s="8">
        <v>36</v>
      </c>
      <c r="B15" s="10">
        <v>5</v>
      </c>
      <c r="C15" s="13" cm="1">
        <f t="array" ref="C15">F15/E15</f>
        <v>0.461538461538462</v>
      </c>
      <c r="D15" s="10">
        <v>15</v>
      </c>
      <c r="E15" s="10">
        <v>13</v>
      </c>
      <c r="F15" s="10">
        <v>6</v>
      </c>
      <c r="G15" s="10" cm="1">
        <f t="array" ref="G15">F15-(H15+I15+J15)</f>
        <v>5</v>
      </c>
      <c r="H15" s="10">
        <v>1</v>
      </c>
      <c r="I15" s="10">
        <v>0</v>
      </c>
      <c r="J15" s="10">
        <v>0</v>
      </c>
      <c r="K15" s="10">
        <v>7</v>
      </c>
      <c r="L15" s="10">
        <v>8</v>
      </c>
      <c r="M15" s="10">
        <v>5</v>
      </c>
      <c r="N15" s="10">
        <v>2</v>
      </c>
      <c r="O15" s="10">
        <v>1</v>
      </c>
      <c r="P15" s="152" cm="1">
        <f t="array" ref="P15">O15/D15</f>
        <v>0.06666666666666669</v>
      </c>
      <c r="Q15" s="13" cm="1">
        <f t="array" ref="Q15">(G15*1+H15*2+I15*3+J15*4)/E15</f>
        <v>0.538461538461538</v>
      </c>
      <c r="R15" s="13" cm="1">
        <f t="array" ref="R15">(F15+N15)/D15</f>
        <v>0.533333333333333</v>
      </c>
      <c r="S15" s="15" cm="1">
        <f t="array" ref="S15">R15+Q15</f>
        <v>1.07179487179487</v>
      </c>
      <c r="T15" s="153" cm="1">
        <f t="array" ref="T15">O15/(D15-(F15+N15))</f>
        <v>0.142857142857143</v>
      </c>
      <c r="U15" s="17" cm="1">
        <f t="array" ref="U15">RANK(R15,$R$4:$R$23)</f>
        <v>6</v>
      </c>
      <c r="V15" s="18" cm="1">
        <f t="array" ref="V15">RANK(S15,$S$4:$S$23)</f>
        <v>8</v>
      </c>
      <c r="W15" s="158"/>
      <c r="X15" s="9"/>
      <c r="Y15" s="78"/>
    </row>
    <row r="16" ht="17.25" customHeight="1">
      <c r="A16" t="s" s="8">
        <v>37</v>
      </c>
      <c r="B16" s="10">
        <v>6</v>
      </c>
      <c r="C16" s="13" cm="1">
        <f t="array" ref="C16">F16/E16</f>
        <v>0.375</v>
      </c>
      <c r="D16" s="10">
        <v>20</v>
      </c>
      <c r="E16" s="10">
        <v>16</v>
      </c>
      <c r="F16" s="10">
        <v>6</v>
      </c>
      <c r="G16" s="10" cm="1">
        <f t="array" ref="G16">F16-(H16+I16+J16)</f>
        <v>4</v>
      </c>
      <c r="H16" s="10">
        <v>1</v>
      </c>
      <c r="I16" s="10">
        <v>1</v>
      </c>
      <c r="J16" s="10">
        <v>0</v>
      </c>
      <c r="K16" s="10">
        <v>7</v>
      </c>
      <c r="L16" s="10">
        <v>4</v>
      </c>
      <c r="M16" s="10">
        <v>6</v>
      </c>
      <c r="N16" s="10">
        <v>4</v>
      </c>
      <c r="O16" s="10">
        <v>3</v>
      </c>
      <c r="P16" s="152" cm="1">
        <f t="array" ref="P16">O16/D16</f>
        <v>0.15</v>
      </c>
      <c r="Q16" s="13" cm="1">
        <f t="array" ref="Q16">(G16*1+H16*2+I16*3+J16*4)/E16</f>
        <v>0.5625</v>
      </c>
      <c r="R16" s="13" cm="1">
        <f t="array" ref="R16">(F16+N16)/D16</f>
        <v>0.5</v>
      </c>
      <c r="S16" s="15" cm="1">
        <f t="array" ref="S16">R16+Q16</f>
        <v>1.0625</v>
      </c>
      <c r="T16" s="153" cm="1">
        <f t="array" ref="T16">O16/(D16-(F16+N16))</f>
        <v>0.3</v>
      </c>
      <c r="U16" s="17" cm="1">
        <f t="array" ref="U16">RANK(R16,$R$4:$R$23)</f>
        <v>8</v>
      </c>
      <c r="V16" s="18" cm="1">
        <f t="array" ref="V16">RANK(S16,$S$4:$S$23)</f>
        <v>9</v>
      </c>
      <c r="W16" s="48">
        <v>1</v>
      </c>
      <c r="X16" s="9"/>
      <c r="Y16" s="78"/>
    </row>
    <row r="17" ht="17.25" customHeight="1">
      <c r="A17" t="s" s="8">
        <v>38</v>
      </c>
      <c r="B17" s="10">
        <v>5</v>
      </c>
      <c r="C17" s="13" cm="1">
        <f t="array" ref="C17">F17/E17</f>
        <v>0.25</v>
      </c>
      <c r="D17" s="10">
        <v>9</v>
      </c>
      <c r="E17" s="10">
        <v>8</v>
      </c>
      <c r="F17" s="10">
        <v>2</v>
      </c>
      <c r="G17" s="10" cm="1">
        <f t="array" ref="G17">F17-(H17+I17+J17)</f>
        <v>2</v>
      </c>
      <c r="H17" s="10">
        <v>0</v>
      </c>
      <c r="I17" s="10">
        <v>0</v>
      </c>
      <c r="J17" s="10">
        <v>0</v>
      </c>
      <c r="K17" s="10">
        <v>4</v>
      </c>
      <c r="L17" s="10">
        <v>0</v>
      </c>
      <c r="M17" s="10">
        <v>1</v>
      </c>
      <c r="N17" s="10">
        <v>1</v>
      </c>
      <c r="O17" s="10">
        <v>1</v>
      </c>
      <c r="P17" s="152" cm="1">
        <f t="array" ref="P17">O17/D17</f>
        <v>0.111111111111111</v>
      </c>
      <c r="Q17" s="13" cm="1">
        <f t="array" ref="Q17">(G17*1+H17*2+I17*3+J17*4)/E17</f>
        <v>0.25</v>
      </c>
      <c r="R17" s="13" cm="1">
        <f t="array" ref="R17">(F17+N17)/D17</f>
        <v>0.333333333333333</v>
      </c>
      <c r="S17" s="15" cm="1">
        <f t="array" ref="S17">R17+Q17</f>
        <v>0.583333333333333</v>
      </c>
      <c r="T17" s="153" cm="1">
        <f t="array" ref="T17">O17/(D17-(F17+N17))</f>
        <v>0.166666666666667</v>
      </c>
      <c r="U17" s="17" cm="1">
        <f t="array" ref="U17">RANK(R17,$R$4:$R$23)</f>
        <v>14</v>
      </c>
      <c r="V17" s="18" cm="1">
        <f t="array" ref="V17">RANK(S17,$S$4:$S$23)</f>
        <v>12</v>
      </c>
      <c r="W17" s="158"/>
      <c r="X17" s="9"/>
      <c r="Y17" s="78"/>
    </row>
    <row r="18" ht="17.25" customHeight="1">
      <c r="A18" t="s" s="8">
        <v>39</v>
      </c>
      <c r="B18" s="10">
        <v>2</v>
      </c>
      <c r="C18" s="13" cm="1">
        <f t="array" ref="C18">F18/E18</f>
        <v>0.5</v>
      </c>
      <c r="D18" s="10">
        <v>6</v>
      </c>
      <c r="E18" s="10">
        <v>4</v>
      </c>
      <c r="F18" s="10">
        <v>2</v>
      </c>
      <c r="G18" s="10" cm="1">
        <f t="array" ref="G18">F18-(H18+I18+J18)</f>
        <v>2</v>
      </c>
      <c r="H18" s="10">
        <v>0</v>
      </c>
      <c r="I18" s="10">
        <v>0</v>
      </c>
      <c r="J18" s="10">
        <v>0</v>
      </c>
      <c r="K18" s="10">
        <v>1</v>
      </c>
      <c r="L18" s="10">
        <v>1</v>
      </c>
      <c r="M18" s="10">
        <v>0</v>
      </c>
      <c r="N18" s="10">
        <v>2</v>
      </c>
      <c r="O18" s="10">
        <v>0</v>
      </c>
      <c r="P18" s="152" cm="1">
        <f t="array" ref="P18">O18/D18</f>
        <v>0</v>
      </c>
      <c r="Q18" s="13" cm="1">
        <f t="array" ref="Q18">(G18*1+H18*2+I18*3+J18*4)/E18</f>
        <v>0.5</v>
      </c>
      <c r="R18" s="13" cm="1">
        <f t="array" ref="R18">(F18+N18)/D18</f>
        <v>0.666666666666667</v>
      </c>
      <c r="S18" s="15" cm="1">
        <f t="array" ref="S18">R18+Q18</f>
        <v>1.16666666666667</v>
      </c>
      <c r="T18" s="153" cm="1">
        <f t="array" ref="T18">O18/(D18-(F18+N18))</f>
        <v>0</v>
      </c>
      <c r="U18" s="17" cm="1">
        <f t="array" ref="U18">RANK(R18,$R$4:$R$23)</f>
        <v>2</v>
      </c>
      <c r="V18" s="18" cm="1">
        <f t="array" ref="V18">RANK(S18,$S$4:$S$23)</f>
        <v>4</v>
      </c>
      <c r="W18" s="158"/>
      <c r="X18" s="9"/>
      <c r="Y18" s="78"/>
    </row>
    <row r="19" ht="17.25" customHeight="1">
      <c r="A19" t="s" s="8">
        <v>40</v>
      </c>
      <c r="B19" s="10">
        <v>1</v>
      </c>
      <c r="C19" s="13" cm="1">
        <f t="array" ref="C19">F19/E19</f>
        <v>0</v>
      </c>
      <c r="D19" s="10">
        <v>1</v>
      </c>
      <c r="E19" s="10">
        <v>1</v>
      </c>
      <c r="F19" s="10">
        <v>0</v>
      </c>
      <c r="G19" s="10" cm="1">
        <f t="array" ref="G19">F19-(H19+I19+J19)</f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2" cm="1">
        <f t="array" ref="P19">O19/D19</f>
        <v>1</v>
      </c>
      <c r="Q19" s="13" cm="1">
        <f t="array" ref="Q19">(G19*1+H19*2+I19*3+J19*4)/E19</f>
        <v>0</v>
      </c>
      <c r="R19" s="13" cm="1">
        <f t="array" ref="R19">(F19+N19)/D19</f>
        <v>0</v>
      </c>
      <c r="S19" s="15" cm="1">
        <f t="array" ref="S19">R19+Q19</f>
        <v>0</v>
      </c>
      <c r="T19" s="153" cm="1">
        <f t="array" ref="T19">O19/(D19-(F19+N19))</f>
        <v>1</v>
      </c>
      <c r="U19" s="17" cm="1">
        <f t="array" ref="U19">RANK(R19,$R$4:$R$23)</f>
        <v>17</v>
      </c>
      <c r="V19" s="18" cm="1">
        <f t="array" ref="V19">RANK(S19,$S$4:$S$23)</f>
        <v>17</v>
      </c>
      <c r="W19" s="48">
        <v>3</v>
      </c>
      <c r="X19" s="9"/>
      <c r="Y19" s="78"/>
    </row>
    <row r="20" ht="17.25" customHeight="1">
      <c r="A20" t="s" s="8">
        <v>41</v>
      </c>
      <c r="B20" s="10">
        <v>6</v>
      </c>
      <c r="C20" s="13" cm="1">
        <f t="array" ref="C20">F20/E20</f>
        <v>0.466666666666667</v>
      </c>
      <c r="D20" s="10">
        <v>15</v>
      </c>
      <c r="E20" s="10">
        <v>15</v>
      </c>
      <c r="F20" s="10">
        <v>7</v>
      </c>
      <c r="G20" s="10" cm="1">
        <f t="array" ref="G20">F20-(H20+I20+J20)</f>
        <v>3</v>
      </c>
      <c r="H20" s="10">
        <v>4</v>
      </c>
      <c r="I20" s="10">
        <v>0</v>
      </c>
      <c r="J20" s="10">
        <v>0</v>
      </c>
      <c r="K20" s="10">
        <v>6</v>
      </c>
      <c r="L20" s="10">
        <v>8</v>
      </c>
      <c r="M20" s="10">
        <v>0</v>
      </c>
      <c r="N20" s="10">
        <v>0</v>
      </c>
      <c r="O20" s="10">
        <v>1</v>
      </c>
      <c r="P20" s="152" cm="1">
        <f t="array" ref="P20">O20/D20</f>
        <v>0.06666666666666669</v>
      </c>
      <c r="Q20" s="13" cm="1">
        <f t="array" ref="Q20">(G20*1+H20*2+I20*3+J20*4)/E20</f>
        <v>0.7333333333333329</v>
      </c>
      <c r="R20" s="13" cm="1">
        <f t="array" ref="R20">(F20+N20)/D20</f>
        <v>0.466666666666667</v>
      </c>
      <c r="S20" s="15" cm="1">
        <f t="array" ref="S20">R20+Q20</f>
        <v>1.2</v>
      </c>
      <c r="T20" s="153" cm="1">
        <f t="array" ref="T20">O20/(D20-(F20+N20))</f>
        <v>0.125</v>
      </c>
      <c r="U20" s="17" cm="1">
        <f t="array" ref="U20">RANK(R20,$R$4:$R$23)</f>
        <v>11</v>
      </c>
      <c r="V20" s="18" cm="1">
        <f t="array" ref="V20">RANK(S20,$S$4:$S$23)</f>
        <v>3</v>
      </c>
      <c r="W20" s="48">
        <v>2</v>
      </c>
      <c r="X20" s="9"/>
      <c r="Y20" s="78"/>
    </row>
    <row r="21" ht="17.25" customHeight="1">
      <c r="A21" t="s" s="8">
        <v>42</v>
      </c>
      <c r="B21" s="10">
        <v>3</v>
      </c>
      <c r="C21" s="13" cm="1">
        <f t="array" ref="C21">F21/E21</f>
        <v>0.25</v>
      </c>
      <c r="D21" s="10">
        <v>6</v>
      </c>
      <c r="E21" s="10">
        <v>4</v>
      </c>
      <c r="F21" s="10">
        <v>1</v>
      </c>
      <c r="G21" s="10" cm="1">
        <f t="array" ref="G21">F21-(H21+I21+J21)</f>
        <v>1</v>
      </c>
      <c r="H21" s="10">
        <v>0</v>
      </c>
      <c r="I21" s="10">
        <v>0</v>
      </c>
      <c r="J21" s="10">
        <v>0</v>
      </c>
      <c r="K21" s="10">
        <v>1</v>
      </c>
      <c r="L21" s="10">
        <v>1</v>
      </c>
      <c r="M21" s="10">
        <v>1</v>
      </c>
      <c r="N21" s="10">
        <v>2</v>
      </c>
      <c r="O21" s="10">
        <v>2</v>
      </c>
      <c r="P21" s="12" cm="1">
        <f t="array" ref="P21">O21/D21</f>
        <v>0.333333333333333</v>
      </c>
      <c r="Q21" s="13" cm="1">
        <f t="array" ref="Q21">(G21*1+H21*2+I21*3+J21*4)/E21</f>
        <v>0.25</v>
      </c>
      <c r="R21" s="13" cm="1">
        <f t="array" ref="R21">(F21+N21)/D21</f>
        <v>0.5</v>
      </c>
      <c r="S21" s="15" cm="1">
        <f t="array" ref="S21">R21+Q21</f>
        <v>0.75</v>
      </c>
      <c r="T21" s="153" cm="1">
        <f t="array" ref="T21">O21/(D21-(F21+N21))</f>
        <v>0.666666666666667</v>
      </c>
      <c r="U21" s="17" cm="1">
        <f t="array" ref="U21">RANK(R21,$R$4:$R$23)</f>
        <v>8</v>
      </c>
      <c r="V21" s="18" cm="1">
        <f t="array" ref="V21">RANK(S21,$S$4:$S$23)</f>
        <v>11</v>
      </c>
      <c r="W21" s="158"/>
      <c r="X21" s="9"/>
      <c r="Y21" s="78"/>
    </row>
    <row r="22" ht="17.25" customHeight="1">
      <c r="A22" t="s" s="8">
        <v>43</v>
      </c>
      <c r="B22" s="10">
        <v>6</v>
      </c>
      <c r="C22" s="13" cm="1">
        <f t="array" ref="C22">F22/E22</f>
        <v>0.363636363636364</v>
      </c>
      <c r="D22" s="10">
        <v>15</v>
      </c>
      <c r="E22" s="10">
        <v>11</v>
      </c>
      <c r="F22" s="10">
        <v>4</v>
      </c>
      <c r="G22" s="10" cm="1">
        <f t="array" ref="G22">F22-(H22+I22+J22)</f>
        <v>3</v>
      </c>
      <c r="H22" s="10">
        <v>0</v>
      </c>
      <c r="I22" s="10">
        <v>1</v>
      </c>
      <c r="J22" s="10">
        <v>0</v>
      </c>
      <c r="K22" s="10">
        <v>4</v>
      </c>
      <c r="L22" s="10">
        <v>4</v>
      </c>
      <c r="M22" s="10">
        <v>3</v>
      </c>
      <c r="N22" s="10">
        <v>4</v>
      </c>
      <c r="O22" s="10">
        <v>3</v>
      </c>
      <c r="P22" s="152" cm="1">
        <f t="array" ref="P22">O22/D22</f>
        <v>0.2</v>
      </c>
      <c r="Q22" s="13" cm="1">
        <f t="array" ref="Q22">(G22*1+H22*2+I22*3+J22*4)/E22</f>
        <v>0.545454545454545</v>
      </c>
      <c r="R22" s="13" cm="1">
        <f t="array" ref="R22">(F22+N22)/D22</f>
        <v>0.533333333333333</v>
      </c>
      <c r="S22" s="15" cm="1">
        <f t="array" ref="S22">R22+Q22</f>
        <v>1.07878787878788</v>
      </c>
      <c r="T22" s="153" cm="1">
        <f t="array" ref="T22">O22/(D22-(F22+N22))</f>
        <v>0.428571428571429</v>
      </c>
      <c r="U22" s="17" cm="1">
        <f t="array" ref="U22">RANK(R22,$R$4:$R$23)</f>
        <v>6</v>
      </c>
      <c r="V22" s="18" cm="1">
        <f t="array" ref="V22">RANK(S22,$S$4:$S$23)</f>
        <v>7</v>
      </c>
      <c r="W22" s="48">
        <v>2</v>
      </c>
      <c r="X22" s="9"/>
      <c r="Y22" s="78"/>
    </row>
    <row r="23" ht="17.25" customHeight="1">
      <c r="A23" t="s" s="8">
        <v>44</v>
      </c>
      <c r="B23" s="10">
        <v>4</v>
      </c>
      <c r="C23" s="13" cm="1">
        <f t="array" ref="C23">F23/E23</f>
        <v>0</v>
      </c>
      <c r="D23" s="10">
        <v>7</v>
      </c>
      <c r="E23" s="10">
        <v>2</v>
      </c>
      <c r="F23" s="10">
        <v>0</v>
      </c>
      <c r="G23" s="10" cm="1">
        <f t="array" ref="G23">F23-(H23+I23+J23)</f>
        <v>0</v>
      </c>
      <c r="H23" s="10">
        <v>0</v>
      </c>
      <c r="I23" s="10">
        <v>0</v>
      </c>
      <c r="J23" s="10">
        <v>0</v>
      </c>
      <c r="K23" s="10">
        <v>3</v>
      </c>
      <c r="L23" s="10">
        <v>0</v>
      </c>
      <c r="M23" s="10">
        <v>1</v>
      </c>
      <c r="N23" s="10">
        <v>3</v>
      </c>
      <c r="O23" s="10">
        <v>2</v>
      </c>
      <c r="P23" s="152" cm="1">
        <f t="array" ref="P23">O23/D23</f>
        <v>0.285714285714286</v>
      </c>
      <c r="Q23" s="13" cm="1">
        <f t="array" ref="Q23">(G23*1+H23*2+I23*3+J23*4)/E23</f>
        <v>0</v>
      </c>
      <c r="R23" s="13" cm="1">
        <f t="array" ref="R23">(F23+N23)/D23</f>
        <v>0.428571428571429</v>
      </c>
      <c r="S23" s="15" cm="1">
        <f t="array" ref="S23">R23+Q23</f>
        <v>0.428571428571429</v>
      </c>
      <c r="T23" s="153" cm="1">
        <f t="array" ref="T23">O23/(D23-(F23+N23))</f>
        <v>0.5</v>
      </c>
      <c r="U23" s="17" cm="1">
        <f t="array" ref="U23">RANK(R23,$R$4:$R$23)</f>
        <v>12</v>
      </c>
      <c r="V23" s="18" cm="1">
        <f t="array" ref="V23">RANK(S23,$S$4:$S$23)</f>
        <v>15</v>
      </c>
      <c r="W23" s="158"/>
      <c r="X23" s="9"/>
      <c r="Y23" s="78"/>
    </row>
    <row r="24" ht="17.25" customHeight="1">
      <c r="A24" t="s" s="29">
        <v>45</v>
      </c>
      <c r="B24" s="124"/>
      <c r="C24" s="127" cm="1">
        <f t="array" ref="C24">F24/E24</f>
        <v>0.376712328767123</v>
      </c>
      <c r="D24" s="49" cm="1">
        <f t="array" ref="D24">SUM(D4:D23)</f>
        <v>179</v>
      </c>
      <c r="E24" s="49" cm="1">
        <f t="array" ref="E24">SUM(E4:E23)</f>
        <v>146</v>
      </c>
      <c r="F24" s="49" cm="1">
        <f t="array" ref="F24">SUM(F4:F23)</f>
        <v>55</v>
      </c>
      <c r="G24" s="49" cm="1">
        <f t="array" ref="G24">SUM(G4:G23)</f>
        <v>37</v>
      </c>
      <c r="H24" s="49" cm="1">
        <f t="array" ref="H24">SUM(H4:H23)</f>
        <v>15</v>
      </c>
      <c r="I24" s="49" cm="1">
        <f t="array" ref="I24">SUM(I4:I23)</f>
        <v>3</v>
      </c>
      <c r="J24" s="49" cm="1">
        <f t="array" ref="J24">SUM(J4:J23)</f>
        <v>0</v>
      </c>
      <c r="K24" s="49" cm="1">
        <f t="array" ref="K24">SUM(K4:K23)</f>
        <v>62</v>
      </c>
      <c r="L24" s="49" cm="1">
        <f t="array" ref="L24">SUM(L4:L23)</f>
        <v>50</v>
      </c>
      <c r="M24" s="49" cm="1">
        <f t="array" ref="M24">SUM(M4:M23)</f>
        <v>41</v>
      </c>
      <c r="N24" s="49" cm="1">
        <f t="array" ref="N24">SUM(N4:N23)</f>
        <v>32</v>
      </c>
      <c r="O24" s="49" cm="1">
        <f t="array" ref="O24">SUM(O4:O23)</f>
        <v>26</v>
      </c>
      <c r="P24" s="33" cm="1">
        <f t="array" ref="P24">O24/D24</f>
        <v>0.145251396648045</v>
      </c>
      <c r="Q24" s="127"/>
      <c r="R24" s="127"/>
      <c r="S24" s="121"/>
      <c r="T24" s="31"/>
      <c r="U24" s="31"/>
      <c r="V24" s="31"/>
      <c r="W24" s="161" cm="1">
        <f t="array" ref="W24">SUM(W4:W23)</f>
        <v>18</v>
      </c>
      <c r="X24" s="9"/>
      <c r="Y24" s="3"/>
    </row>
    <row r="25" ht="17.25" customHeight="1">
      <c r="A25" s="135"/>
      <c r="B25" s="136"/>
      <c r="C25" s="137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7"/>
      <c r="R25" s="137"/>
      <c r="S25" s="138"/>
      <c r="T25" s="34"/>
      <c r="U25" s="34"/>
      <c r="V25" s="34"/>
      <c r="W25" s="34"/>
      <c r="X25" s="3"/>
      <c r="Y25" s="3"/>
    </row>
    <row r="26" ht="17.25" customHeight="1">
      <c r="A26" t="s" s="139">
        <v>46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6"/>
      <c r="T26" s="6"/>
      <c r="U26" s="6"/>
      <c r="V26" s="6"/>
      <c r="W26" s="3"/>
      <c r="X26" s="3"/>
      <c r="Y26" s="3"/>
    </row>
    <row r="27" ht="34.5" customHeight="1">
      <c r="A27" t="s" s="8">
        <v>2</v>
      </c>
      <c r="B27" t="s" s="8">
        <v>3</v>
      </c>
      <c r="C27" t="s" s="8">
        <v>47</v>
      </c>
      <c r="D27" t="s" s="8">
        <v>48</v>
      </c>
      <c r="E27" t="s" s="8">
        <v>49</v>
      </c>
      <c r="F27" t="s" s="8">
        <v>50</v>
      </c>
      <c r="G27" t="s" s="8">
        <v>6</v>
      </c>
      <c r="H27" t="s" s="8">
        <v>51</v>
      </c>
      <c r="I27" t="s" s="8">
        <v>52</v>
      </c>
      <c r="J27" t="s" s="8">
        <v>53</v>
      </c>
      <c r="K27" t="s" s="8">
        <v>54</v>
      </c>
      <c r="L27" t="s" s="8">
        <v>55</v>
      </c>
      <c r="M27" t="s" s="8">
        <v>56</v>
      </c>
      <c r="N27" t="s" s="8">
        <v>57</v>
      </c>
      <c r="O27" t="s" s="8">
        <v>58</v>
      </c>
      <c r="P27" t="s" s="8">
        <v>59</v>
      </c>
      <c r="Q27" t="s" s="8">
        <v>60</v>
      </c>
      <c r="R27" t="s" s="8">
        <v>61</v>
      </c>
      <c r="S27" t="s" s="8">
        <v>116</v>
      </c>
      <c r="T27" t="s" s="8">
        <v>63</v>
      </c>
      <c r="U27" t="s" s="8">
        <v>64</v>
      </c>
      <c r="V27" t="s" s="8">
        <v>65</v>
      </c>
      <c r="W27" s="9"/>
      <c r="X27" s="3"/>
      <c r="Y27" s="3"/>
    </row>
    <row r="28" ht="17.25" customHeight="1">
      <c r="A28" t="s" s="8">
        <v>24</v>
      </c>
      <c r="B28" s="208"/>
      <c r="C28" s="208"/>
      <c r="D28" s="208"/>
      <c r="E28" s="208"/>
      <c r="F28" s="208"/>
      <c r="G28" s="208"/>
      <c r="H28" s="39"/>
      <c r="I28" s="208"/>
      <c r="J28" s="208"/>
      <c r="K28" s="208"/>
      <c r="L28" s="208"/>
      <c r="M28" s="208"/>
      <c r="N28" s="208"/>
      <c r="O28" s="208"/>
      <c r="P28" s="40"/>
      <c r="Q28" s="41"/>
      <c r="R28" s="42"/>
      <c r="S28" s="42"/>
      <c r="T28" s="41"/>
      <c r="U28" s="44"/>
      <c r="V28" s="41"/>
      <c r="W28" s="9"/>
      <c r="X28" s="3"/>
      <c r="Y28" s="3"/>
    </row>
    <row r="29" ht="17.25" customHeight="1">
      <c r="A29" t="s" s="8">
        <v>27</v>
      </c>
      <c r="B29" s="208"/>
      <c r="C29" s="208"/>
      <c r="D29" s="208"/>
      <c r="E29" s="208"/>
      <c r="F29" s="208"/>
      <c r="G29" s="208"/>
      <c r="H29" s="39"/>
      <c r="I29" s="208"/>
      <c r="J29" s="208"/>
      <c r="K29" s="208"/>
      <c r="L29" s="208"/>
      <c r="M29" s="208"/>
      <c r="N29" s="208"/>
      <c r="O29" s="208"/>
      <c r="P29" s="40"/>
      <c r="Q29" s="41"/>
      <c r="R29" s="42"/>
      <c r="S29" s="42"/>
      <c r="T29" s="41"/>
      <c r="U29" s="44"/>
      <c r="V29" s="41"/>
      <c r="W29" s="9"/>
      <c r="X29" s="3"/>
      <c r="Y29" s="3"/>
    </row>
    <row r="30" ht="17.25" customHeight="1">
      <c r="A30" t="s" s="8">
        <v>29</v>
      </c>
      <c r="B30" s="208"/>
      <c r="C30" s="208"/>
      <c r="D30" s="208"/>
      <c r="E30" s="208"/>
      <c r="F30" s="208"/>
      <c r="G30" s="208"/>
      <c r="H30" s="39"/>
      <c r="I30" s="208"/>
      <c r="J30" s="208"/>
      <c r="K30" s="208"/>
      <c r="L30" s="208"/>
      <c r="M30" s="208"/>
      <c r="N30" s="208"/>
      <c r="O30" s="208"/>
      <c r="P30" s="40"/>
      <c r="Q30" s="41"/>
      <c r="R30" s="42"/>
      <c r="S30" s="42"/>
      <c r="T30" s="41"/>
      <c r="U30" s="44"/>
      <c r="V30" s="41"/>
      <c r="W30" s="9"/>
      <c r="X30" s="3"/>
      <c r="Y30" s="3"/>
    </row>
    <row r="31" ht="17.25" customHeight="1">
      <c r="A31" t="s" s="8">
        <v>33</v>
      </c>
      <c r="B31" s="10">
        <v>5</v>
      </c>
      <c r="C31" s="10">
        <v>3</v>
      </c>
      <c r="D31" s="10">
        <v>1</v>
      </c>
      <c r="E31" s="10">
        <v>0</v>
      </c>
      <c r="F31" s="10">
        <v>99</v>
      </c>
      <c r="G31" s="10">
        <v>76</v>
      </c>
      <c r="H31" s="39">
        <v>18</v>
      </c>
      <c r="I31" s="10">
        <v>14</v>
      </c>
      <c r="J31" s="10">
        <v>0</v>
      </c>
      <c r="K31" s="10">
        <v>18</v>
      </c>
      <c r="L31" s="10">
        <v>5</v>
      </c>
      <c r="M31" s="10">
        <v>27</v>
      </c>
      <c r="N31" s="10">
        <v>24</v>
      </c>
      <c r="O31" s="10">
        <v>18</v>
      </c>
      <c r="P31" s="40" cm="1">
        <f t="array" ref="P31">O31*9/H31</f>
        <v>9</v>
      </c>
      <c r="Q31" s="41" cm="1">
        <f t="array" ref="Q31">(K31+L31)/H31</f>
        <v>1.27777777777778</v>
      </c>
      <c r="R31" s="42" cm="1">
        <f t="array" ref="R31">I31/H31</f>
        <v>0.777777777777778</v>
      </c>
      <c r="S31" s="42" cm="1">
        <f t="array" ref="S31">H31/B31</f>
        <v>3.6</v>
      </c>
      <c r="T31" s="41" cm="1">
        <f t="array" ref="T31">M31/H31</f>
        <v>1.5</v>
      </c>
      <c r="U31" s="44" cm="1">
        <f t="array" ref="U31">O31/N31</f>
        <v>0.75</v>
      </c>
      <c r="V31" s="41" cm="1">
        <f t="array" ref="V31">(I31+K31+L31)/H31</f>
        <v>2.05555555555556</v>
      </c>
      <c r="W31" s="9"/>
      <c r="X31" s="3"/>
      <c r="Y31" s="3"/>
    </row>
    <row r="32" ht="17.25" customHeight="1">
      <c r="A32" t="s" s="8">
        <v>36</v>
      </c>
      <c r="B32" s="208"/>
      <c r="C32" s="208"/>
      <c r="D32" s="208"/>
      <c r="E32" s="208"/>
      <c r="F32" s="208"/>
      <c r="G32" s="208"/>
      <c r="H32" s="39"/>
      <c r="I32" s="208"/>
      <c r="J32" s="208"/>
      <c r="K32" s="208"/>
      <c r="L32" s="208"/>
      <c r="M32" s="208"/>
      <c r="N32" s="208"/>
      <c r="O32" s="208"/>
      <c r="P32" s="40"/>
      <c r="Q32" s="41"/>
      <c r="R32" s="42"/>
      <c r="S32" s="42"/>
      <c r="T32" s="41"/>
      <c r="U32" s="44"/>
      <c r="V32" s="41"/>
      <c r="W32" s="9"/>
      <c r="X32" s="3"/>
      <c r="Y32" s="3"/>
    </row>
    <row r="33" ht="17.25" customHeight="1">
      <c r="A33" t="s" s="8">
        <v>37</v>
      </c>
      <c r="B33" s="10">
        <v>2</v>
      </c>
      <c r="C33" s="10">
        <v>0</v>
      </c>
      <c r="D33" s="10">
        <v>0</v>
      </c>
      <c r="E33" s="10">
        <v>0</v>
      </c>
      <c r="F33" s="10">
        <v>29</v>
      </c>
      <c r="G33" s="10">
        <v>20</v>
      </c>
      <c r="H33" s="39">
        <v>2.666666</v>
      </c>
      <c r="I33" s="10">
        <v>13</v>
      </c>
      <c r="J33" s="10">
        <v>0</v>
      </c>
      <c r="K33" s="10">
        <v>4</v>
      </c>
      <c r="L33" s="10">
        <v>4</v>
      </c>
      <c r="M33" s="10">
        <v>2</v>
      </c>
      <c r="N33" s="10">
        <v>16</v>
      </c>
      <c r="O33" s="10">
        <v>15</v>
      </c>
      <c r="P33" s="40" cm="1">
        <f t="array" ref="P33">O33*9/H33</f>
        <v>50.6250126562532</v>
      </c>
      <c r="Q33" s="41" cm="1">
        <f t="array" ref="Q33">(K33+L33)/H33</f>
        <v>3.00000075000019</v>
      </c>
      <c r="R33" s="42" cm="1">
        <f t="array" ref="R33">I33/H33</f>
        <v>4.8750012187503</v>
      </c>
      <c r="S33" s="42" cm="1">
        <f t="array" ref="S33">H33/B33</f>
        <v>1.333333</v>
      </c>
      <c r="T33" s="41" cm="1">
        <f t="array" ref="T33">M33/H33</f>
        <v>0.750000187500047</v>
      </c>
      <c r="U33" s="44" cm="1">
        <f t="array" ref="U33">O33/N33</f>
        <v>0.9375</v>
      </c>
      <c r="V33" s="41" cm="1">
        <f t="array" ref="V33">(I33+K33+L33)/H33</f>
        <v>7.87500196875049</v>
      </c>
      <c r="W33" s="9"/>
      <c r="X33" s="3"/>
      <c r="Y33" s="3"/>
    </row>
    <row r="34" ht="17.25" customHeight="1">
      <c r="A34" t="s" s="8">
        <v>42</v>
      </c>
      <c r="B34" s="208"/>
      <c r="C34" s="208"/>
      <c r="D34" s="208"/>
      <c r="E34" s="208"/>
      <c r="F34" s="208"/>
      <c r="G34" s="208"/>
      <c r="H34" s="39"/>
      <c r="I34" s="208"/>
      <c r="J34" s="208"/>
      <c r="K34" s="208"/>
      <c r="L34" s="208"/>
      <c r="M34" s="208"/>
      <c r="N34" s="208"/>
      <c r="O34" s="208"/>
      <c r="P34" s="40"/>
      <c r="Q34" s="41"/>
      <c r="R34" s="42"/>
      <c r="S34" s="42"/>
      <c r="T34" s="41"/>
      <c r="U34" s="44"/>
      <c r="V34" s="41"/>
      <c r="W34" s="9"/>
      <c r="X34" s="3"/>
      <c r="Y34" s="3"/>
    </row>
    <row r="35" ht="17.25" customHeight="1">
      <c r="A35" t="s" s="8">
        <v>43</v>
      </c>
      <c r="B35" s="10">
        <v>5</v>
      </c>
      <c r="C35" s="10">
        <v>1</v>
      </c>
      <c r="D35" s="10">
        <v>2</v>
      </c>
      <c r="E35" s="10">
        <v>0</v>
      </c>
      <c r="F35" s="10">
        <v>59</v>
      </c>
      <c r="G35" s="10">
        <v>36</v>
      </c>
      <c r="H35" s="39">
        <v>8.333333</v>
      </c>
      <c r="I35" s="10">
        <v>11</v>
      </c>
      <c r="J35" s="10">
        <v>0</v>
      </c>
      <c r="K35" s="10">
        <v>14</v>
      </c>
      <c r="L35" s="10">
        <v>5</v>
      </c>
      <c r="M35" s="10">
        <v>14</v>
      </c>
      <c r="N35" s="10">
        <v>23</v>
      </c>
      <c r="O35" s="10">
        <v>20</v>
      </c>
      <c r="P35" s="40" cm="1">
        <f t="array" ref="P35">O35*9/H35</f>
        <v>21.600000864</v>
      </c>
      <c r="Q35" s="41" cm="1">
        <f t="array" ref="Q35">(K35+L35)/H35</f>
        <v>2.2800000912</v>
      </c>
      <c r="R35" s="42" cm="1">
        <f t="array" ref="R35">I35/H35</f>
        <v>1.3200000528</v>
      </c>
      <c r="S35" s="42" cm="1">
        <f t="array" ref="S35">H35/B35</f>
        <v>1.6666666</v>
      </c>
      <c r="T35" s="41" cm="1">
        <f t="array" ref="T35">M35/H35</f>
        <v>1.6800000672</v>
      </c>
      <c r="U35" s="44" cm="1">
        <f t="array" ref="U35">O35/N35</f>
        <v>0.869565217391304</v>
      </c>
      <c r="V35" s="41" cm="1">
        <f t="array" ref="V35">(I35+K35+L35)/H35</f>
        <v>3.60000014400001</v>
      </c>
      <c r="W35" s="9"/>
      <c r="X35" s="3"/>
      <c r="Y35" s="3"/>
    </row>
    <row r="36" ht="17.25" customHeight="1">
      <c r="A36" t="s" s="29">
        <v>45</v>
      </c>
      <c r="B36" s="124"/>
      <c r="C36" s="49" cm="1">
        <f t="array" ref="C36">SUM(C28:C35)</f>
        <v>4</v>
      </c>
      <c r="D36" s="49" cm="1">
        <f t="array" ref="D36">SUM(D28:D35)</f>
        <v>3</v>
      </c>
      <c r="E36" s="49" cm="1">
        <f t="array" ref="E36">SUM(E28:E35)</f>
        <v>0</v>
      </c>
      <c r="F36" s="49" cm="1">
        <f t="array" ref="F36">SUM(F28:F35)</f>
        <v>187</v>
      </c>
      <c r="G36" s="49" cm="1">
        <f t="array" ref="G36">SUM(G28:G35)</f>
        <v>132</v>
      </c>
      <c r="H36" s="50" cm="1">
        <f t="array" ref="H36">SUM(H28:H35)</f>
        <v>28.999999</v>
      </c>
      <c r="I36" s="49" cm="1">
        <f t="array" ref="I36">SUM(I28:I35)</f>
        <v>38</v>
      </c>
      <c r="J36" s="49" cm="1">
        <f t="array" ref="J36">SUM(J28:J35)</f>
        <v>0</v>
      </c>
      <c r="K36" s="49" cm="1">
        <f t="array" ref="K36">SUM(K28:K35)</f>
        <v>36</v>
      </c>
      <c r="L36" s="49" cm="1">
        <f t="array" ref="L36">SUM(L28:L35)</f>
        <v>14</v>
      </c>
      <c r="M36" s="49" cm="1">
        <f t="array" ref="M36">SUM(M28:M35)</f>
        <v>43</v>
      </c>
      <c r="N36" s="49" cm="1">
        <f t="array" ref="N36">SUM(N28:N35)</f>
        <v>63</v>
      </c>
      <c r="O36" s="49" cm="1">
        <f t="array" ref="O36">SUM(O28:O35)</f>
        <v>53</v>
      </c>
      <c r="P36" s="51" cm="1">
        <f t="array" ref="P36">O36*9/H36</f>
        <v>16.4482764292509</v>
      </c>
      <c r="Q36" s="52" cm="1">
        <f t="array" ref="Q36">(K36+L36)/H36</f>
        <v>1.72413799048752</v>
      </c>
      <c r="R36" s="53" cm="1">
        <f t="array" ref="R36">I36/H36</f>
        <v>1.31034487277051</v>
      </c>
      <c r="S36" s="53" cm="1">
        <f t="array" ref="S36">H36/B36</f>
      </c>
      <c r="T36" s="52" cm="1">
        <f t="array" ref="T36">M36/H36</f>
        <v>1.48275867181926</v>
      </c>
      <c r="U36" s="55" cm="1">
        <f t="array" ref="U36">O36/N36</f>
        <v>0.8412698412698409</v>
      </c>
      <c r="V36" s="52" cm="1">
        <f t="array" ref="V36">(I36+K36+L36)/H36</f>
        <v>3.03448286325803</v>
      </c>
      <c r="W36" s="9"/>
      <c r="X36" s="3"/>
      <c r="Y36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Y38"/>
  <sheetViews>
    <sheetView workbookViewId="0" showGridLines="0" defaultGridColor="1"/>
  </sheetViews>
  <sheetFormatPr defaultColWidth="9" defaultRowHeight="16.5" customHeight="1" outlineLevelRow="0" outlineLevelCol="0"/>
  <cols>
    <col min="1" max="18" width="8.17188" style="209" customWidth="1"/>
    <col min="19" max="19" width="10.8516" style="209" customWidth="1"/>
    <col min="20" max="20" width="10.1719" style="209" customWidth="1"/>
    <col min="21" max="25" width="9" style="209" customWidth="1"/>
    <col min="26" max="16384" width="9" style="209" customWidth="1"/>
  </cols>
  <sheetData>
    <row r="1" ht="26.25" customHeight="1">
      <c r="A1" t="s" s="2">
        <v>164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3"/>
      <c r="Y2" s="3"/>
    </row>
    <row r="3" ht="34.5" customHeight="1">
      <c r="A3" t="s" s="8">
        <v>101</v>
      </c>
      <c r="B3" t="s" s="8">
        <v>102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21</v>
      </c>
      <c r="U3" t="s" s="8">
        <v>22</v>
      </c>
      <c r="V3" t="s" s="8">
        <v>23</v>
      </c>
      <c r="W3" t="s" s="8">
        <v>114</v>
      </c>
      <c r="X3" s="9"/>
      <c r="Y3" s="3"/>
    </row>
    <row r="4" ht="17.25" customHeight="1">
      <c r="A4" t="s" s="8">
        <v>24</v>
      </c>
      <c r="B4" s="10">
        <v>3</v>
      </c>
      <c r="C4" s="206"/>
      <c r="D4" s="10">
        <v>0</v>
      </c>
      <c r="E4" s="10">
        <v>0</v>
      </c>
      <c r="F4" s="10">
        <v>0</v>
      </c>
      <c r="G4" s="10" cm="1">
        <f t="array" ref="G4">F4-(H4+I4+J4)</f>
        <v>0</v>
      </c>
      <c r="H4" s="10">
        <v>0</v>
      </c>
      <c r="I4" s="10">
        <v>0</v>
      </c>
      <c r="J4" s="208"/>
      <c r="K4" s="10">
        <v>3</v>
      </c>
      <c r="L4" s="10">
        <v>0</v>
      </c>
      <c r="M4" s="10">
        <v>3</v>
      </c>
      <c r="N4" s="10">
        <v>0</v>
      </c>
      <c r="O4" s="10">
        <v>0</v>
      </c>
      <c r="P4" s="12"/>
      <c r="Q4" s="13"/>
      <c r="R4" s="13"/>
      <c r="S4" s="15" cm="1">
        <f t="array" ref="S4">R4+Q4</f>
        <v>0</v>
      </c>
      <c r="T4" s="153"/>
      <c r="U4" s="159" cm="1">
        <f t="array" ref="U4">RANK(R4,$R$4:$R$23)</f>
      </c>
      <c r="V4" s="18" cm="1">
        <f t="array" ref="V4">RANK(S4,$S$4:$S$23)</f>
        <v>18</v>
      </c>
      <c r="W4" s="158"/>
      <c r="X4" s="9"/>
      <c r="Y4" s="78"/>
    </row>
    <row r="5" ht="17.25" customHeight="1">
      <c r="A5" t="s" s="8">
        <v>25</v>
      </c>
      <c r="B5" s="208"/>
      <c r="C5" s="206"/>
      <c r="D5" s="208"/>
      <c r="E5" s="208"/>
      <c r="F5" s="208"/>
      <c r="G5" s="10" cm="1">
        <f t="array" ref="G5">F5-(H5+I5+J5)</f>
        <v>0</v>
      </c>
      <c r="H5" s="208"/>
      <c r="I5" s="208"/>
      <c r="J5" s="208"/>
      <c r="K5" s="208"/>
      <c r="L5" s="208"/>
      <c r="M5" s="208"/>
      <c r="N5" s="208"/>
      <c r="O5" s="208"/>
      <c r="P5" s="12"/>
      <c r="Q5" s="13"/>
      <c r="R5" s="13"/>
      <c r="S5" s="15" cm="1">
        <f t="array" ref="S5">R5+Q5</f>
        <v>0</v>
      </c>
      <c r="T5" s="153"/>
      <c r="U5" s="159" cm="1">
        <f t="array" ref="U5">RANK(R5,$R$4:$R$23)</f>
      </c>
      <c r="V5" s="18" cm="1">
        <f t="array" ref="V5">RANK(S5,$S$4:$S$23)</f>
        <v>18</v>
      </c>
      <c r="W5" s="158"/>
      <c r="X5" s="9"/>
      <c r="Y5" s="78"/>
    </row>
    <row r="6" ht="17.25" customHeight="1">
      <c r="A6" t="s" s="8">
        <v>26</v>
      </c>
      <c r="B6" s="10">
        <v>6</v>
      </c>
      <c r="C6" s="206" cm="1">
        <f t="array" ref="C6">F6/E6</f>
        <v>0.6</v>
      </c>
      <c r="D6" s="10">
        <v>23</v>
      </c>
      <c r="E6" s="10">
        <v>20</v>
      </c>
      <c r="F6" s="10">
        <v>12</v>
      </c>
      <c r="G6" s="10" cm="1">
        <f t="array" ref="G6">F6-(H6+I6+J6)</f>
        <v>8</v>
      </c>
      <c r="H6" s="10">
        <v>1</v>
      </c>
      <c r="I6" s="10">
        <v>2</v>
      </c>
      <c r="J6" s="10">
        <v>1</v>
      </c>
      <c r="K6" s="10">
        <v>9</v>
      </c>
      <c r="L6" s="10">
        <v>9</v>
      </c>
      <c r="M6" s="10">
        <v>4</v>
      </c>
      <c r="N6" s="10">
        <v>3</v>
      </c>
      <c r="O6" s="10">
        <v>4</v>
      </c>
      <c r="P6" s="12" cm="1">
        <f t="array" ref="P6">O6/D6</f>
        <v>0.173913043478261</v>
      </c>
      <c r="Q6" s="13" cm="1">
        <f t="array" ref="Q6">(G6*1+H6*2+I6*3+J6*4)/E6</f>
        <v>1</v>
      </c>
      <c r="R6" s="13" cm="1">
        <f t="array" ref="R6">(F6+N6)/D6</f>
        <v>0.652173913043478</v>
      </c>
      <c r="S6" s="15" cm="1">
        <f t="array" ref="S6">R6+Q6</f>
        <v>1.65217391304348</v>
      </c>
      <c r="T6" s="153" cm="1">
        <f t="array" ref="T6">O6/(D6-(F6+N6))</f>
        <v>0.5</v>
      </c>
      <c r="U6" s="17" cm="1">
        <f t="array" ref="U6">RANK(R6,$R$4:$R$23)</f>
        <v>4</v>
      </c>
      <c r="V6" s="18" cm="1">
        <f t="array" ref="V6">RANK(S6,$S$4:$S$23)</f>
        <v>1</v>
      </c>
      <c r="W6" s="158"/>
      <c r="X6" s="9"/>
      <c r="Y6" s="78"/>
    </row>
    <row r="7" ht="17.25" customHeight="1">
      <c r="A7" t="s" s="8">
        <v>27</v>
      </c>
      <c r="B7" s="208"/>
      <c r="C7" s="206"/>
      <c r="D7" s="208"/>
      <c r="E7" s="208"/>
      <c r="F7" s="208"/>
      <c r="G7" s="10" cm="1">
        <f t="array" ref="G7">F7-(H7+I7+J7)</f>
        <v>0</v>
      </c>
      <c r="H7" s="208"/>
      <c r="I7" s="208"/>
      <c r="J7" s="208"/>
      <c r="K7" s="208"/>
      <c r="L7" s="208"/>
      <c r="M7" s="208"/>
      <c r="N7" s="208"/>
      <c r="O7" s="208"/>
      <c r="P7" s="12"/>
      <c r="Q7" s="13"/>
      <c r="R7" s="13"/>
      <c r="S7" s="15" cm="1">
        <f t="array" ref="S7">R7+Q7</f>
        <v>0</v>
      </c>
      <c r="T7" s="153"/>
      <c r="U7" s="159" cm="1">
        <f t="array" ref="U7">RANK(R7,$R$4:$R$23)</f>
      </c>
      <c r="V7" s="18" cm="1">
        <f t="array" ref="V7">RANK(S7,$S$4:$S$23)</f>
        <v>18</v>
      </c>
      <c r="W7" s="158"/>
      <c r="X7" s="9"/>
      <c r="Y7" s="78"/>
    </row>
    <row r="8" ht="17.25" customHeight="1">
      <c r="A8" t="s" s="8">
        <v>28</v>
      </c>
      <c r="B8" s="10">
        <v>4</v>
      </c>
      <c r="C8" s="206" cm="1">
        <f t="array" ref="C8">F8/E8</f>
        <v>0.166666666666667</v>
      </c>
      <c r="D8" s="10">
        <v>8</v>
      </c>
      <c r="E8" s="10">
        <v>6</v>
      </c>
      <c r="F8" s="10">
        <v>1</v>
      </c>
      <c r="G8" s="10" cm="1">
        <f t="array" ref="G8">F8-(H8+I8+J8)</f>
        <v>1</v>
      </c>
      <c r="H8" s="10">
        <v>0</v>
      </c>
      <c r="I8" s="10">
        <v>0</v>
      </c>
      <c r="J8" s="10">
        <v>0</v>
      </c>
      <c r="K8" s="10">
        <v>1</v>
      </c>
      <c r="L8" s="10">
        <v>0</v>
      </c>
      <c r="M8" s="10">
        <v>2</v>
      </c>
      <c r="N8" s="10">
        <v>2</v>
      </c>
      <c r="O8" s="10">
        <v>3</v>
      </c>
      <c r="P8" s="12" cm="1">
        <f t="array" ref="P8">O8/D8</f>
        <v>0.375</v>
      </c>
      <c r="Q8" s="13" cm="1">
        <f t="array" ref="Q8">(G8*1+H8*2+I8*3+J8*4)/E8</f>
        <v>0.166666666666667</v>
      </c>
      <c r="R8" s="13" cm="1">
        <f t="array" ref="R8">(F8+N8)/D8</f>
        <v>0.375</v>
      </c>
      <c r="S8" s="15" cm="1">
        <f t="array" ref="S8">R8+Q8</f>
        <v>0.541666666666667</v>
      </c>
      <c r="T8" s="153" cm="1">
        <f t="array" ref="T8">O8/(D8-(F8+N8))</f>
        <v>0.6</v>
      </c>
      <c r="U8" s="17" cm="1">
        <f t="array" ref="U8">RANK(R8,$R$4:$R$23)</f>
        <v>15</v>
      </c>
      <c r="V8" s="18" cm="1">
        <f t="array" ref="V8">RANK(S8,$S$4:$S$23)</f>
        <v>15</v>
      </c>
      <c r="W8" s="158"/>
      <c r="X8" s="9"/>
      <c r="Y8" s="78"/>
    </row>
    <row r="9" ht="17.25" customHeight="1">
      <c r="A9" t="s" s="8">
        <v>29</v>
      </c>
      <c r="B9" s="10">
        <v>2</v>
      </c>
      <c r="C9" s="206" cm="1">
        <f t="array" ref="C9">F9/E9</f>
        <v>0.5</v>
      </c>
      <c r="D9" s="10">
        <v>3</v>
      </c>
      <c r="E9" s="10">
        <v>4</v>
      </c>
      <c r="F9" s="10">
        <v>2</v>
      </c>
      <c r="G9" s="10" cm="1">
        <f t="array" ref="G9">F9-(H9+I9+J9)</f>
        <v>2</v>
      </c>
      <c r="H9" s="10">
        <v>0</v>
      </c>
      <c r="I9" s="10">
        <v>0</v>
      </c>
      <c r="J9" s="10">
        <v>0</v>
      </c>
      <c r="K9" s="10">
        <v>1</v>
      </c>
      <c r="L9" s="10">
        <v>1</v>
      </c>
      <c r="M9" s="10">
        <v>0</v>
      </c>
      <c r="N9" s="10">
        <v>0</v>
      </c>
      <c r="O9" s="10">
        <v>0</v>
      </c>
      <c r="P9" s="12" cm="1">
        <f t="array" ref="P9">O9/D9</f>
        <v>0</v>
      </c>
      <c r="Q9" s="13" cm="1">
        <f t="array" ref="Q9">(G9*1+H9*2+I9*3+J9*4)/E9</f>
        <v>0.5</v>
      </c>
      <c r="R9" s="13" cm="1">
        <f t="array" ref="R9">(F9+N9)/D9</f>
        <v>0.666666666666667</v>
      </c>
      <c r="S9" s="15" cm="1">
        <f t="array" ref="S9">R9+Q9</f>
        <v>1.16666666666667</v>
      </c>
      <c r="T9" s="153" cm="1">
        <f t="array" ref="T9">O9/(D9-(F9+N9))</f>
        <v>0</v>
      </c>
      <c r="U9" s="17" cm="1">
        <f t="array" ref="U9">RANK(R9,$R$4:$R$23)</f>
        <v>1</v>
      </c>
      <c r="V9" s="18" cm="1">
        <f t="array" ref="V9">RANK(S9,$S$4:$S$23)</f>
        <v>5</v>
      </c>
      <c r="W9" s="158"/>
      <c r="X9" s="9"/>
      <c r="Y9" s="78"/>
    </row>
    <row r="10" ht="17.25" customHeight="1">
      <c r="A10" t="s" s="8">
        <v>30</v>
      </c>
      <c r="B10" s="10">
        <v>9</v>
      </c>
      <c r="C10" s="206" cm="1">
        <f t="array" ref="C10">F10/E10</f>
        <v>0.5483870967741939</v>
      </c>
      <c r="D10" s="10">
        <v>35</v>
      </c>
      <c r="E10" s="10">
        <v>31</v>
      </c>
      <c r="F10" s="10">
        <v>17</v>
      </c>
      <c r="G10" s="10" cm="1">
        <f t="array" ref="G10">F10-(H10+I10+J10)</f>
        <v>15</v>
      </c>
      <c r="H10" s="10">
        <v>0</v>
      </c>
      <c r="I10" s="10">
        <v>2</v>
      </c>
      <c r="J10" s="10">
        <v>0</v>
      </c>
      <c r="K10" s="10">
        <v>16</v>
      </c>
      <c r="L10" s="10">
        <v>11</v>
      </c>
      <c r="M10" s="10">
        <v>13</v>
      </c>
      <c r="N10" s="10">
        <v>3</v>
      </c>
      <c r="O10" s="10">
        <v>0</v>
      </c>
      <c r="P10" s="12" cm="1">
        <f t="array" ref="P10">O10/D10</f>
        <v>0</v>
      </c>
      <c r="Q10" s="13" cm="1">
        <f t="array" ref="Q10">(G10*1+H10*2+I10*3+J10*4)/E10</f>
        <v>0.67741935483871</v>
      </c>
      <c r="R10" s="13" cm="1">
        <f t="array" ref="R10">(F10+N10)/D10</f>
        <v>0.571428571428571</v>
      </c>
      <c r="S10" s="15" cm="1">
        <f t="array" ref="S10">R10+Q10</f>
        <v>1.24884792626728</v>
      </c>
      <c r="T10" s="153" cm="1">
        <f t="array" ref="T10">O10/(D10-(F10+N10))</f>
        <v>0</v>
      </c>
      <c r="U10" s="17" cm="1">
        <f t="array" ref="U10">RANK(R10,$R$4:$R$23)</f>
        <v>7</v>
      </c>
      <c r="V10" s="18" cm="1">
        <f t="array" ref="V10">RANK(S10,$S$4:$S$23)</f>
        <v>4</v>
      </c>
      <c r="W10" s="158"/>
      <c r="X10" s="9"/>
      <c r="Y10" s="78"/>
    </row>
    <row r="11" ht="17.25" customHeight="1">
      <c r="A11" t="s" s="8">
        <v>31</v>
      </c>
      <c r="B11" s="10">
        <v>6</v>
      </c>
      <c r="C11" s="206" cm="1">
        <f t="array" ref="C11">F11/E11</f>
        <v>0.25</v>
      </c>
      <c r="D11" s="10">
        <v>10</v>
      </c>
      <c r="E11" s="10">
        <v>8</v>
      </c>
      <c r="F11" s="10">
        <v>2</v>
      </c>
      <c r="G11" s="10" cm="1">
        <f t="array" ref="G11">F11-(H11+I11+J11)</f>
        <v>2</v>
      </c>
      <c r="H11" s="10">
        <v>0</v>
      </c>
      <c r="I11" s="10">
        <v>0</v>
      </c>
      <c r="J11" s="10">
        <v>0</v>
      </c>
      <c r="K11" s="10">
        <v>2</v>
      </c>
      <c r="L11" s="10">
        <v>4</v>
      </c>
      <c r="M11" s="10">
        <v>0</v>
      </c>
      <c r="N11" s="10">
        <v>2</v>
      </c>
      <c r="O11" s="10">
        <v>2</v>
      </c>
      <c r="P11" s="12" cm="1">
        <f t="array" ref="P11">O11/D11</f>
        <v>0.2</v>
      </c>
      <c r="Q11" s="13" cm="1">
        <f t="array" ref="Q11">(G11*1+H11*2+I11*3+J11*4)/E11</f>
        <v>0.25</v>
      </c>
      <c r="R11" s="13" cm="1">
        <f t="array" ref="R11">(F11+N11)/D11</f>
        <v>0.4</v>
      </c>
      <c r="S11" s="15" cm="1">
        <f t="array" ref="S11">R11+Q11</f>
        <v>0.65</v>
      </c>
      <c r="T11" s="153" cm="1">
        <f t="array" ref="T11">O11/(D11-(F11+N11))</f>
        <v>0.333333333333333</v>
      </c>
      <c r="U11" s="17" cm="1">
        <f t="array" ref="U11">RANK(R11,$R$4:$R$23)</f>
        <v>12</v>
      </c>
      <c r="V11" s="18" cm="1">
        <f t="array" ref="V11">RANK(S11,$S$4:$S$23)</f>
        <v>13</v>
      </c>
      <c r="W11" s="158"/>
      <c r="X11" s="9"/>
      <c r="Y11" s="78"/>
    </row>
    <row r="12" ht="17.25" customHeight="1">
      <c r="A12" t="s" s="8">
        <v>32</v>
      </c>
      <c r="B12" s="10">
        <v>3</v>
      </c>
      <c r="C12" s="206" cm="1">
        <f t="array" ref="C12">F12/E12</f>
        <v>0.333333333333333</v>
      </c>
      <c r="D12" s="10">
        <v>7</v>
      </c>
      <c r="E12" s="10">
        <v>3</v>
      </c>
      <c r="F12" s="10">
        <v>1</v>
      </c>
      <c r="G12" s="10" cm="1">
        <f t="array" ref="G12">F12-(H12+I12+J12)</f>
        <v>1</v>
      </c>
      <c r="H12" s="10">
        <v>0</v>
      </c>
      <c r="I12" s="10">
        <v>0</v>
      </c>
      <c r="J12" s="10">
        <v>0</v>
      </c>
      <c r="K12" s="10">
        <v>2</v>
      </c>
      <c r="L12" s="10">
        <v>1</v>
      </c>
      <c r="M12" s="10">
        <v>0</v>
      </c>
      <c r="N12" s="10">
        <v>2</v>
      </c>
      <c r="O12" s="10">
        <v>0</v>
      </c>
      <c r="P12" s="12" cm="1">
        <f t="array" ref="P12">O12/D12</f>
        <v>0</v>
      </c>
      <c r="Q12" s="13" cm="1">
        <f t="array" ref="Q12">(G12*1+H12*2+I12*3+J12*4)/E12</f>
        <v>0.333333333333333</v>
      </c>
      <c r="R12" s="13" cm="1">
        <f t="array" ref="R12">(F12+N12)/D12</f>
        <v>0.428571428571429</v>
      </c>
      <c r="S12" s="15" cm="1">
        <f t="array" ref="S12">R12+Q12</f>
        <v>0.761904761904762</v>
      </c>
      <c r="T12" s="153" cm="1">
        <f t="array" ref="T12">O12/(D12-(F12+N12))</f>
        <v>0</v>
      </c>
      <c r="U12" s="17" cm="1">
        <f t="array" ref="U12">RANK(R12,$R$4:$R$23)</f>
        <v>10</v>
      </c>
      <c r="V12" s="18" cm="1">
        <f t="array" ref="V12">RANK(S12,$S$4:$S$23)</f>
        <v>11</v>
      </c>
      <c r="W12" s="158"/>
      <c r="X12" s="9"/>
      <c r="Y12" s="78"/>
    </row>
    <row r="13" ht="17.25" customHeight="1">
      <c r="A13" t="s" s="8">
        <v>33</v>
      </c>
      <c r="B13" s="10">
        <v>10</v>
      </c>
      <c r="C13" s="206" cm="1">
        <f t="array" ref="C13">F13/E13</f>
        <v>0.518518518518519</v>
      </c>
      <c r="D13" s="10">
        <v>34</v>
      </c>
      <c r="E13" s="10">
        <v>27</v>
      </c>
      <c r="F13" s="10">
        <v>14</v>
      </c>
      <c r="G13" s="10" cm="1">
        <f t="array" ref="G13">F13-(H13+I13+J13)</f>
        <v>8</v>
      </c>
      <c r="H13" s="10">
        <v>5</v>
      </c>
      <c r="I13" s="10">
        <v>1</v>
      </c>
      <c r="J13" s="10">
        <v>0</v>
      </c>
      <c r="K13" s="10">
        <v>11</v>
      </c>
      <c r="L13" s="10">
        <v>13</v>
      </c>
      <c r="M13" s="10">
        <v>4</v>
      </c>
      <c r="N13" s="10">
        <v>7</v>
      </c>
      <c r="O13" s="10">
        <v>0</v>
      </c>
      <c r="P13" s="12" cm="1">
        <f t="array" ref="P13">O13/D13</f>
        <v>0</v>
      </c>
      <c r="Q13" s="13" cm="1">
        <f t="array" ref="Q13">(G13*1+H13*2+I13*3+J13*4)/E13</f>
        <v>0.777777777777778</v>
      </c>
      <c r="R13" s="13" cm="1">
        <f t="array" ref="R13">(F13+N13)/D13</f>
        <v>0.617647058823529</v>
      </c>
      <c r="S13" s="15" cm="1">
        <f t="array" ref="S13">R13+Q13</f>
        <v>1.39542483660131</v>
      </c>
      <c r="T13" s="153" cm="1">
        <f t="array" ref="T13">O13/(D13-(F13+N13))</f>
        <v>0</v>
      </c>
      <c r="U13" s="17" cm="1">
        <f t="array" ref="U13">RANK(R13,$R$4:$R$23)</f>
        <v>6</v>
      </c>
      <c r="V13" s="18" cm="1">
        <f t="array" ref="V13">RANK(S13,$S$4:$S$23)</f>
        <v>3</v>
      </c>
      <c r="W13" s="158"/>
      <c r="X13" s="9"/>
      <c r="Y13" s="78"/>
    </row>
    <row r="14" ht="17.25" customHeight="1">
      <c r="A14" t="s" s="8">
        <v>35</v>
      </c>
      <c r="B14" s="10">
        <v>9</v>
      </c>
      <c r="C14" s="206" cm="1">
        <f t="array" ref="C14">F14/E14</f>
        <v>0.333333333333333</v>
      </c>
      <c r="D14" s="10">
        <v>17</v>
      </c>
      <c r="E14" s="10">
        <v>9</v>
      </c>
      <c r="F14" s="10">
        <v>3</v>
      </c>
      <c r="G14" s="10" cm="1">
        <f t="array" ref="G14">F14-(H14+I14+J14)</f>
        <v>3</v>
      </c>
      <c r="H14" s="10">
        <v>0</v>
      </c>
      <c r="I14" s="10">
        <v>0</v>
      </c>
      <c r="J14" s="10">
        <v>0</v>
      </c>
      <c r="K14" s="10">
        <v>3</v>
      </c>
      <c r="L14" s="10">
        <v>3</v>
      </c>
      <c r="M14" s="10">
        <v>3</v>
      </c>
      <c r="N14" s="10">
        <v>8</v>
      </c>
      <c r="O14" s="10">
        <v>4</v>
      </c>
      <c r="P14" s="12" cm="1">
        <f t="array" ref="P14">O14/D14</f>
        <v>0.235294117647059</v>
      </c>
      <c r="Q14" s="13" cm="1">
        <f t="array" ref="Q14">(G14*1+H14*2+I14*3+J14*4)/E14</f>
        <v>0.333333333333333</v>
      </c>
      <c r="R14" s="13" cm="1">
        <f t="array" ref="R14">(F14+N14)/D14</f>
        <v>0.647058823529412</v>
      </c>
      <c r="S14" s="15" cm="1">
        <f t="array" ref="S14">R14+Q14</f>
        <v>0.9803921568627449</v>
      </c>
      <c r="T14" s="153" cm="1">
        <f t="array" ref="T14">O14/(D14-(F14+N14))</f>
        <v>0.666666666666667</v>
      </c>
      <c r="U14" s="17" cm="1">
        <f t="array" ref="U14">RANK(R14,$R$4:$R$23)</f>
        <v>5</v>
      </c>
      <c r="V14" s="18" cm="1">
        <f t="array" ref="V14">RANK(S14,$S$4:$S$23)</f>
        <v>7</v>
      </c>
      <c r="W14" s="158"/>
      <c r="X14" s="9"/>
      <c r="Y14" s="78"/>
    </row>
    <row r="15" ht="17.25" customHeight="1">
      <c r="A15" t="s" s="8">
        <v>36</v>
      </c>
      <c r="B15" s="10">
        <v>6</v>
      </c>
      <c r="C15" s="206" cm="1">
        <f t="array" ref="C15">F15/E15</f>
        <v>0.0909090909090909</v>
      </c>
      <c r="D15" s="10">
        <v>11</v>
      </c>
      <c r="E15" s="10">
        <v>11</v>
      </c>
      <c r="F15" s="10">
        <v>1</v>
      </c>
      <c r="G15" s="10" cm="1">
        <f t="array" ref="G15">F15-(H15+I15+J15)</f>
        <v>1</v>
      </c>
      <c r="H15" s="10">
        <v>0</v>
      </c>
      <c r="I15" s="10">
        <v>0</v>
      </c>
      <c r="J15" s="10">
        <v>0</v>
      </c>
      <c r="K15" s="10">
        <v>1</v>
      </c>
      <c r="L15" s="10">
        <v>1</v>
      </c>
      <c r="M15" s="10">
        <v>1</v>
      </c>
      <c r="N15" s="10">
        <v>0</v>
      </c>
      <c r="O15" s="10">
        <v>4</v>
      </c>
      <c r="P15" s="12" cm="1">
        <f t="array" ref="P15">O15/D15</f>
        <v>0.363636363636364</v>
      </c>
      <c r="Q15" s="13" cm="1">
        <f t="array" ref="Q15">(G15*1+H15*2+I15*3+J15*4)/E15</f>
        <v>0.0909090909090909</v>
      </c>
      <c r="R15" s="13" cm="1">
        <f t="array" ref="R15">(F15+N15)/D15</f>
        <v>0.0909090909090909</v>
      </c>
      <c r="S15" s="15" cm="1">
        <f t="array" ref="S15">R15+Q15</f>
        <v>0.181818181818182</v>
      </c>
      <c r="T15" s="153" cm="1">
        <f t="array" ref="T15">O15/(D15-(F15+N15))</f>
        <v>0.4</v>
      </c>
      <c r="U15" s="17" cm="1">
        <f t="array" ref="U15">RANK(R15,$R$4:$R$23)</f>
        <v>17</v>
      </c>
      <c r="V15" s="18" cm="1">
        <f t="array" ref="V15">RANK(S15,$S$4:$S$23)</f>
        <v>17</v>
      </c>
      <c r="W15" s="158"/>
      <c r="X15" s="9"/>
      <c r="Y15" s="78"/>
    </row>
    <row r="16" ht="17.25" customHeight="1">
      <c r="A16" t="s" s="8">
        <v>37</v>
      </c>
      <c r="B16" s="10">
        <v>9</v>
      </c>
      <c r="C16" s="206" cm="1">
        <f t="array" ref="C16">F16/E16</f>
        <v>0.318181818181818</v>
      </c>
      <c r="D16" s="10">
        <v>31</v>
      </c>
      <c r="E16" s="10">
        <v>22</v>
      </c>
      <c r="F16" s="10">
        <v>7</v>
      </c>
      <c r="G16" s="10" cm="1">
        <f t="array" ref="G16">F16-(H16+I16+J16)</f>
        <v>5</v>
      </c>
      <c r="H16" s="10">
        <v>1</v>
      </c>
      <c r="I16" s="10">
        <v>1</v>
      </c>
      <c r="J16" s="10">
        <v>0</v>
      </c>
      <c r="K16" s="10">
        <v>9</v>
      </c>
      <c r="L16" s="10">
        <v>4</v>
      </c>
      <c r="M16" s="10">
        <v>10</v>
      </c>
      <c r="N16" s="10">
        <v>8</v>
      </c>
      <c r="O16" s="10">
        <v>4</v>
      </c>
      <c r="P16" s="12" cm="1">
        <f t="array" ref="P16">O16/D16</f>
        <v>0.129032258064516</v>
      </c>
      <c r="Q16" s="13" cm="1">
        <f t="array" ref="Q16">(G16*1+H16*2+I16*3+J16*4)/E16</f>
        <v>0.454545454545455</v>
      </c>
      <c r="R16" s="13" cm="1">
        <f t="array" ref="R16">(F16+N16)/D16</f>
        <v>0.483870967741935</v>
      </c>
      <c r="S16" s="15" cm="1">
        <f t="array" ref="S16">R16+Q16</f>
        <v>0.93841642228739</v>
      </c>
      <c r="T16" s="153" cm="1">
        <f t="array" ref="T16">O16/(D16-(F16+N16))</f>
        <v>0.25</v>
      </c>
      <c r="U16" s="17" cm="1">
        <f t="array" ref="U16">RANK(R16,$R$4:$R$23)</f>
        <v>9</v>
      </c>
      <c r="V16" s="18" cm="1">
        <f t="array" ref="V16">RANK(S16,$S$4:$S$23)</f>
        <v>8</v>
      </c>
      <c r="W16" s="158"/>
      <c r="X16" s="9"/>
      <c r="Y16" s="78"/>
    </row>
    <row r="17" ht="17.25" customHeight="1">
      <c r="A17" t="s" s="8">
        <v>38</v>
      </c>
      <c r="B17" s="10">
        <v>7</v>
      </c>
      <c r="C17" s="206" cm="1">
        <f t="array" ref="C17">F17/E17</f>
        <v>0.333333333333333</v>
      </c>
      <c r="D17" s="10">
        <v>15</v>
      </c>
      <c r="E17" s="10">
        <v>12</v>
      </c>
      <c r="F17" s="10">
        <v>4</v>
      </c>
      <c r="G17" s="10" cm="1">
        <f t="array" ref="G17">F17-(H17+I17+J17)</f>
        <v>3</v>
      </c>
      <c r="H17" s="10">
        <v>1</v>
      </c>
      <c r="I17" s="10">
        <v>0</v>
      </c>
      <c r="J17" s="10">
        <v>0</v>
      </c>
      <c r="K17" s="10">
        <v>3</v>
      </c>
      <c r="L17" s="10">
        <v>2</v>
      </c>
      <c r="M17" s="10">
        <v>1</v>
      </c>
      <c r="N17" s="10">
        <v>2</v>
      </c>
      <c r="O17" s="10">
        <v>2</v>
      </c>
      <c r="P17" s="12" cm="1">
        <f t="array" ref="P17">O17/D17</f>
        <v>0.133333333333333</v>
      </c>
      <c r="Q17" s="13" cm="1">
        <f t="array" ref="Q17">(G17*1+H17*2+I17*3+J17*4)/E17</f>
        <v>0.416666666666667</v>
      </c>
      <c r="R17" s="13" cm="1">
        <f t="array" ref="R17">(F17+N17)/D17</f>
        <v>0.4</v>
      </c>
      <c r="S17" s="15" cm="1">
        <f t="array" ref="S17">R17+Q17</f>
        <v>0.816666666666667</v>
      </c>
      <c r="T17" s="153" cm="1">
        <f t="array" ref="T17">O17/(D17-(F17+N17))</f>
        <v>0.222222222222222</v>
      </c>
      <c r="U17" s="17" cm="1">
        <f t="array" ref="U17">RANK(R17,$R$4:$R$23)</f>
        <v>12</v>
      </c>
      <c r="V17" s="18" cm="1">
        <f t="array" ref="V17">RANK(S17,$S$4:$S$23)</f>
        <v>10</v>
      </c>
      <c r="W17" s="158"/>
      <c r="X17" s="9"/>
      <c r="Y17" s="78"/>
    </row>
    <row r="18" ht="17.25" customHeight="1">
      <c r="A18" t="s" s="8">
        <v>39</v>
      </c>
      <c r="B18" s="10">
        <v>8</v>
      </c>
      <c r="C18" s="206" cm="1">
        <f t="array" ref="C18">F18/E18</f>
        <v>0.3</v>
      </c>
      <c r="D18" s="10">
        <v>25</v>
      </c>
      <c r="E18" s="10">
        <v>20</v>
      </c>
      <c r="F18" s="10">
        <v>6</v>
      </c>
      <c r="G18" s="10" cm="1">
        <f t="array" ref="G18">F18-(H18+I18+J18)</f>
        <v>6</v>
      </c>
      <c r="H18" s="10">
        <v>0</v>
      </c>
      <c r="I18" s="10">
        <v>0</v>
      </c>
      <c r="J18" s="10">
        <v>0</v>
      </c>
      <c r="K18" s="10">
        <v>5</v>
      </c>
      <c r="L18" s="10">
        <v>6</v>
      </c>
      <c r="M18" s="10">
        <v>0</v>
      </c>
      <c r="N18" s="10">
        <v>4</v>
      </c>
      <c r="O18" s="10">
        <v>5</v>
      </c>
      <c r="P18" s="12" cm="1">
        <f t="array" ref="P18">O18/D18</f>
        <v>0.2</v>
      </c>
      <c r="Q18" s="13" cm="1">
        <f t="array" ref="Q18">(G18*1+H18*2+I18*3+J18*4)/E18</f>
        <v>0.3</v>
      </c>
      <c r="R18" s="13" cm="1">
        <f t="array" ref="R18">(F18+N18)/D18</f>
        <v>0.4</v>
      </c>
      <c r="S18" s="15" cm="1">
        <f t="array" ref="S18">R18+Q18</f>
        <v>0.7</v>
      </c>
      <c r="T18" s="153" cm="1">
        <f t="array" ref="T18">O18/(D18-(F18+N18))</f>
        <v>0.333333333333333</v>
      </c>
      <c r="U18" s="17" cm="1">
        <f t="array" ref="U18">RANK(R18,$R$4:$R$23)</f>
        <v>12</v>
      </c>
      <c r="V18" s="18" cm="1">
        <f t="array" ref="V18">RANK(S18,$S$4:$S$23)</f>
        <v>12</v>
      </c>
      <c r="W18" s="158"/>
      <c r="X18" s="9"/>
      <c r="Y18" s="78"/>
    </row>
    <row r="19" ht="17.25" customHeight="1">
      <c r="A19" t="s" s="8">
        <v>40</v>
      </c>
      <c r="B19" s="10">
        <v>2</v>
      </c>
      <c r="C19" s="206" cm="1">
        <f t="array" ref="C19">F19/E19</f>
        <v>0</v>
      </c>
      <c r="D19" s="10">
        <v>4</v>
      </c>
      <c r="E19" s="10">
        <v>2</v>
      </c>
      <c r="F19" s="10">
        <v>0</v>
      </c>
      <c r="G19" s="10" cm="1">
        <f t="array" ref="G19">F19-(H19+I19+J19)</f>
        <v>0</v>
      </c>
      <c r="H19" s="10">
        <v>0</v>
      </c>
      <c r="I19" s="10">
        <v>0</v>
      </c>
      <c r="J19" s="10">
        <v>0</v>
      </c>
      <c r="K19" s="10">
        <v>1</v>
      </c>
      <c r="L19" s="10">
        <v>0</v>
      </c>
      <c r="M19" s="10">
        <v>0</v>
      </c>
      <c r="N19" s="10">
        <v>2</v>
      </c>
      <c r="O19" s="10">
        <v>0</v>
      </c>
      <c r="P19" s="12" cm="1">
        <f t="array" ref="P19">O19/D19</f>
        <v>0</v>
      </c>
      <c r="Q19" s="13" cm="1">
        <f t="array" ref="Q19">(G19*1+H19*2+I19*3+J19*4)/E19</f>
        <v>0</v>
      </c>
      <c r="R19" s="13" cm="1">
        <f t="array" ref="R19">(F19+N19)/D19</f>
        <v>0.5</v>
      </c>
      <c r="S19" s="15" cm="1">
        <f t="array" ref="S19">R19+Q19</f>
        <v>0.5</v>
      </c>
      <c r="T19" s="153" cm="1">
        <f t="array" ref="T19">O19/(D19-(F19+N19))</f>
        <v>0</v>
      </c>
      <c r="U19" s="17" cm="1">
        <f t="array" ref="U19">RANK(R19,$R$4:$R$23)</f>
        <v>8</v>
      </c>
      <c r="V19" s="18" cm="1">
        <f t="array" ref="V19">RANK(S19,$S$4:$S$23)</f>
        <v>16</v>
      </c>
      <c r="W19" s="158"/>
      <c r="X19" s="9"/>
      <c r="Y19" s="78"/>
    </row>
    <row r="20" ht="17.25" customHeight="1">
      <c r="A20" t="s" s="8">
        <v>41</v>
      </c>
      <c r="B20" s="10">
        <v>10</v>
      </c>
      <c r="C20" s="206" cm="1">
        <f t="array" ref="C20">F20/E20</f>
        <v>0.583333333333333</v>
      </c>
      <c r="D20" s="10">
        <v>29</v>
      </c>
      <c r="E20" s="10">
        <v>24</v>
      </c>
      <c r="F20" s="10">
        <v>14</v>
      </c>
      <c r="G20" s="10" cm="1">
        <f t="array" ref="G20">F20-(H20+I20+J20)</f>
        <v>9</v>
      </c>
      <c r="H20" s="10">
        <v>4</v>
      </c>
      <c r="I20" s="10">
        <v>0</v>
      </c>
      <c r="J20" s="10">
        <v>1</v>
      </c>
      <c r="K20" s="10">
        <v>12</v>
      </c>
      <c r="L20" s="10">
        <v>13</v>
      </c>
      <c r="M20" s="10">
        <v>6</v>
      </c>
      <c r="N20" s="10">
        <v>5</v>
      </c>
      <c r="O20" s="10">
        <v>0</v>
      </c>
      <c r="P20" s="12" cm="1">
        <f t="array" ref="P20">O20/D20</f>
        <v>0</v>
      </c>
      <c r="Q20" s="13" cm="1">
        <f t="array" ref="Q20">(G20*1+H20*2+I20*3+J20*4)/E20</f>
        <v>0.875</v>
      </c>
      <c r="R20" s="13" cm="1">
        <f t="array" ref="R20">(F20+N20)/D20</f>
        <v>0.655172413793103</v>
      </c>
      <c r="S20" s="15" cm="1">
        <f t="array" ref="S20">R20+Q20</f>
        <v>1.5301724137931</v>
      </c>
      <c r="T20" s="153" cm="1">
        <f t="array" ref="T20">O20/(D20-(F20+N20))</f>
        <v>0</v>
      </c>
      <c r="U20" s="17" cm="1">
        <f t="array" ref="U20">RANK(R20,$R$4:$R$23)</f>
        <v>3</v>
      </c>
      <c r="V20" s="18" cm="1">
        <f t="array" ref="V20">RANK(S20,$S$4:$S$23)</f>
        <v>2</v>
      </c>
      <c r="W20" s="158"/>
      <c r="X20" s="9"/>
      <c r="Y20" s="78"/>
    </row>
    <row r="21" ht="17.25" customHeight="1">
      <c r="A21" t="s" s="8">
        <v>42</v>
      </c>
      <c r="B21" s="10">
        <v>7</v>
      </c>
      <c r="C21" s="206" cm="1">
        <f t="array" ref="C21">F21/E21</f>
        <v>0.181818181818182</v>
      </c>
      <c r="D21" s="10">
        <v>13</v>
      </c>
      <c r="E21" s="10">
        <v>11</v>
      </c>
      <c r="F21" s="10">
        <v>2</v>
      </c>
      <c r="G21" s="10" cm="1">
        <f t="array" ref="G21">F21-(H21+I21+J21)</f>
        <v>1</v>
      </c>
      <c r="H21" s="10">
        <v>1</v>
      </c>
      <c r="I21" s="10">
        <v>0</v>
      </c>
      <c r="J21" s="10">
        <v>0</v>
      </c>
      <c r="K21" s="10">
        <v>3</v>
      </c>
      <c r="L21" s="10">
        <v>2</v>
      </c>
      <c r="M21" s="10">
        <v>0</v>
      </c>
      <c r="N21" s="10">
        <v>2</v>
      </c>
      <c r="O21" s="10">
        <v>5</v>
      </c>
      <c r="P21" s="12" cm="1">
        <f t="array" ref="P21">O21/D21</f>
        <v>0.384615384615385</v>
      </c>
      <c r="Q21" s="13" cm="1">
        <f t="array" ref="Q21">(G21*1+H21*2+I21*3+J21*4)/E21</f>
        <v>0.272727272727273</v>
      </c>
      <c r="R21" s="13" cm="1">
        <f t="array" ref="R21">(F21+N21)/D21</f>
        <v>0.307692307692308</v>
      </c>
      <c r="S21" s="15" cm="1">
        <f t="array" ref="S21">R21+Q21</f>
        <v>0.580419580419581</v>
      </c>
      <c r="T21" s="153" cm="1">
        <f t="array" ref="T21">O21/(D21-(F21+N21))</f>
        <v>0.555555555555556</v>
      </c>
      <c r="U21" s="17" cm="1">
        <f t="array" ref="U21">RANK(R21,$R$4:$R$23)</f>
        <v>16</v>
      </c>
      <c r="V21" s="18" cm="1">
        <f t="array" ref="V21">RANK(S21,$S$4:$S$23)</f>
        <v>14</v>
      </c>
      <c r="W21" s="158"/>
      <c r="X21" s="9"/>
      <c r="Y21" s="78"/>
    </row>
    <row r="22" ht="17.25" customHeight="1">
      <c r="A22" t="s" s="8">
        <v>43</v>
      </c>
      <c r="B22" s="10">
        <v>6</v>
      </c>
      <c r="C22" s="206" cm="1">
        <f t="array" ref="C22">F22/E22</f>
        <v>0.285714285714286</v>
      </c>
      <c r="D22" s="10">
        <v>17</v>
      </c>
      <c r="E22" s="10">
        <v>14</v>
      </c>
      <c r="F22" s="10">
        <v>4</v>
      </c>
      <c r="G22" s="10" cm="1">
        <f t="array" ref="G22">F22-(H22+I22+J22)</f>
        <v>2</v>
      </c>
      <c r="H22" s="10">
        <v>2</v>
      </c>
      <c r="I22" s="10">
        <v>0</v>
      </c>
      <c r="J22" s="10">
        <v>0</v>
      </c>
      <c r="K22" s="10">
        <v>4</v>
      </c>
      <c r="L22" s="10">
        <v>1</v>
      </c>
      <c r="M22" s="10">
        <v>4</v>
      </c>
      <c r="N22" s="10">
        <v>3</v>
      </c>
      <c r="O22" s="10">
        <v>1</v>
      </c>
      <c r="P22" s="12" cm="1">
        <f t="array" ref="P22">O22/D22</f>
        <v>0.0588235294117647</v>
      </c>
      <c r="Q22" s="13" cm="1">
        <f t="array" ref="Q22">(G22*1+H22*2+I22*3+J22*4)/E22</f>
        <v>0.428571428571429</v>
      </c>
      <c r="R22" s="13" cm="1">
        <f t="array" ref="R22">(F22+N22)/D22</f>
        <v>0.411764705882353</v>
      </c>
      <c r="S22" s="15" cm="1">
        <f t="array" ref="S22">R22+Q22</f>
        <v>0.840336134453782</v>
      </c>
      <c r="T22" s="153" cm="1">
        <f t="array" ref="T22">O22/(D22-(F22+N22))</f>
        <v>0.1</v>
      </c>
      <c r="U22" s="17" cm="1">
        <f t="array" ref="U22">RANK(R22,$R$4:$R$23)</f>
        <v>11</v>
      </c>
      <c r="V22" s="18" cm="1">
        <f t="array" ref="V22">RANK(S22,$S$4:$S$23)</f>
        <v>9</v>
      </c>
      <c r="W22" s="158"/>
      <c r="X22" s="9"/>
      <c r="Y22" s="78"/>
    </row>
    <row r="23" ht="17.25" customHeight="1">
      <c r="A23" t="s" s="8">
        <v>44</v>
      </c>
      <c r="B23" s="10">
        <v>4</v>
      </c>
      <c r="C23" s="206" cm="1">
        <f t="array" ref="C23">F23/E23</f>
        <v>0.5</v>
      </c>
      <c r="D23" s="10">
        <v>12</v>
      </c>
      <c r="E23" s="10">
        <v>8</v>
      </c>
      <c r="F23" s="10">
        <v>4</v>
      </c>
      <c r="G23" s="10" cm="1">
        <f t="array" ref="G23">F23-(H23+I23+J23)</f>
        <v>4</v>
      </c>
      <c r="H23" s="10">
        <v>0</v>
      </c>
      <c r="I23" s="10">
        <v>0</v>
      </c>
      <c r="J23" s="10">
        <v>0</v>
      </c>
      <c r="K23" s="10">
        <v>6</v>
      </c>
      <c r="L23" s="10">
        <v>2</v>
      </c>
      <c r="M23" s="10">
        <v>1</v>
      </c>
      <c r="N23" s="10">
        <v>4</v>
      </c>
      <c r="O23" s="10">
        <v>1</v>
      </c>
      <c r="P23" s="12" cm="1">
        <f t="array" ref="P23">O23/D23</f>
        <v>0.0833333333333333</v>
      </c>
      <c r="Q23" s="13" cm="1">
        <f t="array" ref="Q23">(G23*1+H23*2+I23*3+J23*4)/E23</f>
        <v>0.5</v>
      </c>
      <c r="R23" s="13" cm="1">
        <f t="array" ref="R23">(F23+N23)/D23</f>
        <v>0.666666666666667</v>
      </c>
      <c r="S23" s="15" cm="1">
        <f t="array" ref="S23">R23+Q23</f>
        <v>1.16666666666667</v>
      </c>
      <c r="T23" s="153" cm="1">
        <f t="array" ref="T23">O23/(D23-(F23+N23))</f>
        <v>0.25</v>
      </c>
      <c r="U23" s="17" cm="1">
        <f t="array" ref="U23">RANK(R23,$R$4:$R$23)</f>
        <v>1</v>
      </c>
      <c r="V23" s="18" cm="1">
        <f t="array" ref="V23">RANK(S23,$S$4:$S$23)</f>
        <v>5</v>
      </c>
      <c r="W23" s="158"/>
      <c r="X23" s="9"/>
      <c r="Y23" s="78"/>
    </row>
    <row r="24" ht="17.25" customHeight="1">
      <c r="A24" t="s" s="29">
        <v>45</v>
      </c>
      <c r="B24" s="124"/>
      <c r="C24" s="127" cm="1">
        <f t="array" ref="C24">F24/E24</f>
        <v>0.405172413793103</v>
      </c>
      <c r="D24" s="49" cm="1">
        <f t="array" ref="D24">SUM(D4:D23)</f>
        <v>294</v>
      </c>
      <c r="E24" s="49" cm="1">
        <f t="array" ref="E24">SUM(E4:E23)</f>
        <v>232</v>
      </c>
      <c r="F24" s="49" cm="1">
        <f t="array" ref="F24">SUM(F4:F23)</f>
        <v>94</v>
      </c>
      <c r="G24" s="49" cm="1">
        <f t="array" ref="G24">SUM(G4:G23)</f>
        <v>71</v>
      </c>
      <c r="H24" s="49" cm="1">
        <f t="array" ref="H24">SUM(H4:H23)</f>
        <v>15</v>
      </c>
      <c r="I24" s="49" cm="1">
        <f t="array" ref="I24">SUM(I4:I23)</f>
        <v>6</v>
      </c>
      <c r="J24" s="49" cm="1">
        <f t="array" ref="J24">SUM(J4:J23)</f>
        <v>2</v>
      </c>
      <c r="K24" s="49" cm="1">
        <f t="array" ref="K24">SUM(K4:K23)</f>
        <v>92</v>
      </c>
      <c r="L24" s="49" cm="1">
        <f t="array" ref="L24">SUM(L4:L23)</f>
        <v>73</v>
      </c>
      <c r="M24" s="49" cm="1">
        <f t="array" ref="M24">SUM(M4:M23)</f>
        <v>52</v>
      </c>
      <c r="N24" s="49" cm="1">
        <f t="array" ref="N24">SUM(N4:N23)</f>
        <v>57</v>
      </c>
      <c r="O24" s="49" cm="1">
        <f t="array" ref="O24">SUM(O4:O23)</f>
        <v>35</v>
      </c>
      <c r="P24" s="33" cm="1">
        <f t="array" ref="P24">O24/D24</f>
        <v>0.119047619047619</v>
      </c>
      <c r="Q24" s="127"/>
      <c r="R24" s="127"/>
      <c r="S24" s="121"/>
      <c r="T24" s="31"/>
      <c r="U24" s="31"/>
      <c r="V24" s="31"/>
      <c r="W24" s="161" cm="1">
        <f t="array" ref="W24">SUM(W4:W23)</f>
        <v>0</v>
      </c>
      <c r="X24" s="9"/>
      <c r="Y24" s="3"/>
    </row>
    <row r="25" ht="17.25" customHeight="1">
      <c r="A25" s="135"/>
      <c r="B25" s="136"/>
      <c r="C25" s="137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7"/>
      <c r="R25" s="137"/>
      <c r="S25" s="138"/>
      <c r="T25" s="34"/>
      <c r="U25" s="34"/>
      <c r="V25" s="34"/>
      <c r="W25" s="34"/>
      <c r="X25" s="3"/>
      <c r="Y25" s="3"/>
    </row>
    <row r="26" ht="17.25" customHeight="1">
      <c r="A26" t="s" s="139">
        <v>46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6"/>
      <c r="T26" s="6"/>
      <c r="U26" s="6"/>
      <c r="V26" s="6"/>
      <c r="W26" s="3"/>
      <c r="X26" s="3"/>
      <c r="Y26" s="3"/>
    </row>
    <row r="27" ht="34.5" customHeight="1">
      <c r="A27" t="s" s="8">
        <v>2</v>
      </c>
      <c r="B27" t="s" s="8">
        <v>3</v>
      </c>
      <c r="C27" t="s" s="8">
        <v>47</v>
      </c>
      <c r="D27" t="s" s="8">
        <v>48</v>
      </c>
      <c r="E27" t="s" s="8">
        <v>49</v>
      </c>
      <c r="F27" t="s" s="8">
        <v>50</v>
      </c>
      <c r="G27" t="s" s="8">
        <v>6</v>
      </c>
      <c r="H27" t="s" s="8">
        <v>51</v>
      </c>
      <c r="I27" t="s" s="8">
        <v>52</v>
      </c>
      <c r="J27" t="s" s="8">
        <v>53</v>
      </c>
      <c r="K27" t="s" s="8">
        <v>54</v>
      </c>
      <c r="L27" t="s" s="8">
        <v>55</v>
      </c>
      <c r="M27" t="s" s="8">
        <v>56</v>
      </c>
      <c r="N27" t="s" s="8">
        <v>57</v>
      </c>
      <c r="O27" t="s" s="8">
        <v>58</v>
      </c>
      <c r="P27" t="s" s="8">
        <v>59</v>
      </c>
      <c r="Q27" t="s" s="8">
        <v>60</v>
      </c>
      <c r="R27" t="s" s="8">
        <v>61</v>
      </c>
      <c r="S27" t="s" s="8">
        <v>116</v>
      </c>
      <c r="T27" t="s" s="8">
        <v>63</v>
      </c>
      <c r="U27" t="s" s="8">
        <v>64</v>
      </c>
      <c r="V27" t="s" s="8">
        <v>65</v>
      </c>
      <c r="W27" s="9"/>
      <c r="X27" s="3"/>
      <c r="Y27" s="3"/>
    </row>
    <row r="28" ht="17.25" customHeight="1">
      <c r="A28" t="s" s="8">
        <v>24</v>
      </c>
      <c r="B28" s="208"/>
      <c r="C28" s="208"/>
      <c r="D28" s="208"/>
      <c r="E28" s="208"/>
      <c r="F28" s="208"/>
      <c r="G28" s="208"/>
      <c r="H28" s="39"/>
      <c r="I28" s="208"/>
      <c r="J28" s="208"/>
      <c r="K28" s="208"/>
      <c r="L28" s="208"/>
      <c r="M28" s="208"/>
      <c r="N28" s="208"/>
      <c r="O28" s="208"/>
      <c r="P28" s="40"/>
      <c r="Q28" s="41"/>
      <c r="R28" s="42"/>
      <c r="S28" s="42"/>
      <c r="T28" s="41"/>
      <c r="U28" s="44"/>
      <c r="V28" s="41"/>
      <c r="W28" s="9"/>
      <c r="X28" s="3"/>
      <c r="Y28" s="3"/>
    </row>
    <row r="29" ht="17.25" customHeight="1">
      <c r="A29" t="s" s="8">
        <v>27</v>
      </c>
      <c r="B29" s="208"/>
      <c r="C29" s="208"/>
      <c r="D29" s="208"/>
      <c r="E29" s="208"/>
      <c r="F29" s="208"/>
      <c r="G29" s="208"/>
      <c r="H29" s="39"/>
      <c r="I29" s="208"/>
      <c r="J29" s="208"/>
      <c r="K29" s="208"/>
      <c r="L29" s="208"/>
      <c r="M29" s="208"/>
      <c r="N29" s="208"/>
      <c r="O29" s="208"/>
      <c r="P29" s="40"/>
      <c r="Q29" s="41"/>
      <c r="R29" s="42"/>
      <c r="S29" s="42"/>
      <c r="T29" s="41"/>
      <c r="U29" s="44"/>
      <c r="V29" s="41"/>
      <c r="W29" s="9"/>
      <c r="X29" s="3"/>
      <c r="Y29" s="3"/>
    </row>
    <row r="30" ht="17.25" customHeight="1">
      <c r="A30" t="s" s="8">
        <v>29</v>
      </c>
      <c r="B30" s="208"/>
      <c r="C30" s="208"/>
      <c r="D30" s="208"/>
      <c r="E30" s="208"/>
      <c r="F30" s="208"/>
      <c r="G30" s="208"/>
      <c r="H30" s="39"/>
      <c r="I30" s="208"/>
      <c r="J30" s="208"/>
      <c r="K30" s="208"/>
      <c r="L30" s="208"/>
      <c r="M30" s="208"/>
      <c r="N30" s="208"/>
      <c r="O30" s="208"/>
      <c r="P30" s="40"/>
      <c r="Q30" s="41"/>
      <c r="R30" s="42"/>
      <c r="S30" s="42"/>
      <c r="T30" s="41"/>
      <c r="U30" s="44"/>
      <c r="V30" s="41"/>
      <c r="W30" s="9"/>
      <c r="X30" s="3"/>
      <c r="Y30" s="3"/>
    </row>
    <row r="31" ht="17.25" customHeight="1">
      <c r="A31" t="s" s="8">
        <v>33</v>
      </c>
      <c r="B31" s="10">
        <v>7</v>
      </c>
      <c r="C31" s="10">
        <v>5</v>
      </c>
      <c r="D31" s="10">
        <v>2</v>
      </c>
      <c r="E31" s="10">
        <v>0</v>
      </c>
      <c r="F31" s="10">
        <v>171</v>
      </c>
      <c r="G31" s="10">
        <v>152</v>
      </c>
      <c r="H31" s="39">
        <v>34</v>
      </c>
      <c r="I31" s="10">
        <v>36</v>
      </c>
      <c r="J31" s="10">
        <v>0</v>
      </c>
      <c r="K31" s="10">
        <v>21</v>
      </c>
      <c r="L31" s="10">
        <v>5</v>
      </c>
      <c r="M31" s="10">
        <v>45</v>
      </c>
      <c r="N31" s="10">
        <v>36</v>
      </c>
      <c r="O31" s="10">
        <v>16</v>
      </c>
      <c r="P31" s="40" cm="1">
        <f t="array" ref="P31">O31*9/H31</f>
        <v>4.23529411764706</v>
      </c>
      <c r="Q31" s="41" cm="1">
        <f t="array" ref="Q31">(K31+L31)/H31</f>
        <v>0.764705882352941</v>
      </c>
      <c r="R31" s="42" cm="1">
        <f t="array" ref="R31">I31/H31</f>
        <v>1.05882352941176</v>
      </c>
      <c r="S31" s="42" cm="1">
        <f t="array" ref="S31">H31/B31</f>
        <v>4.85714285714286</v>
      </c>
      <c r="T31" s="41" cm="1">
        <f t="array" ref="T31">M31/H31</f>
        <v>1.32352941176471</v>
      </c>
      <c r="U31" s="44" cm="1">
        <f t="array" ref="U31">O31/N31</f>
        <v>0.444444444444444</v>
      </c>
      <c r="V31" s="41" cm="1">
        <f t="array" ref="V31">(I31+K31)/H31</f>
        <v>1.67647058823529</v>
      </c>
      <c r="W31" s="9"/>
      <c r="X31" s="3"/>
      <c r="Y31" s="70">
        <v>3.29</v>
      </c>
    </row>
    <row r="32" ht="17.25" customHeight="1">
      <c r="A32" t="s" s="8">
        <v>35</v>
      </c>
      <c r="B32" s="208"/>
      <c r="C32" s="208"/>
      <c r="D32" s="208"/>
      <c r="E32" s="208"/>
      <c r="F32" s="208"/>
      <c r="G32" s="208"/>
      <c r="H32" s="39"/>
      <c r="I32" s="208"/>
      <c r="J32" s="208"/>
      <c r="K32" s="208"/>
      <c r="L32" s="208"/>
      <c r="M32" s="208"/>
      <c r="N32" s="208"/>
      <c r="O32" s="208"/>
      <c r="P32" s="40"/>
      <c r="Q32" s="41"/>
      <c r="R32" s="42"/>
      <c r="S32" s="42"/>
      <c r="T32" s="41"/>
      <c r="U32" s="44"/>
      <c r="V32" s="41"/>
      <c r="W32" s="9"/>
      <c r="X32" s="3"/>
      <c r="Y32" s="3"/>
    </row>
    <row r="33" ht="17.25" customHeight="1">
      <c r="A33" t="s" s="8">
        <v>36</v>
      </c>
      <c r="B33" s="208"/>
      <c r="C33" s="208"/>
      <c r="D33" s="208"/>
      <c r="E33" s="208"/>
      <c r="F33" s="208"/>
      <c r="G33" s="208"/>
      <c r="H33" s="39"/>
      <c r="I33" s="208"/>
      <c r="J33" s="208"/>
      <c r="K33" s="208"/>
      <c r="L33" s="208"/>
      <c r="M33" s="208"/>
      <c r="N33" s="208"/>
      <c r="O33" s="208"/>
      <c r="P33" s="40"/>
      <c r="Q33" s="41"/>
      <c r="R33" s="42"/>
      <c r="S33" s="42"/>
      <c r="T33" s="41"/>
      <c r="U33" s="44"/>
      <c r="V33" s="41"/>
      <c r="W33" s="9"/>
      <c r="X33" s="3"/>
      <c r="Y33" s="3"/>
    </row>
    <row r="34" ht="17.25" customHeight="1">
      <c r="A34" t="s" s="8">
        <v>37</v>
      </c>
      <c r="B34" s="10">
        <v>3</v>
      </c>
      <c r="C34" s="10">
        <v>1</v>
      </c>
      <c r="D34" s="10">
        <v>0</v>
      </c>
      <c r="E34" s="10">
        <v>0</v>
      </c>
      <c r="F34" s="10">
        <v>34</v>
      </c>
      <c r="G34" s="10">
        <v>25</v>
      </c>
      <c r="H34" s="39">
        <v>6</v>
      </c>
      <c r="I34" s="10">
        <v>10</v>
      </c>
      <c r="J34" s="10">
        <v>0</v>
      </c>
      <c r="K34" s="10">
        <v>8</v>
      </c>
      <c r="L34" s="10">
        <v>0</v>
      </c>
      <c r="M34" s="10">
        <v>4</v>
      </c>
      <c r="N34" s="10">
        <v>9</v>
      </c>
      <c r="O34" s="10">
        <v>7</v>
      </c>
      <c r="P34" s="40" cm="1">
        <f t="array" ref="P34">O34*9/H34</f>
        <v>10.5</v>
      </c>
      <c r="Q34" s="41" cm="1">
        <f t="array" ref="Q34">(K34+L34)/H34</f>
        <v>1.33333333333333</v>
      </c>
      <c r="R34" s="42" cm="1">
        <f t="array" ref="R34">I34/H34</f>
        <v>1.66666666666667</v>
      </c>
      <c r="S34" s="42" cm="1">
        <f t="array" ref="S34">H34/B34</f>
        <v>2</v>
      </c>
      <c r="T34" s="41" cm="1">
        <f t="array" ref="T34">M34/H34</f>
        <v>0.666666666666667</v>
      </c>
      <c r="U34" s="44" cm="1">
        <f t="array" ref="U34">O34/N34</f>
        <v>0.777777777777778</v>
      </c>
      <c r="V34" s="41" cm="1">
        <f t="array" ref="V34">(I34+K34)/H34</f>
        <v>3</v>
      </c>
      <c r="W34" s="9"/>
      <c r="X34" s="3"/>
      <c r="Y34" s="3"/>
    </row>
    <row r="35" ht="17.25" customHeight="1">
      <c r="A35" t="s" s="8">
        <v>40</v>
      </c>
      <c r="B35" s="208"/>
      <c r="C35" s="208"/>
      <c r="D35" s="208"/>
      <c r="E35" s="208"/>
      <c r="F35" s="208"/>
      <c r="G35" s="208"/>
      <c r="H35" s="39"/>
      <c r="I35" s="208"/>
      <c r="J35" s="208"/>
      <c r="K35" s="208"/>
      <c r="L35" s="208"/>
      <c r="M35" s="208"/>
      <c r="N35" s="208"/>
      <c r="O35" s="208"/>
      <c r="P35" s="40"/>
      <c r="Q35" s="41"/>
      <c r="R35" s="42"/>
      <c r="S35" s="42"/>
      <c r="T35" s="41"/>
      <c r="U35" s="44"/>
      <c r="V35" s="41"/>
      <c r="W35" s="9"/>
      <c r="X35" s="3"/>
      <c r="Y35" s="3"/>
    </row>
    <row r="36" ht="17.25" customHeight="1">
      <c r="A36" t="s" s="8">
        <v>42</v>
      </c>
      <c r="B36" s="208"/>
      <c r="C36" s="208"/>
      <c r="D36" s="208"/>
      <c r="E36" s="208"/>
      <c r="F36" s="208"/>
      <c r="G36" s="208"/>
      <c r="H36" s="39"/>
      <c r="I36" s="208"/>
      <c r="J36" s="208"/>
      <c r="K36" s="208"/>
      <c r="L36" s="208"/>
      <c r="M36" s="208"/>
      <c r="N36" s="208"/>
      <c r="O36" s="208"/>
      <c r="P36" s="40"/>
      <c r="Q36" s="41"/>
      <c r="R36" s="42"/>
      <c r="S36" s="42"/>
      <c r="T36" s="41"/>
      <c r="U36" s="44"/>
      <c r="V36" s="41"/>
      <c r="W36" s="9"/>
      <c r="X36" s="3"/>
      <c r="Y36" s="3"/>
    </row>
    <row r="37" ht="17.25" customHeight="1">
      <c r="A37" t="s" s="8">
        <v>43</v>
      </c>
      <c r="B37" s="10">
        <v>2</v>
      </c>
      <c r="C37" s="10">
        <v>2</v>
      </c>
      <c r="D37" s="10">
        <v>0</v>
      </c>
      <c r="E37" s="10">
        <v>0</v>
      </c>
      <c r="F37" s="10">
        <v>36</v>
      </c>
      <c r="G37" s="10">
        <v>27</v>
      </c>
      <c r="H37" s="39">
        <v>8</v>
      </c>
      <c r="I37" s="10">
        <v>3</v>
      </c>
      <c r="J37" s="10">
        <v>0</v>
      </c>
      <c r="K37" s="10">
        <v>8</v>
      </c>
      <c r="L37" s="10">
        <v>1</v>
      </c>
      <c r="M37" s="10">
        <v>10</v>
      </c>
      <c r="N37" s="10">
        <v>4</v>
      </c>
      <c r="O37" s="10">
        <v>1</v>
      </c>
      <c r="P37" s="40" cm="1">
        <f t="array" ref="P37">O37*9/H37</f>
        <v>1.125</v>
      </c>
      <c r="Q37" s="41" cm="1">
        <f t="array" ref="Q37">(K37+L37)/H37</f>
        <v>1.125</v>
      </c>
      <c r="R37" s="42" cm="1">
        <f t="array" ref="R37">I37/H37</f>
        <v>0.375</v>
      </c>
      <c r="S37" s="42" cm="1">
        <f t="array" ref="S37">H37/B37</f>
        <v>4</v>
      </c>
      <c r="T37" s="41" cm="1">
        <f t="array" ref="T37">M37/H37</f>
        <v>1.25</v>
      </c>
      <c r="U37" s="44" cm="1">
        <f t="array" ref="U37">O37/N37</f>
        <v>0.25</v>
      </c>
      <c r="V37" s="41" cm="1">
        <f t="array" ref="V37">(I37+K37)/H37</f>
        <v>1.375</v>
      </c>
      <c r="W37" s="9"/>
      <c r="X37" s="3"/>
      <c r="Y37" s="3"/>
    </row>
    <row r="38" ht="17.25" customHeight="1">
      <c r="A38" t="s" s="29">
        <v>45</v>
      </c>
      <c r="B38" s="124"/>
      <c r="C38" s="49" cm="1">
        <f t="array" ref="C38">SUM(C28:C37)</f>
        <v>8</v>
      </c>
      <c r="D38" s="49" cm="1">
        <f t="array" ref="D38">SUM(D28:D37)</f>
        <v>2</v>
      </c>
      <c r="E38" s="49" cm="1">
        <f t="array" ref="E38">SUM(E28:E37)</f>
        <v>0</v>
      </c>
      <c r="F38" s="49" cm="1">
        <f t="array" ref="F38">SUM(F28:F37)</f>
        <v>241</v>
      </c>
      <c r="G38" s="49" cm="1">
        <f t="array" ref="G38">SUM(G28:G37)</f>
        <v>204</v>
      </c>
      <c r="H38" s="50" cm="1">
        <f t="array" ref="H38">SUM(H28:H37)</f>
        <v>48</v>
      </c>
      <c r="I38" s="49" cm="1">
        <f t="array" ref="I38">SUM(I28:I37)</f>
        <v>49</v>
      </c>
      <c r="J38" s="49" cm="1">
        <f t="array" ref="J38">SUM(J28:J37)</f>
        <v>0</v>
      </c>
      <c r="K38" s="49" cm="1">
        <f t="array" ref="K38">SUM(K28:K37)</f>
        <v>37</v>
      </c>
      <c r="L38" s="49" cm="1">
        <f t="array" ref="L38">SUM(L28:L37)</f>
        <v>6</v>
      </c>
      <c r="M38" s="49" cm="1">
        <f t="array" ref="M38">SUM(M28:M37)</f>
        <v>59</v>
      </c>
      <c r="N38" s="49" cm="1">
        <f t="array" ref="N38">SUM(N28:N37)</f>
        <v>49</v>
      </c>
      <c r="O38" s="49" cm="1">
        <f t="array" ref="O38">SUM(O28:O37)</f>
        <v>24</v>
      </c>
      <c r="P38" s="51" cm="1">
        <f t="array" ref="P38">O38*9/H38</f>
        <v>4.5</v>
      </c>
      <c r="Q38" s="52" cm="1">
        <f t="array" ref="Q38">(K38+L38)/H38</f>
        <v>0.895833333333333</v>
      </c>
      <c r="R38" s="53" cm="1">
        <f t="array" ref="R38">I38/H38</f>
        <v>1.02083333333333</v>
      </c>
      <c r="S38" s="53" cm="1">
        <f t="array" ref="S38">H38/B38</f>
      </c>
      <c r="T38" s="52" cm="1">
        <f t="array" ref="T38">M38/H38</f>
        <v>1.22916666666667</v>
      </c>
      <c r="U38" s="55" cm="1">
        <f t="array" ref="U38">O38/N38</f>
        <v>0.489795918367347</v>
      </c>
      <c r="V38" s="52" cm="1">
        <f t="array" ref="V38">(I38+K38+L38)/H38</f>
        <v>1.91666666666667</v>
      </c>
      <c r="W38" s="9"/>
      <c r="X38" s="3"/>
      <c r="Y38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Y38"/>
  <sheetViews>
    <sheetView workbookViewId="0" showGridLines="0" defaultGridColor="1"/>
  </sheetViews>
  <sheetFormatPr defaultColWidth="9" defaultRowHeight="16.5" customHeight="1" outlineLevelRow="0" outlineLevelCol="0"/>
  <cols>
    <col min="1" max="18" width="8.17188" style="210" customWidth="1"/>
    <col min="19" max="19" width="10.8516" style="210" customWidth="1"/>
    <col min="20" max="20" width="8.17188" style="210" customWidth="1"/>
    <col min="21" max="25" width="9" style="210" customWidth="1"/>
    <col min="26" max="16384" width="9" style="210" customWidth="1"/>
  </cols>
  <sheetData>
    <row r="1" ht="26.25" customHeight="1">
      <c r="A1" t="s" s="2">
        <v>165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3"/>
      <c r="Y2" s="3"/>
    </row>
    <row r="3" ht="34.5" customHeight="1">
      <c r="A3" t="s" s="8">
        <v>101</v>
      </c>
      <c r="B3" t="s" s="8">
        <v>102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21</v>
      </c>
      <c r="U3" t="s" s="8">
        <v>22</v>
      </c>
      <c r="V3" t="s" s="8">
        <v>23</v>
      </c>
      <c r="W3" t="s" s="8">
        <v>114</v>
      </c>
      <c r="X3" s="9"/>
      <c r="Y3" s="3"/>
    </row>
    <row r="4" ht="17.25" customHeight="1">
      <c r="A4" t="s" s="8">
        <v>24</v>
      </c>
      <c r="B4" s="10">
        <v>5</v>
      </c>
      <c r="C4" s="206" cm="1">
        <f t="array" ref="C4">F4/E4</f>
        <v>0.0909090909090909</v>
      </c>
      <c r="D4" s="10">
        <v>14</v>
      </c>
      <c r="E4" s="10">
        <v>11</v>
      </c>
      <c r="F4" s="10">
        <v>1</v>
      </c>
      <c r="G4" s="10" cm="1">
        <f t="array" ref="G4">F4-(H4+I4+J4)</f>
        <v>1</v>
      </c>
      <c r="H4" s="10">
        <v>0</v>
      </c>
      <c r="I4" s="10">
        <v>0</v>
      </c>
      <c r="J4" s="10">
        <v>0</v>
      </c>
      <c r="K4" s="10">
        <v>3</v>
      </c>
      <c r="L4" s="10">
        <v>1</v>
      </c>
      <c r="M4" s="10">
        <v>3</v>
      </c>
      <c r="N4" s="10">
        <v>3</v>
      </c>
      <c r="O4" s="10">
        <v>5</v>
      </c>
      <c r="P4" s="12" cm="1">
        <f t="array" ref="P4">O4/D4</f>
        <v>0.357142857142857</v>
      </c>
      <c r="Q4" s="13" cm="1">
        <f t="array" ref="Q4">(G4*1+H4*2+I4*3+J4*4)/E4</f>
        <v>0.0909090909090909</v>
      </c>
      <c r="R4" s="13" cm="1">
        <f t="array" ref="R4">(F4+N4)/D4</f>
        <v>0.285714285714286</v>
      </c>
      <c r="S4" s="15" cm="1">
        <f t="array" ref="S4">R4+Q4</f>
        <v>0.376623376623377</v>
      </c>
      <c r="T4" s="153" cm="1">
        <f t="array" ref="T4">O4/(D4-(F4+N4))</f>
        <v>0.5</v>
      </c>
      <c r="U4" s="17" cm="1">
        <f t="array" ref="U4">RANK(R4,$R$4:$R$23)</f>
        <v>15</v>
      </c>
      <c r="V4" s="18" cm="1">
        <f t="array" ref="V4">RANK(S4,$S$4:$S$23)</f>
        <v>16</v>
      </c>
      <c r="W4" s="158"/>
      <c r="X4" s="9"/>
      <c r="Y4" s="78"/>
    </row>
    <row r="5" ht="17.25" customHeight="1">
      <c r="A5" t="s" s="8">
        <v>25</v>
      </c>
      <c r="B5" s="10">
        <v>5</v>
      </c>
      <c r="C5" s="206" cm="1">
        <f t="array" ref="C5">F5/E5</f>
        <v>0</v>
      </c>
      <c r="D5" s="10">
        <v>9</v>
      </c>
      <c r="E5" s="10">
        <v>6</v>
      </c>
      <c r="F5" s="10">
        <v>0</v>
      </c>
      <c r="G5" s="10" cm="1">
        <f t="array" ref="G5">F5-(H5+I5+J5)</f>
        <v>0</v>
      </c>
      <c r="H5" s="10">
        <v>0</v>
      </c>
      <c r="I5" s="10">
        <v>0</v>
      </c>
      <c r="J5" s="10">
        <v>0</v>
      </c>
      <c r="K5" s="10">
        <v>1</v>
      </c>
      <c r="L5" s="10">
        <v>0</v>
      </c>
      <c r="M5" s="10">
        <v>0</v>
      </c>
      <c r="N5" s="10">
        <v>3</v>
      </c>
      <c r="O5" s="10">
        <v>5</v>
      </c>
      <c r="P5" s="12" cm="1">
        <f t="array" ref="P5">O5/D5</f>
        <v>0.555555555555556</v>
      </c>
      <c r="Q5" s="13" cm="1">
        <f t="array" ref="Q5">(G5*1+H5*2+I5*3+J5*4)/E5</f>
        <v>0</v>
      </c>
      <c r="R5" s="13" cm="1">
        <f t="array" ref="R5">(F5+N5)/D5</f>
        <v>0.333333333333333</v>
      </c>
      <c r="S5" s="15" cm="1">
        <f t="array" ref="S5">R5+Q5</f>
        <v>0.333333333333333</v>
      </c>
      <c r="T5" s="153" cm="1">
        <f t="array" ref="T5">O5/(D5-(F5+N5))</f>
        <v>0.833333333333333</v>
      </c>
      <c r="U5" s="17" cm="1">
        <f t="array" ref="U5">RANK(R5,$R$4:$R$23)</f>
        <v>13</v>
      </c>
      <c r="V5" s="18" cm="1">
        <f t="array" ref="V5">RANK(S5,$S$4:$S$23)</f>
        <v>17</v>
      </c>
      <c r="W5" s="158"/>
      <c r="X5" s="9"/>
      <c r="Y5" s="78"/>
    </row>
    <row r="6" ht="17.25" customHeight="1">
      <c r="A6" t="s" s="8">
        <v>26</v>
      </c>
      <c r="B6" s="10">
        <v>5</v>
      </c>
      <c r="C6" s="206" cm="1">
        <f t="array" ref="C6">F6/E6</f>
        <v>0.6</v>
      </c>
      <c r="D6" s="10">
        <v>10</v>
      </c>
      <c r="E6" s="10">
        <v>10</v>
      </c>
      <c r="F6" s="10">
        <v>6</v>
      </c>
      <c r="G6" s="10" cm="1">
        <f t="array" ref="G6">F6-(H6+I6+J6)</f>
        <v>5</v>
      </c>
      <c r="H6" s="10">
        <v>1</v>
      </c>
      <c r="I6" s="10">
        <v>0</v>
      </c>
      <c r="J6" s="10">
        <v>0</v>
      </c>
      <c r="K6" s="10">
        <v>1</v>
      </c>
      <c r="L6" s="10">
        <v>8</v>
      </c>
      <c r="M6" s="10">
        <v>1</v>
      </c>
      <c r="N6" s="10">
        <v>0</v>
      </c>
      <c r="O6" s="10">
        <v>0</v>
      </c>
      <c r="P6" s="12" cm="1">
        <f t="array" ref="P6">O6/D6</f>
        <v>0</v>
      </c>
      <c r="Q6" s="13" cm="1">
        <f t="array" ref="Q6">(G6*1+H6*2+I6*3+J6*4)/E6</f>
        <v>0.7</v>
      </c>
      <c r="R6" s="13" cm="1">
        <f t="array" ref="R6">(F6+N6)/D6</f>
        <v>0.6</v>
      </c>
      <c r="S6" s="15" cm="1">
        <f t="array" ref="S6">R6+Q6</f>
        <v>1.3</v>
      </c>
      <c r="T6" s="153"/>
      <c r="U6" s="17" cm="1">
        <f t="array" ref="U6">RANK(R6,$R$4:$R$23)</f>
        <v>5</v>
      </c>
      <c r="V6" s="18" cm="1">
        <f t="array" ref="V6">RANK(S6,$S$4:$S$23)</f>
        <v>4</v>
      </c>
      <c r="W6" s="158"/>
      <c r="X6" s="9"/>
      <c r="Y6" s="78"/>
    </row>
    <row r="7" ht="17.25" customHeight="1">
      <c r="A7" t="s" s="8">
        <v>27</v>
      </c>
      <c r="B7" s="10">
        <v>1</v>
      </c>
      <c r="C7" s="206" cm="1">
        <f t="array" ref="C7">F7/E7</f>
        <v>0</v>
      </c>
      <c r="D7" s="10">
        <v>1</v>
      </c>
      <c r="E7" s="10">
        <v>1</v>
      </c>
      <c r="F7" s="10">
        <v>0</v>
      </c>
      <c r="G7" s="10" cm="1">
        <f t="array" ref="G7">F7-(H7+I7+J7)</f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52"/>
      <c r="Q7" s="13"/>
      <c r="R7" s="13"/>
      <c r="S7" s="15"/>
      <c r="T7" s="153"/>
      <c r="U7" s="159"/>
      <c r="V7" s="160"/>
      <c r="W7" s="158"/>
      <c r="X7" s="9"/>
      <c r="Y7" s="78"/>
    </row>
    <row r="8" ht="17.25" customHeight="1">
      <c r="A8" t="s" s="8">
        <v>28</v>
      </c>
      <c r="B8" s="10">
        <v>7</v>
      </c>
      <c r="C8" s="206" cm="1">
        <f t="array" ref="C8">F8/E8</f>
        <v>0.5</v>
      </c>
      <c r="D8" s="10">
        <v>20</v>
      </c>
      <c r="E8" s="10">
        <v>14</v>
      </c>
      <c r="F8" s="10">
        <v>7</v>
      </c>
      <c r="G8" s="10" cm="1">
        <f t="array" ref="G8">F8-(H8+I8+J8)</f>
        <v>4</v>
      </c>
      <c r="H8" s="10">
        <v>2</v>
      </c>
      <c r="I8" s="10">
        <v>0</v>
      </c>
      <c r="J8" s="10">
        <v>1</v>
      </c>
      <c r="K8" s="10">
        <v>9</v>
      </c>
      <c r="L8" s="10">
        <v>7</v>
      </c>
      <c r="M8" s="10">
        <v>2</v>
      </c>
      <c r="N8" s="10">
        <v>6</v>
      </c>
      <c r="O8" s="10">
        <v>2</v>
      </c>
      <c r="P8" s="12" cm="1">
        <f t="array" ref="P8">O8/D8</f>
        <v>0.1</v>
      </c>
      <c r="Q8" s="13" cm="1">
        <f t="array" ref="Q8">(G8*1+H8*2+I8*3+J8*4)/E8</f>
        <v>0.857142857142857</v>
      </c>
      <c r="R8" s="13" cm="1">
        <f t="array" ref="R8">(F8+N8)/D8</f>
        <v>0.65</v>
      </c>
      <c r="S8" s="15" cm="1">
        <f t="array" ref="S8">R8+Q8</f>
        <v>1.50714285714286</v>
      </c>
      <c r="T8" s="153" cm="1">
        <f t="array" ref="T8">O8/(D8-(F8+N8))</f>
        <v>0.285714285714286</v>
      </c>
      <c r="U8" s="17" cm="1">
        <f t="array" ref="U8">RANK(R8,$R$4:$R$23)</f>
        <v>4</v>
      </c>
      <c r="V8" s="18" cm="1">
        <f t="array" ref="V8">RANK(S8,$S$4:$S$23)</f>
        <v>1</v>
      </c>
      <c r="W8" s="48">
        <v>1</v>
      </c>
      <c r="X8" s="9"/>
      <c r="Y8" s="78"/>
    </row>
    <row r="9" ht="17.25" customHeight="1">
      <c r="A9" t="s" s="8">
        <v>29</v>
      </c>
      <c r="B9" s="10">
        <v>2</v>
      </c>
      <c r="C9" s="206" cm="1">
        <f t="array" ref="C9">F9/E9</f>
        <v>0.25</v>
      </c>
      <c r="D9" s="10">
        <v>5</v>
      </c>
      <c r="E9" s="10">
        <v>4</v>
      </c>
      <c r="F9" s="10">
        <v>1</v>
      </c>
      <c r="G9" s="10" cm="1">
        <f t="array" ref="G9">F9-(H9+I9+J9)</f>
        <v>1</v>
      </c>
      <c r="H9" s="10">
        <v>0</v>
      </c>
      <c r="I9" s="10">
        <v>0</v>
      </c>
      <c r="J9" s="10">
        <v>0</v>
      </c>
      <c r="K9" s="10">
        <v>2</v>
      </c>
      <c r="L9" s="10">
        <v>1</v>
      </c>
      <c r="M9" s="10">
        <v>1</v>
      </c>
      <c r="N9" s="10">
        <v>1</v>
      </c>
      <c r="O9" s="10">
        <v>0</v>
      </c>
      <c r="P9" s="152" cm="1">
        <f t="array" ref="P9">O9/D9</f>
        <v>0</v>
      </c>
      <c r="Q9" s="13" cm="1">
        <f t="array" ref="Q9">(G9*1+H9*2+I9*3+J9*4)/E9</f>
        <v>0.25</v>
      </c>
      <c r="R9" s="13" cm="1">
        <f t="array" ref="R9">(F9+N9)/D9</f>
        <v>0.4</v>
      </c>
      <c r="S9" s="15" cm="1">
        <f t="array" ref="S9">R9+Q9</f>
        <v>0.65</v>
      </c>
      <c r="T9" s="153"/>
      <c r="U9" s="17" cm="1">
        <f t="array" ref="U9">RANK(R9,$R$4:$R$23)</f>
        <v>10</v>
      </c>
      <c r="V9" s="18" cm="1">
        <f t="array" ref="V9">RANK(S9,$S$4:$S$23)</f>
        <v>14</v>
      </c>
      <c r="W9" s="158"/>
      <c r="X9" s="9"/>
      <c r="Y9" s="78"/>
    </row>
    <row r="10" ht="17.25" customHeight="1">
      <c r="A10" t="s" s="8">
        <v>30</v>
      </c>
      <c r="B10" s="10">
        <v>6</v>
      </c>
      <c r="C10" s="206" cm="1">
        <f t="array" ref="C10">F10/E10</f>
        <v>0.5</v>
      </c>
      <c r="D10" s="10">
        <v>12</v>
      </c>
      <c r="E10" s="10">
        <v>10</v>
      </c>
      <c r="F10" s="10">
        <v>5</v>
      </c>
      <c r="G10" s="10" cm="1">
        <f t="array" ref="G10">F10-(H10+I10+J10)</f>
        <v>4</v>
      </c>
      <c r="H10" s="10">
        <v>1</v>
      </c>
      <c r="I10" s="10">
        <v>0</v>
      </c>
      <c r="J10" s="10">
        <v>0</v>
      </c>
      <c r="K10" s="10">
        <v>3</v>
      </c>
      <c r="L10" s="10">
        <v>3</v>
      </c>
      <c r="M10" s="10">
        <v>10</v>
      </c>
      <c r="N10" s="10">
        <v>2</v>
      </c>
      <c r="O10" s="10">
        <v>2</v>
      </c>
      <c r="P10" s="12" cm="1">
        <f t="array" ref="P10">O10/D10</f>
        <v>0.166666666666667</v>
      </c>
      <c r="Q10" s="13" cm="1">
        <f t="array" ref="Q10">(G10*1+H10*2+I10*3+J10*4)/E10</f>
        <v>0.6</v>
      </c>
      <c r="R10" s="13" cm="1">
        <f t="array" ref="R10">(F10+N10)/D10</f>
        <v>0.583333333333333</v>
      </c>
      <c r="S10" s="15" cm="1">
        <f t="array" ref="S10">R10+Q10</f>
        <v>1.18333333333333</v>
      </c>
      <c r="T10" s="153"/>
      <c r="U10" s="17" cm="1">
        <f t="array" ref="U10">RANK(R10,$R$4:$R$23)</f>
        <v>6</v>
      </c>
      <c r="V10" s="18" cm="1">
        <f t="array" ref="V10">RANK(S10,$S$4:$S$23)</f>
        <v>6</v>
      </c>
      <c r="W10" s="158"/>
      <c r="X10" s="9"/>
      <c r="Y10" s="78"/>
    </row>
    <row r="11" ht="17.25" customHeight="1">
      <c r="A11" t="s" s="8">
        <v>31</v>
      </c>
      <c r="B11" s="10">
        <v>5</v>
      </c>
      <c r="C11" s="206" cm="1">
        <f t="array" ref="C11">F11/E11</f>
        <v>0.3</v>
      </c>
      <c r="D11" s="10">
        <v>11</v>
      </c>
      <c r="E11" s="10">
        <v>10</v>
      </c>
      <c r="F11" s="10">
        <v>3</v>
      </c>
      <c r="G11" s="10" cm="1">
        <f t="array" ref="G11">F11-(H11+I11+J11)</f>
        <v>2</v>
      </c>
      <c r="H11" s="10">
        <v>1</v>
      </c>
      <c r="I11" s="10">
        <v>0</v>
      </c>
      <c r="J11" s="10">
        <v>0</v>
      </c>
      <c r="K11" s="10">
        <v>2</v>
      </c>
      <c r="L11" s="10">
        <v>1</v>
      </c>
      <c r="M11" s="10">
        <v>5</v>
      </c>
      <c r="N11" s="10">
        <v>1</v>
      </c>
      <c r="O11" s="10">
        <v>2</v>
      </c>
      <c r="P11" s="12" cm="1">
        <f t="array" ref="P11">O11/D11</f>
        <v>0.181818181818182</v>
      </c>
      <c r="Q11" s="13" cm="1">
        <f t="array" ref="Q11">(G11*1+H11*2+I11*3+J11*4)/E11</f>
        <v>0.4</v>
      </c>
      <c r="R11" s="13" cm="1">
        <f t="array" ref="R11">(F11+N11)/D11</f>
        <v>0.363636363636364</v>
      </c>
      <c r="S11" s="15" cm="1">
        <f t="array" ref="S11">R11+Q11</f>
        <v>0.763636363636364</v>
      </c>
      <c r="T11" s="153" cm="1">
        <f t="array" ref="T11">O11/(D11-(F11+N11))</f>
        <v>0.285714285714286</v>
      </c>
      <c r="U11" s="17" cm="1">
        <f t="array" ref="U11">RANK(R11,$R$4:$R$23)</f>
        <v>12</v>
      </c>
      <c r="V11" s="18" cm="1">
        <f t="array" ref="V11">RANK(S11,$S$4:$S$23)</f>
        <v>11</v>
      </c>
      <c r="W11" s="158"/>
      <c r="X11" s="9"/>
      <c r="Y11" s="78"/>
    </row>
    <row r="12" ht="17.25" customHeight="1">
      <c r="A12" t="s" s="8">
        <v>32</v>
      </c>
      <c r="B12" s="10">
        <v>3</v>
      </c>
      <c r="C12" s="206" cm="1">
        <f t="array" ref="C12">F12/E12</f>
        <v>0.285714285714286</v>
      </c>
      <c r="D12" s="10">
        <v>8</v>
      </c>
      <c r="E12" s="10">
        <v>7</v>
      </c>
      <c r="F12" s="10">
        <v>2</v>
      </c>
      <c r="G12" s="10" cm="1">
        <f t="array" ref="G12">F12-(H12+I12+J12)</f>
        <v>2</v>
      </c>
      <c r="H12" s="10">
        <v>0</v>
      </c>
      <c r="I12" s="10">
        <v>0</v>
      </c>
      <c r="J12" s="10">
        <v>0</v>
      </c>
      <c r="K12" s="10">
        <v>4</v>
      </c>
      <c r="L12" s="10">
        <v>3</v>
      </c>
      <c r="M12" s="10">
        <v>2</v>
      </c>
      <c r="N12" s="10">
        <v>0</v>
      </c>
      <c r="O12" s="10">
        <v>0</v>
      </c>
      <c r="P12" s="12" cm="1">
        <f t="array" ref="P12">O12/D12</f>
        <v>0</v>
      </c>
      <c r="Q12" s="13" cm="1">
        <f t="array" ref="Q12">(G12*1+H12*2+I12*3+J12*4)/E12</f>
        <v>0.285714285714286</v>
      </c>
      <c r="R12" s="13" cm="1">
        <f t="array" ref="R12">(F12+N12)/D12</f>
        <v>0.25</v>
      </c>
      <c r="S12" s="15" cm="1">
        <f t="array" ref="S12">R12+Q12</f>
        <v>0.535714285714286</v>
      </c>
      <c r="T12" s="153" cm="1">
        <f t="array" ref="T12">O12/(D12-(F12+N12))</f>
        <v>0</v>
      </c>
      <c r="U12" s="17" cm="1">
        <f t="array" ref="U12">RANK(R12,$R$4:$R$23)</f>
        <v>16</v>
      </c>
      <c r="V12" s="18" cm="1">
        <f t="array" ref="V12">RANK(S12,$S$4:$S$23)</f>
        <v>15</v>
      </c>
      <c r="W12" s="158"/>
      <c r="X12" s="9"/>
      <c r="Y12" s="78"/>
    </row>
    <row r="13" ht="17.25" customHeight="1">
      <c r="A13" t="s" s="8">
        <v>33</v>
      </c>
      <c r="B13" s="10">
        <v>1</v>
      </c>
      <c r="C13" s="206" cm="1">
        <f t="array" ref="C13">F13/E13</f>
        <v>0</v>
      </c>
      <c r="D13" s="10">
        <v>2</v>
      </c>
      <c r="E13" s="10">
        <v>2</v>
      </c>
      <c r="F13" s="10">
        <v>0</v>
      </c>
      <c r="G13" s="10" cm="1">
        <f t="array" ref="G13">F13-(H13+I13+J13)</f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52" cm="1">
        <f t="array" ref="P13">O13/D13</f>
        <v>0</v>
      </c>
      <c r="Q13" s="13" cm="1">
        <f t="array" ref="Q13">(G13*1+H13*2+I13*3+J13*4)/E13</f>
        <v>0</v>
      </c>
      <c r="R13" s="13" cm="1">
        <f t="array" ref="R13">(F13+N13)/D13</f>
        <v>0</v>
      </c>
      <c r="S13" s="15" cm="1">
        <f t="array" ref="S13">R13+Q13</f>
        <v>0</v>
      </c>
      <c r="T13" s="153"/>
      <c r="U13" s="17" cm="1">
        <f t="array" ref="U13">RANK(R13,$R$4:$R$23)</f>
        <v>19</v>
      </c>
      <c r="V13" s="18" cm="1">
        <f t="array" ref="V13">RANK(S13,$S$4:$S$23)</f>
        <v>19</v>
      </c>
      <c r="W13" s="158"/>
      <c r="X13" s="9"/>
      <c r="Y13" s="78"/>
    </row>
    <row r="14" ht="17.25" customHeight="1">
      <c r="A14" t="s" s="8">
        <v>35</v>
      </c>
      <c r="B14" s="10">
        <v>7</v>
      </c>
      <c r="C14" s="206" cm="1">
        <f t="array" ref="C14">F14/E14</f>
        <v>0.333333333333333</v>
      </c>
      <c r="D14" s="10">
        <v>19</v>
      </c>
      <c r="E14" s="10">
        <v>15</v>
      </c>
      <c r="F14" s="10">
        <v>5</v>
      </c>
      <c r="G14" s="10" cm="1">
        <f t="array" ref="G14">F14-(H14+I14+J14)</f>
        <v>4</v>
      </c>
      <c r="H14" s="10">
        <v>1</v>
      </c>
      <c r="I14" s="10">
        <v>0</v>
      </c>
      <c r="J14" s="10">
        <v>0</v>
      </c>
      <c r="K14" s="10">
        <v>7</v>
      </c>
      <c r="L14" s="10">
        <v>3</v>
      </c>
      <c r="M14" s="10">
        <v>6</v>
      </c>
      <c r="N14" s="10">
        <v>3</v>
      </c>
      <c r="O14" s="10">
        <v>7</v>
      </c>
      <c r="P14" s="12" cm="1">
        <f t="array" ref="P14">O14/D14</f>
        <v>0.368421052631579</v>
      </c>
      <c r="Q14" s="13" cm="1">
        <f t="array" ref="Q14">(G14*1+H14*2+I14*3+J14*4)/E14</f>
        <v>0.4</v>
      </c>
      <c r="R14" s="13" cm="1">
        <f t="array" ref="R14">(F14+N14)/D14</f>
        <v>0.421052631578947</v>
      </c>
      <c r="S14" s="15" cm="1">
        <f t="array" ref="S14">R14+Q14</f>
        <v>0.821052631578947</v>
      </c>
      <c r="T14" s="153" cm="1">
        <f t="array" ref="T14">O14/(D14-(F14+N14))</f>
        <v>0.636363636363636</v>
      </c>
      <c r="U14" s="17" cm="1">
        <f t="array" ref="U14">RANK(R14,$R$4:$R$23)</f>
        <v>9</v>
      </c>
      <c r="V14" s="18" cm="1">
        <f t="array" ref="V14">RANK(S14,$S$4:$S$23)</f>
        <v>9</v>
      </c>
      <c r="W14" s="158"/>
      <c r="X14" s="9"/>
      <c r="Y14" s="78"/>
    </row>
    <row r="15" ht="17.25" customHeight="1">
      <c r="A15" t="s" s="8">
        <v>36</v>
      </c>
      <c r="B15" s="10">
        <v>4</v>
      </c>
      <c r="C15" s="206" cm="1">
        <f t="array" ref="C15">F15/E15</f>
        <v>0.285714285714286</v>
      </c>
      <c r="D15" s="10">
        <v>8</v>
      </c>
      <c r="E15" s="10">
        <v>7</v>
      </c>
      <c r="F15" s="10">
        <v>2</v>
      </c>
      <c r="G15" s="10" cm="1">
        <f t="array" ref="G15">F15-(H15+I15+J15)</f>
        <v>1</v>
      </c>
      <c r="H15" s="10">
        <v>1</v>
      </c>
      <c r="I15" s="10">
        <v>0</v>
      </c>
      <c r="J15" s="10">
        <v>0</v>
      </c>
      <c r="K15" s="10">
        <v>3</v>
      </c>
      <c r="L15" s="10">
        <v>2</v>
      </c>
      <c r="M15" s="10">
        <v>1</v>
      </c>
      <c r="N15" s="10">
        <v>0</v>
      </c>
      <c r="O15" s="10">
        <v>2</v>
      </c>
      <c r="P15" s="12" cm="1">
        <f t="array" ref="P15">O15/D15</f>
        <v>0.25</v>
      </c>
      <c r="Q15" s="13" cm="1">
        <f t="array" ref="Q15">(G15*1+H15*2+I15*3+J15*4)/E15</f>
        <v>0.428571428571429</v>
      </c>
      <c r="R15" s="13" cm="1">
        <f t="array" ref="R15">(F15+N15)/D15</f>
        <v>0.25</v>
      </c>
      <c r="S15" s="15" cm="1">
        <f t="array" ref="S15">R15+Q15</f>
        <v>0.678571428571429</v>
      </c>
      <c r="T15" s="153" cm="1">
        <f t="array" ref="T15">O15/(D15-(F15+N15))</f>
        <v>0.333333333333333</v>
      </c>
      <c r="U15" s="17" cm="1">
        <f t="array" ref="U15">RANK(R15,$R$4:$R$23)</f>
        <v>16</v>
      </c>
      <c r="V15" s="18" cm="1">
        <f t="array" ref="V15">RANK(S15,$S$4:$S$23)</f>
        <v>12</v>
      </c>
      <c r="W15" s="158"/>
      <c r="X15" s="9"/>
      <c r="Y15" s="78"/>
    </row>
    <row r="16" ht="17.25" customHeight="1">
      <c r="A16" t="s" s="8">
        <v>37</v>
      </c>
      <c r="B16" s="10">
        <v>5</v>
      </c>
      <c r="C16" s="206" cm="1">
        <f t="array" ref="C16">F16/E16</f>
        <v>0.625</v>
      </c>
      <c r="D16" s="10">
        <v>11</v>
      </c>
      <c r="E16" s="10">
        <v>8</v>
      </c>
      <c r="F16" s="10">
        <v>5</v>
      </c>
      <c r="G16" s="10" cm="1">
        <f t="array" ref="G16">F16-(H16+I16+J16)</f>
        <v>5</v>
      </c>
      <c r="H16" s="10">
        <v>0</v>
      </c>
      <c r="I16" s="10">
        <v>0</v>
      </c>
      <c r="J16" s="10">
        <v>0</v>
      </c>
      <c r="K16" s="10">
        <v>3</v>
      </c>
      <c r="L16" s="10">
        <v>1</v>
      </c>
      <c r="M16" s="10">
        <v>5</v>
      </c>
      <c r="N16" s="10">
        <v>3</v>
      </c>
      <c r="O16" s="10">
        <v>1</v>
      </c>
      <c r="P16" s="12" cm="1">
        <f t="array" ref="P16">O16/D16</f>
        <v>0.0909090909090909</v>
      </c>
      <c r="Q16" s="13" cm="1">
        <f t="array" ref="Q16">(G16*1+H16*2+I16*3+J16*4)/E16</f>
        <v>0.625</v>
      </c>
      <c r="R16" s="13" cm="1">
        <f t="array" ref="R16">(F16+N16)/D16</f>
        <v>0.727272727272727</v>
      </c>
      <c r="S16" s="15" cm="1">
        <f t="array" ref="S16">R16+Q16</f>
        <v>1.35227272727273</v>
      </c>
      <c r="T16" s="153"/>
      <c r="U16" s="17" cm="1">
        <f t="array" ref="U16">RANK(R16,$R$4:$R$23)</f>
        <v>2</v>
      </c>
      <c r="V16" s="18" cm="1">
        <f t="array" ref="V16">RANK(S16,$S$4:$S$23)</f>
        <v>3</v>
      </c>
      <c r="W16" s="158"/>
      <c r="X16" s="9"/>
      <c r="Y16" s="78"/>
    </row>
    <row r="17" ht="17.25" customHeight="1">
      <c r="A17" t="s" s="8">
        <v>38</v>
      </c>
      <c r="B17" s="10">
        <v>7</v>
      </c>
      <c r="C17" s="206" cm="1">
        <f t="array" ref="C17">F17/E17</f>
        <v>0.411764705882353</v>
      </c>
      <c r="D17" s="10">
        <v>18</v>
      </c>
      <c r="E17" s="10">
        <v>17</v>
      </c>
      <c r="F17" s="10">
        <v>7</v>
      </c>
      <c r="G17" s="10" cm="1">
        <f t="array" ref="G17">F17-(H17+I17+J17)</f>
        <v>5</v>
      </c>
      <c r="H17" s="10">
        <v>2</v>
      </c>
      <c r="I17" s="10">
        <v>0</v>
      </c>
      <c r="J17" s="10">
        <v>0</v>
      </c>
      <c r="K17" s="10">
        <v>6</v>
      </c>
      <c r="L17" s="10">
        <v>6</v>
      </c>
      <c r="M17" s="10">
        <v>3</v>
      </c>
      <c r="N17" s="10">
        <v>1</v>
      </c>
      <c r="O17" s="10">
        <v>3</v>
      </c>
      <c r="P17" s="12" cm="1">
        <f t="array" ref="P17">O17/D17</f>
        <v>0.166666666666667</v>
      </c>
      <c r="Q17" s="13" cm="1">
        <f t="array" ref="Q17">(G17*1+H17*2+I17*3+J17*4)/E17</f>
        <v>0.529411764705882</v>
      </c>
      <c r="R17" s="13" cm="1">
        <f t="array" ref="R17">(F17+N17)/D17</f>
        <v>0.444444444444444</v>
      </c>
      <c r="S17" s="15" cm="1">
        <f t="array" ref="S17">R17+Q17</f>
        <v>0.973856209150326</v>
      </c>
      <c r="T17" s="153" cm="1">
        <f t="array" ref="T17">O17/(D17-(F17+N17))</f>
        <v>0.3</v>
      </c>
      <c r="U17" s="17" cm="1">
        <f t="array" ref="U17">RANK(R17,$R$4:$R$23)</f>
        <v>8</v>
      </c>
      <c r="V17" s="18" cm="1">
        <f t="array" ref="V17">RANK(S17,$S$4:$S$23)</f>
        <v>7</v>
      </c>
      <c r="W17" s="48">
        <v>1</v>
      </c>
      <c r="X17" s="9"/>
      <c r="Y17" s="78"/>
    </row>
    <row r="18" ht="17.25" customHeight="1">
      <c r="A18" t="s" s="8">
        <v>39</v>
      </c>
      <c r="B18" s="10">
        <v>3</v>
      </c>
      <c r="C18" s="206" cm="1">
        <f t="array" ref="C18">F18/E18</f>
        <v>0.4</v>
      </c>
      <c r="D18" s="10">
        <v>6</v>
      </c>
      <c r="E18" s="10">
        <v>5</v>
      </c>
      <c r="F18" s="10">
        <v>2</v>
      </c>
      <c r="G18" s="10" cm="1">
        <f t="array" ref="G18">F18-(H18+I18+J18)</f>
        <v>1</v>
      </c>
      <c r="H18" s="10">
        <v>0</v>
      </c>
      <c r="I18" s="10">
        <v>0</v>
      </c>
      <c r="J18" s="10">
        <v>1</v>
      </c>
      <c r="K18" s="10">
        <v>3</v>
      </c>
      <c r="L18" s="10">
        <v>3</v>
      </c>
      <c r="M18" s="10">
        <v>0</v>
      </c>
      <c r="N18" s="10">
        <v>1</v>
      </c>
      <c r="O18" s="10">
        <v>1</v>
      </c>
      <c r="P18" s="12" cm="1">
        <f t="array" ref="P18">O18/D18</f>
        <v>0.166666666666667</v>
      </c>
      <c r="Q18" s="13" cm="1">
        <f t="array" ref="Q18">(G18*1+H18*2+I18*3+J18*4)/E18</f>
        <v>1</v>
      </c>
      <c r="R18" s="13" cm="1">
        <f t="array" ref="R18">(F18+N18)/D18</f>
        <v>0.5</v>
      </c>
      <c r="S18" s="15" cm="1">
        <f t="array" ref="S18">R18+Q18</f>
        <v>1.5</v>
      </c>
      <c r="T18" s="153" cm="1">
        <f t="array" ref="T18">O18/(D18-(F18+N18))</f>
        <v>0.333333333333333</v>
      </c>
      <c r="U18" s="17" cm="1">
        <f t="array" ref="U18">RANK(R18,$R$4:$R$23)</f>
        <v>7</v>
      </c>
      <c r="V18" s="18" cm="1">
        <f t="array" ref="V18">RANK(S18,$S$4:$S$23)</f>
        <v>2</v>
      </c>
      <c r="W18" s="48">
        <v>1</v>
      </c>
      <c r="X18" s="9"/>
      <c r="Y18" s="78"/>
    </row>
    <row r="19" ht="17.25" customHeight="1">
      <c r="A19" t="s" s="8">
        <v>40</v>
      </c>
      <c r="B19" s="10">
        <v>3</v>
      </c>
      <c r="C19" s="206" cm="1">
        <f t="array" ref="C19">F19/E19</f>
        <v>0</v>
      </c>
      <c r="D19" s="10">
        <v>4</v>
      </c>
      <c r="E19" s="10">
        <v>3</v>
      </c>
      <c r="F19" s="10">
        <v>0</v>
      </c>
      <c r="G19" s="10" cm="1">
        <f t="array" ref="G19">F19-(H19+I19+J19)</f>
        <v>0</v>
      </c>
      <c r="H19" s="10">
        <v>0</v>
      </c>
      <c r="I19" s="10">
        <v>0</v>
      </c>
      <c r="J19" s="10">
        <v>0</v>
      </c>
      <c r="K19" s="10">
        <v>1</v>
      </c>
      <c r="L19" s="10">
        <v>0</v>
      </c>
      <c r="M19" s="10">
        <v>0</v>
      </c>
      <c r="N19" s="10">
        <v>1</v>
      </c>
      <c r="O19" s="10">
        <v>0</v>
      </c>
      <c r="P19" s="12" cm="1">
        <f t="array" ref="P19">O19/D19</f>
        <v>0</v>
      </c>
      <c r="Q19" s="13" cm="1">
        <f t="array" ref="Q19">(G19*1+H19*2+I19*3+J19*4)/E19</f>
        <v>0</v>
      </c>
      <c r="R19" s="13" cm="1">
        <f t="array" ref="R19">(F19+N19)/D19</f>
        <v>0.25</v>
      </c>
      <c r="S19" s="15" cm="1">
        <f t="array" ref="S19">R19+Q19</f>
        <v>0.25</v>
      </c>
      <c r="T19" s="153" cm="1">
        <f t="array" ref="T19">O19/(D19-(F19+N19))</f>
        <v>0</v>
      </c>
      <c r="U19" s="17" cm="1">
        <f t="array" ref="U19">RANK(R19,$R$4:$R$23)</f>
        <v>16</v>
      </c>
      <c r="V19" s="18" cm="1">
        <f t="array" ref="V19">RANK(S19,$S$4:$S$23)</f>
        <v>18</v>
      </c>
      <c r="W19" s="158"/>
      <c r="X19" s="9"/>
      <c r="Y19" s="78"/>
    </row>
    <row r="20" ht="17.25" customHeight="1">
      <c r="A20" t="s" s="8">
        <v>41</v>
      </c>
      <c r="B20" s="10">
        <v>3</v>
      </c>
      <c r="C20" s="206" cm="1">
        <f t="array" ref="C20">F20/E20</f>
        <v>0.75</v>
      </c>
      <c r="D20" s="10">
        <v>5</v>
      </c>
      <c r="E20" s="10">
        <v>4</v>
      </c>
      <c r="F20" s="10">
        <v>3</v>
      </c>
      <c r="G20" s="10" cm="1">
        <f t="array" ref="G20">F20-(H20+I20+J20)</f>
        <v>3</v>
      </c>
      <c r="H20" s="10">
        <v>0</v>
      </c>
      <c r="I20" s="10">
        <v>0</v>
      </c>
      <c r="J20" s="10">
        <v>0</v>
      </c>
      <c r="K20" s="10">
        <v>2</v>
      </c>
      <c r="L20" s="10">
        <v>0</v>
      </c>
      <c r="M20" s="10">
        <v>0</v>
      </c>
      <c r="N20" s="10">
        <v>1</v>
      </c>
      <c r="O20" s="10">
        <v>0</v>
      </c>
      <c r="P20" s="12" cm="1">
        <f t="array" ref="P20">O20/D20</f>
        <v>0</v>
      </c>
      <c r="Q20" s="13"/>
      <c r="R20" s="13" cm="1">
        <f t="array" ref="R20">(F20+N20)/D20</f>
        <v>0.8</v>
      </c>
      <c r="S20" s="15" cm="1">
        <f t="array" ref="S20">R20+Q20</f>
        <v>0.8</v>
      </c>
      <c r="T20" s="153"/>
      <c r="U20" s="17" cm="1">
        <f t="array" ref="U20">RANK(R20,$R$4:$R$23)</f>
        <v>1</v>
      </c>
      <c r="V20" s="18" cm="1">
        <f t="array" ref="V20">RANK(S20,$S$4:$S$23)</f>
        <v>10</v>
      </c>
      <c r="W20" s="48">
        <v>1</v>
      </c>
      <c r="X20" s="9"/>
      <c r="Y20" s="78"/>
    </row>
    <row r="21" ht="17.25" customHeight="1">
      <c r="A21" t="s" s="8">
        <v>42</v>
      </c>
      <c r="B21" s="10">
        <v>5</v>
      </c>
      <c r="C21" s="206" cm="1">
        <f t="array" ref="C21">F21/E21</f>
        <v>0.571428571428571</v>
      </c>
      <c r="D21" s="10">
        <v>13</v>
      </c>
      <c r="E21" s="10">
        <v>7</v>
      </c>
      <c r="F21" s="10">
        <v>4</v>
      </c>
      <c r="G21" s="10" cm="1">
        <f t="array" ref="G21">F21-(H21+I21+J21)</f>
        <v>4</v>
      </c>
      <c r="H21" s="10">
        <v>0</v>
      </c>
      <c r="I21" s="10">
        <v>0</v>
      </c>
      <c r="J21" s="10">
        <v>0</v>
      </c>
      <c r="K21" s="10">
        <v>3</v>
      </c>
      <c r="L21" s="10">
        <v>7</v>
      </c>
      <c r="M21" s="10">
        <v>3</v>
      </c>
      <c r="N21" s="10">
        <v>5</v>
      </c>
      <c r="O21" s="10">
        <v>1</v>
      </c>
      <c r="P21" s="12" cm="1">
        <f t="array" ref="P21">O21/D21</f>
        <v>0.0769230769230769</v>
      </c>
      <c r="Q21" s="13" cm="1">
        <f t="array" ref="Q21">(G21*1+H21*2+I21*3+J21*4)/E21</f>
        <v>0.571428571428571</v>
      </c>
      <c r="R21" s="13" cm="1">
        <f t="array" ref="R21">(F21+N21)/D21</f>
        <v>0.692307692307692</v>
      </c>
      <c r="S21" s="15" cm="1">
        <f t="array" ref="S21">R21+Q21</f>
        <v>1.26373626373626</v>
      </c>
      <c r="T21" s="153"/>
      <c r="U21" s="17" cm="1">
        <f t="array" ref="U21">RANK(R21,$R$4:$R$23)</f>
        <v>3</v>
      </c>
      <c r="V21" s="18" cm="1">
        <f t="array" ref="V21">RANK(S21,$S$4:$S$23)</f>
        <v>5</v>
      </c>
      <c r="W21" s="48">
        <v>2</v>
      </c>
      <c r="X21" s="9"/>
      <c r="Y21" s="78"/>
    </row>
    <row r="22" ht="17.25" customHeight="1">
      <c r="A22" t="s" s="8">
        <v>43</v>
      </c>
      <c r="B22" s="10">
        <v>4</v>
      </c>
      <c r="C22" s="206" cm="1">
        <f t="array" ref="C22">F22/E22</f>
        <v>0.375</v>
      </c>
      <c r="D22" s="10">
        <v>10</v>
      </c>
      <c r="E22" s="10">
        <v>8</v>
      </c>
      <c r="F22" s="10">
        <v>3</v>
      </c>
      <c r="G22" s="10" cm="1">
        <f t="array" ref="G22">F22-(H22+I22+J22)</f>
        <v>2</v>
      </c>
      <c r="H22" s="10">
        <v>1</v>
      </c>
      <c r="I22" s="10">
        <v>0</v>
      </c>
      <c r="J22" s="10">
        <v>0</v>
      </c>
      <c r="K22" s="10">
        <v>3</v>
      </c>
      <c r="L22" s="10">
        <v>4</v>
      </c>
      <c r="M22" s="10">
        <v>2</v>
      </c>
      <c r="N22" s="10">
        <v>1</v>
      </c>
      <c r="O22" s="10">
        <v>2</v>
      </c>
      <c r="P22" s="12" cm="1">
        <f t="array" ref="P22">O22/D22</f>
        <v>0.2</v>
      </c>
      <c r="Q22" s="13" cm="1">
        <f t="array" ref="Q22">(G22*1+H22*2+I22*3+J22*4)/E22</f>
        <v>0.5</v>
      </c>
      <c r="R22" s="13" cm="1">
        <f t="array" ref="R22">(F22+N22)/D22</f>
        <v>0.4</v>
      </c>
      <c r="S22" s="15" cm="1">
        <f t="array" ref="S22">R22+Q22</f>
        <v>0.9</v>
      </c>
      <c r="T22" s="153" cm="1">
        <f t="array" ref="T22">O22/(D22-(F22+N22))</f>
        <v>0.333333333333333</v>
      </c>
      <c r="U22" s="17" cm="1">
        <f t="array" ref="U22">RANK(R22,$R$4:$R$23)</f>
        <v>10</v>
      </c>
      <c r="V22" s="18" cm="1">
        <f t="array" ref="V22">RANK(S22,$S$4:$S$23)</f>
        <v>8</v>
      </c>
      <c r="W22" s="158"/>
      <c r="X22" s="9"/>
      <c r="Y22" s="78"/>
    </row>
    <row r="23" ht="17.25" customHeight="1">
      <c r="A23" t="s" s="8">
        <v>44</v>
      </c>
      <c r="B23" s="10">
        <v>3</v>
      </c>
      <c r="C23" s="206" cm="1">
        <f t="array" ref="C23">F23/E23</f>
        <v>0.333333333333333</v>
      </c>
      <c r="D23" s="10">
        <v>12</v>
      </c>
      <c r="E23" s="10">
        <v>9</v>
      </c>
      <c r="F23" s="10">
        <v>3</v>
      </c>
      <c r="G23" s="10" cm="1">
        <f t="array" ref="G23">F23-(H23+I23+J23)</f>
        <v>3</v>
      </c>
      <c r="H23" s="10">
        <v>0</v>
      </c>
      <c r="I23" s="10">
        <v>0</v>
      </c>
      <c r="J23" s="10">
        <v>0</v>
      </c>
      <c r="K23" s="10">
        <v>3</v>
      </c>
      <c r="L23" s="10">
        <v>2</v>
      </c>
      <c r="M23" s="10">
        <v>0</v>
      </c>
      <c r="N23" s="10">
        <v>1</v>
      </c>
      <c r="O23" s="10">
        <v>2</v>
      </c>
      <c r="P23" s="12" cm="1">
        <f t="array" ref="P23">O23/D23</f>
        <v>0.166666666666667</v>
      </c>
      <c r="Q23" s="13" cm="1">
        <f t="array" ref="Q23">(G23*1+H23*2+I23*3+J23*4)/E23</f>
        <v>0.333333333333333</v>
      </c>
      <c r="R23" s="13" cm="1">
        <f t="array" ref="R23">(F23+N23)/D23</f>
        <v>0.333333333333333</v>
      </c>
      <c r="S23" s="15" cm="1">
        <f t="array" ref="S23">R23+Q23</f>
        <v>0.666666666666666</v>
      </c>
      <c r="T23" s="153" cm="1">
        <f t="array" ref="T23">O23/(D23-(F23+N23))</f>
        <v>0.25</v>
      </c>
      <c r="U23" s="17" cm="1">
        <f t="array" ref="U23">RANK(R23,$R$4:$R$23)</f>
        <v>13</v>
      </c>
      <c r="V23" s="18" cm="1">
        <f t="array" ref="V23">RANK(S23,$S$4:$S$23)</f>
        <v>13</v>
      </c>
      <c r="W23" s="158"/>
      <c r="X23" s="9"/>
      <c r="Y23" s="78"/>
    </row>
    <row r="24" ht="17.25" customHeight="1">
      <c r="A24" t="s" s="29">
        <v>45</v>
      </c>
      <c r="B24" s="124"/>
      <c r="C24" s="127" cm="1">
        <f t="array" ref="C24">F24/E24</f>
        <v>0.373417721518987</v>
      </c>
      <c r="D24" s="49" cm="1">
        <f t="array" ref="D24">SUM(D4:D23)</f>
        <v>198</v>
      </c>
      <c r="E24" s="49" cm="1">
        <f t="array" ref="E24">SUM(E4:E23)</f>
        <v>158</v>
      </c>
      <c r="F24" s="49" cm="1">
        <f t="array" ref="F24">SUM(F4:F23)</f>
        <v>59</v>
      </c>
      <c r="G24" s="49" cm="1">
        <f t="array" ref="G24">SUM(G4:G23)</f>
        <v>47</v>
      </c>
      <c r="H24" s="49" cm="1">
        <f t="array" ref="H24">SUM(H4:H23)</f>
        <v>10</v>
      </c>
      <c r="I24" s="49" cm="1">
        <f t="array" ref="I24">SUM(I4:I23)</f>
        <v>0</v>
      </c>
      <c r="J24" s="49" cm="1">
        <f t="array" ref="J24">SUM(J4:J23)</f>
        <v>2</v>
      </c>
      <c r="K24" s="49" cm="1">
        <f t="array" ref="K24">SUM(K4:K23)</f>
        <v>59</v>
      </c>
      <c r="L24" s="49" cm="1">
        <f t="array" ref="L24">SUM(L4:L23)</f>
        <v>52</v>
      </c>
      <c r="M24" s="49" cm="1">
        <f t="array" ref="M24">SUM(M4:M23)</f>
        <v>44</v>
      </c>
      <c r="N24" s="49" cm="1">
        <f t="array" ref="N24">SUM(N4:N23)</f>
        <v>33</v>
      </c>
      <c r="O24" s="49" cm="1">
        <f t="array" ref="O24">SUM(O4:O23)</f>
        <v>36</v>
      </c>
      <c r="P24" s="33" cm="1">
        <f t="array" ref="P24">O24/D24</f>
        <v>0.181818181818182</v>
      </c>
      <c r="Q24" s="127"/>
      <c r="R24" s="127"/>
      <c r="S24" s="121"/>
      <c r="T24" s="31"/>
      <c r="U24" s="31"/>
      <c r="V24" s="31"/>
      <c r="W24" s="161" cm="1">
        <f t="array" ref="W24">SUM(W4:W23)</f>
        <v>6</v>
      </c>
      <c r="X24" s="9"/>
      <c r="Y24" s="3"/>
    </row>
    <row r="25" ht="17.25" customHeight="1">
      <c r="A25" s="135"/>
      <c r="B25" s="136"/>
      <c r="C25" s="137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7"/>
      <c r="R25" s="137"/>
      <c r="S25" s="138"/>
      <c r="T25" s="34"/>
      <c r="U25" s="34"/>
      <c r="V25" s="34"/>
      <c r="W25" s="34"/>
      <c r="X25" s="3"/>
      <c r="Y25" s="3"/>
    </row>
    <row r="26" ht="17.25" customHeight="1">
      <c r="A26" t="s" s="139">
        <v>46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6"/>
      <c r="T26" s="6"/>
      <c r="U26" s="6"/>
      <c r="V26" s="6"/>
      <c r="W26" s="3"/>
      <c r="X26" s="3"/>
      <c r="Y26" s="3"/>
    </row>
    <row r="27" ht="34.5" customHeight="1">
      <c r="A27" t="s" s="8">
        <v>2</v>
      </c>
      <c r="B27" t="s" s="8">
        <v>3</v>
      </c>
      <c r="C27" t="s" s="8">
        <v>47</v>
      </c>
      <c r="D27" t="s" s="8">
        <v>48</v>
      </c>
      <c r="E27" t="s" s="8">
        <v>49</v>
      </c>
      <c r="F27" t="s" s="8">
        <v>50</v>
      </c>
      <c r="G27" t="s" s="8">
        <v>6</v>
      </c>
      <c r="H27" t="s" s="8">
        <v>51</v>
      </c>
      <c r="I27" t="s" s="8">
        <v>52</v>
      </c>
      <c r="J27" t="s" s="8">
        <v>53</v>
      </c>
      <c r="K27" t="s" s="8">
        <v>54</v>
      </c>
      <c r="L27" t="s" s="8">
        <v>55</v>
      </c>
      <c r="M27" t="s" s="8">
        <v>56</v>
      </c>
      <c r="N27" t="s" s="8">
        <v>57</v>
      </c>
      <c r="O27" t="s" s="8">
        <v>58</v>
      </c>
      <c r="P27" t="s" s="8">
        <v>59</v>
      </c>
      <c r="Q27" t="s" s="8">
        <v>60</v>
      </c>
      <c r="R27" t="s" s="8">
        <v>61</v>
      </c>
      <c r="S27" t="s" s="8">
        <v>116</v>
      </c>
      <c r="T27" t="s" s="8">
        <v>63</v>
      </c>
      <c r="U27" t="s" s="8">
        <v>64</v>
      </c>
      <c r="V27" t="s" s="8">
        <v>65</v>
      </c>
      <c r="W27" s="9"/>
      <c r="X27" s="3"/>
      <c r="Y27" s="3"/>
    </row>
    <row r="28" ht="17.25" customHeight="1">
      <c r="A28" t="s" s="8">
        <v>24</v>
      </c>
      <c r="B28" s="10">
        <v>2</v>
      </c>
      <c r="C28" s="208"/>
      <c r="D28" s="208"/>
      <c r="E28" s="208"/>
      <c r="F28" s="10">
        <v>26</v>
      </c>
      <c r="G28" s="10">
        <v>9</v>
      </c>
      <c r="H28" s="39">
        <v>2.333333333330</v>
      </c>
      <c r="I28" s="10">
        <v>3</v>
      </c>
      <c r="J28" s="10">
        <v>0</v>
      </c>
      <c r="K28" s="10">
        <v>16</v>
      </c>
      <c r="L28" s="10">
        <v>0</v>
      </c>
      <c r="M28" s="10">
        <v>1</v>
      </c>
      <c r="N28" s="10">
        <v>17</v>
      </c>
      <c r="O28" s="10">
        <v>14</v>
      </c>
      <c r="P28" s="40" cm="1">
        <f t="array" ref="P28">O28*9/H28</f>
        <v>54.0000000000771</v>
      </c>
      <c r="Q28" s="41" cm="1">
        <f t="array" ref="Q28">(K28+L28)/H28</f>
        <v>6.85714285715265</v>
      </c>
      <c r="R28" s="42" cm="1">
        <f t="array" ref="R28">I28/H28</f>
        <v>1.28571428571612</v>
      </c>
      <c r="S28" s="42" cm="1">
        <f t="array" ref="S28">H28/B28</f>
        <v>1.166666666665</v>
      </c>
      <c r="T28" s="41" cm="1">
        <f t="array" ref="T28">M28/H28</f>
        <v>0.428571428572041</v>
      </c>
      <c r="U28" s="44" cm="1">
        <f t="array" ref="U28">O28/N28</f>
        <v>0.823529411764706</v>
      </c>
      <c r="V28" s="41" cm="1">
        <f t="array" ref="V28">(I28+K28+L28)/H28</f>
        <v>8.142857142868779</v>
      </c>
      <c r="W28" s="9"/>
      <c r="X28" s="3"/>
      <c r="Y28" s="3"/>
    </row>
    <row r="29" ht="17.25" customHeight="1">
      <c r="A29" t="s" s="8">
        <v>27</v>
      </c>
      <c r="B29" s="208"/>
      <c r="C29" s="208"/>
      <c r="D29" s="208"/>
      <c r="E29" s="208"/>
      <c r="F29" s="208"/>
      <c r="G29" s="208"/>
      <c r="H29" s="39"/>
      <c r="I29" s="208"/>
      <c r="J29" s="208"/>
      <c r="K29" s="208"/>
      <c r="L29" s="208"/>
      <c r="M29" s="208"/>
      <c r="N29" s="208"/>
      <c r="O29" s="208"/>
      <c r="P29" s="40"/>
      <c r="Q29" s="41"/>
      <c r="R29" s="42"/>
      <c r="S29" s="42"/>
      <c r="T29" s="41"/>
      <c r="U29" s="44"/>
      <c r="V29" s="41"/>
      <c r="W29" s="9"/>
      <c r="X29" s="3"/>
      <c r="Y29" s="3"/>
    </row>
    <row r="30" ht="17.25" customHeight="1">
      <c r="A30" t="s" s="8">
        <v>29</v>
      </c>
      <c r="B30" s="10">
        <v>2</v>
      </c>
      <c r="C30" s="10">
        <v>1</v>
      </c>
      <c r="D30" s="208"/>
      <c r="E30" s="208"/>
      <c r="F30" s="10">
        <v>12</v>
      </c>
      <c r="G30" s="10">
        <v>9</v>
      </c>
      <c r="H30" s="39">
        <v>1</v>
      </c>
      <c r="I30" s="10">
        <v>3</v>
      </c>
      <c r="J30" s="10">
        <v>0</v>
      </c>
      <c r="K30" s="10">
        <v>3</v>
      </c>
      <c r="L30" s="10">
        <v>0</v>
      </c>
      <c r="M30" s="10">
        <v>2</v>
      </c>
      <c r="N30" s="10">
        <v>7</v>
      </c>
      <c r="O30" s="10">
        <v>1</v>
      </c>
      <c r="P30" s="40" cm="1">
        <f t="array" ref="P30">O30*9/H30</f>
        <v>9</v>
      </c>
      <c r="Q30" s="41" cm="1">
        <f t="array" ref="Q30">(K30+L30)/H30</f>
        <v>3</v>
      </c>
      <c r="R30" s="42" cm="1">
        <f t="array" ref="R30">I30/H30</f>
        <v>3</v>
      </c>
      <c r="S30" s="42" cm="1">
        <f t="array" ref="S30">H30/B30</f>
        <v>0.5</v>
      </c>
      <c r="T30" s="41" cm="1">
        <f t="array" ref="T30">M30/H30</f>
        <v>2</v>
      </c>
      <c r="U30" s="44" cm="1">
        <f t="array" ref="U30">O30/N30</f>
        <v>0.142857142857143</v>
      </c>
      <c r="V30" s="41" cm="1">
        <f t="array" ref="V30">(I30+K30+L30)/H30</f>
        <v>6</v>
      </c>
      <c r="W30" s="9"/>
      <c r="X30" s="3"/>
      <c r="Y30" s="3"/>
    </row>
    <row r="31" ht="17.25" customHeight="1">
      <c r="A31" t="s" s="8">
        <v>33</v>
      </c>
      <c r="B31" s="208"/>
      <c r="C31" s="208"/>
      <c r="D31" s="208"/>
      <c r="E31" s="208"/>
      <c r="F31" s="208"/>
      <c r="G31" s="208"/>
      <c r="H31" s="39"/>
      <c r="I31" s="208"/>
      <c r="J31" s="208"/>
      <c r="K31" s="208"/>
      <c r="L31" s="208"/>
      <c r="M31" s="208"/>
      <c r="N31" s="208"/>
      <c r="O31" s="208"/>
      <c r="P31" s="40"/>
      <c r="Q31" s="41"/>
      <c r="R31" s="42"/>
      <c r="S31" s="42"/>
      <c r="T31" s="41"/>
      <c r="U31" s="44"/>
      <c r="V31" s="41"/>
      <c r="W31" s="9"/>
      <c r="X31" s="3"/>
      <c r="Y31" s="3"/>
    </row>
    <row r="32" ht="17.25" customHeight="1">
      <c r="A32" t="s" s="8">
        <v>35</v>
      </c>
      <c r="B32" s="10">
        <v>1</v>
      </c>
      <c r="C32" s="208"/>
      <c r="D32" s="208"/>
      <c r="E32" s="208"/>
      <c r="F32" s="10">
        <v>3</v>
      </c>
      <c r="G32" s="10">
        <v>1</v>
      </c>
      <c r="H32" s="39">
        <v>0.3333333</v>
      </c>
      <c r="I32" s="10">
        <v>0</v>
      </c>
      <c r="J32" s="10">
        <v>0</v>
      </c>
      <c r="K32" s="10">
        <v>2</v>
      </c>
      <c r="L32" s="10">
        <v>0</v>
      </c>
      <c r="M32" s="10">
        <v>0</v>
      </c>
      <c r="N32" s="10">
        <v>0</v>
      </c>
      <c r="O32" s="10">
        <v>0</v>
      </c>
      <c r="P32" s="40" cm="1">
        <f t="array" ref="P32">O32*9/H32</f>
        <v>0</v>
      </c>
      <c r="Q32" s="41" cm="1">
        <f t="array" ref="Q32">(K32+L32)/H32</f>
        <v>6.00000060000006</v>
      </c>
      <c r="R32" s="42" cm="1">
        <f t="array" ref="R32">I32/H32</f>
        <v>0</v>
      </c>
      <c r="S32" s="42" cm="1">
        <f t="array" ref="S32">H32/B32</f>
        <v>0.3333333</v>
      </c>
      <c r="T32" s="41" cm="1">
        <f t="array" ref="T32">M32/H32</f>
        <v>0</v>
      </c>
      <c r="U32" s="44"/>
      <c r="V32" s="41" cm="1">
        <f t="array" ref="V32">(I32+K32+L32)/H32</f>
        <v>6.00000060000006</v>
      </c>
      <c r="W32" s="9"/>
      <c r="X32" s="3"/>
      <c r="Y32" s="3"/>
    </row>
    <row r="33" ht="17.25" customHeight="1">
      <c r="A33" t="s" s="8">
        <v>36</v>
      </c>
      <c r="B33" s="10">
        <v>2</v>
      </c>
      <c r="C33" s="208"/>
      <c r="D33" s="208"/>
      <c r="E33" s="208"/>
      <c r="F33" s="10">
        <v>9</v>
      </c>
      <c r="G33" s="10">
        <v>7</v>
      </c>
      <c r="H33" s="39">
        <v>1.66666</v>
      </c>
      <c r="I33" s="10">
        <v>1</v>
      </c>
      <c r="J33" s="10">
        <v>0</v>
      </c>
      <c r="K33" s="10">
        <v>4</v>
      </c>
      <c r="L33" s="10">
        <v>0</v>
      </c>
      <c r="M33" s="10">
        <v>0</v>
      </c>
      <c r="N33" s="10">
        <v>0</v>
      </c>
      <c r="O33" s="10">
        <v>3</v>
      </c>
      <c r="P33" s="40" cm="1">
        <f t="array" ref="P33">O33*9/H33</f>
        <v>16.2000648002592</v>
      </c>
      <c r="Q33" s="41" cm="1">
        <f t="array" ref="Q33">(K33+L33)/H33</f>
        <v>2.4000096000384</v>
      </c>
      <c r="R33" s="42" cm="1">
        <f t="array" ref="R33">I33/H33</f>
        <v>0.6000024000096</v>
      </c>
      <c r="S33" s="42" cm="1">
        <f t="array" ref="S33">H33/B33</f>
        <v>0.83333</v>
      </c>
      <c r="T33" s="41" cm="1">
        <f t="array" ref="T33">M33/H33</f>
        <v>0</v>
      </c>
      <c r="U33" s="44"/>
      <c r="V33" s="41" cm="1">
        <f t="array" ref="V33">(I33+K33+L33)/H33</f>
        <v>3.000012000048</v>
      </c>
      <c r="W33" s="9"/>
      <c r="X33" s="3"/>
      <c r="Y33" s="3"/>
    </row>
    <row r="34" ht="17.25" customHeight="1">
      <c r="A34" t="s" s="8">
        <v>37</v>
      </c>
      <c r="B34" s="208"/>
      <c r="C34" s="208"/>
      <c r="D34" s="10">
        <v>1</v>
      </c>
      <c r="E34" s="208"/>
      <c r="F34" s="10">
        <v>26</v>
      </c>
      <c r="G34" s="10">
        <v>22</v>
      </c>
      <c r="H34" s="39">
        <v>3</v>
      </c>
      <c r="I34" s="10">
        <v>14</v>
      </c>
      <c r="J34" s="10">
        <v>1</v>
      </c>
      <c r="K34" s="10">
        <v>1</v>
      </c>
      <c r="L34" s="10">
        <v>3</v>
      </c>
      <c r="M34" s="10">
        <v>5</v>
      </c>
      <c r="N34" s="10">
        <v>14</v>
      </c>
      <c r="O34" s="10">
        <v>11</v>
      </c>
      <c r="P34" s="40" cm="1">
        <f t="array" ref="P34">O34*9/H34</f>
        <v>33</v>
      </c>
      <c r="Q34" s="41"/>
      <c r="R34" s="42"/>
      <c r="S34" s="42"/>
      <c r="T34" s="41"/>
      <c r="U34" s="44"/>
      <c r="V34" s="41"/>
      <c r="W34" s="9"/>
      <c r="X34" s="3"/>
      <c r="Y34" s="3"/>
    </row>
    <row r="35" ht="17.25" customHeight="1">
      <c r="A35" t="s" s="8">
        <v>40</v>
      </c>
      <c r="B35" s="10">
        <v>4</v>
      </c>
      <c r="C35" s="208"/>
      <c r="D35" s="10">
        <v>2</v>
      </c>
      <c r="E35" s="208"/>
      <c r="F35" s="10">
        <v>50</v>
      </c>
      <c r="G35" s="10">
        <v>41</v>
      </c>
      <c r="H35" s="39">
        <v>4.666666666660</v>
      </c>
      <c r="I35" s="10">
        <v>25</v>
      </c>
      <c r="J35" s="10">
        <v>2</v>
      </c>
      <c r="K35" s="10">
        <v>7</v>
      </c>
      <c r="L35" s="10">
        <v>2</v>
      </c>
      <c r="M35" s="10">
        <v>5</v>
      </c>
      <c r="N35" s="10">
        <v>31</v>
      </c>
      <c r="O35" s="10">
        <v>23</v>
      </c>
      <c r="P35" s="40" cm="1">
        <f t="array" ref="P35">O35*9/H35</f>
        <v>44.3571428572062</v>
      </c>
      <c r="Q35" s="41" cm="1">
        <f t="array" ref="Q35">(K35+L35)/H35</f>
        <v>1.92857142857418</v>
      </c>
      <c r="R35" s="42" cm="1">
        <f t="array" ref="R35">I35/H35</f>
        <v>5.35714285715051</v>
      </c>
      <c r="S35" s="42" cm="1">
        <f t="array" ref="S35">H35/B35</f>
        <v>1.166666666665</v>
      </c>
      <c r="T35" s="41" cm="1">
        <f t="array" ref="T35">M35/H35</f>
        <v>1.0714285714301</v>
      </c>
      <c r="U35" s="44" cm="1">
        <f t="array" ref="U35">O35/N35</f>
        <v>0.741935483870968</v>
      </c>
      <c r="V35" s="41" cm="1">
        <f t="array" ref="V35">(I35+K35+L35)/H35</f>
        <v>7.28571428572469</v>
      </c>
      <c r="W35" s="9"/>
      <c r="X35" s="3"/>
      <c r="Y35" s="3"/>
    </row>
    <row r="36" ht="17.25" customHeight="1">
      <c r="A36" t="s" s="8">
        <v>42</v>
      </c>
      <c r="B36" s="10">
        <v>1</v>
      </c>
      <c r="C36" s="208"/>
      <c r="D36" s="208"/>
      <c r="E36" s="208"/>
      <c r="F36" s="10">
        <v>3</v>
      </c>
      <c r="G36" s="10">
        <v>1</v>
      </c>
      <c r="H36" s="39">
        <v>0.33333333</v>
      </c>
      <c r="I36" s="10">
        <v>0</v>
      </c>
      <c r="J36" s="10">
        <v>0</v>
      </c>
      <c r="K36" s="10">
        <v>2</v>
      </c>
      <c r="L36" s="10">
        <v>0</v>
      </c>
      <c r="M36" s="10">
        <v>0</v>
      </c>
      <c r="N36" s="10">
        <v>0</v>
      </c>
      <c r="O36" s="10">
        <v>0</v>
      </c>
      <c r="P36" s="40" cm="1">
        <f t="array" ref="P36">O36*9/H36</f>
        <v>0</v>
      </c>
      <c r="Q36" s="41" cm="1">
        <f t="array" ref="Q36">(K36+L36)/H36</f>
        <v>6.00000006</v>
      </c>
      <c r="R36" s="42" cm="1">
        <f t="array" ref="R36">I36/H36</f>
        <v>0</v>
      </c>
      <c r="S36" s="42" cm="1">
        <f t="array" ref="S36">H36/B36</f>
        <v>0.33333333</v>
      </c>
      <c r="T36" s="41" cm="1">
        <f t="array" ref="T36">M36/H36</f>
        <v>0</v>
      </c>
      <c r="U36" s="44"/>
      <c r="V36" s="41" cm="1">
        <f t="array" ref="V36">(I36+K36+L36)/H36</f>
        <v>6.00000006</v>
      </c>
      <c r="W36" s="9"/>
      <c r="X36" s="3"/>
      <c r="Y36" s="3"/>
    </row>
    <row r="37" ht="17.25" customHeight="1">
      <c r="A37" t="s" s="8">
        <v>43</v>
      </c>
      <c r="B37" s="10">
        <v>4</v>
      </c>
      <c r="C37" s="208"/>
      <c r="D37" s="10">
        <v>1</v>
      </c>
      <c r="E37" s="208"/>
      <c r="F37" s="10">
        <v>40</v>
      </c>
      <c r="G37" s="10">
        <v>31</v>
      </c>
      <c r="H37" s="39">
        <v>6.66666666</v>
      </c>
      <c r="I37" s="10">
        <v>9</v>
      </c>
      <c r="J37" s="10">
        <v>0</v>
      </c>
      <c r="K37" s="10">
        <v>8</v>
      </c>
      <c r="L37" s="10">
        <v>1</v>
      </c>
      <c r="M37" s="10">
        <v>16</v>
      </c>
      <c r="N37" s="10">
        <v>7</v>
      </c>
      <c r="O37" s="10">
        <v>6</v>
      </c>
      <c r="P37" s="40" cm="1">
        <f t="array" ref="P37">O37*9/H37</f>
        <v>8.1000000081</v>
      </c>
      <c r="Q37" s="41" cm="1">
        <f t="array" ref="Q37">(K37+L37)/H37</f>
        <v>1.350000001350</v>
      </c>
      <c r="R37" s="42" cm="1">
        <f t="array" ref="R37">I37/H37</f>
        <v>1.350000001350</v>
      </c>
      <c r="S37" s="42" cm="1">
        <f t="array" ref="S37">H37/B37</f>
        <v>1.666666665</v>
      </c>
      <c r="T37" s="41" cm="1">
        <f t="array" ref="T37">M37/H37</f>
        <v>2.4000000024</v>
      </c>
      <c r="U37" s="44" cm="1">
        <f t="array" ref="U37">O37/N37</f>
        <v>0.857142857142857</v>
      </c>
      <c r="V37" s="41" cm="1">
        <f t="array" ref="V37">(I37+K37+L37)/H37</f>
        <v>2.7000000027</v>
      </c>
      <c r="W37" s="9"/>
      <c r="X37" s="3"/>
      <c r="Y37" s="3"/>
    </row>
    <row r="38" ht="17.25" customHeight="1">
      <c r="A38" t="s" s="29">
        <v>45</v>
      </c>
      <c r="B38" s="124"/>
      <c r="C38" s="49" cm="1">
        <f t="array" ref="C38">SUM(C28:C37)</f>
        <v>1</v>
      </c>
      <c r="D38" s="49" cm="1">
        <f t="array" ref="D38">SUM(D28:D37)</f>
        <v>4</v>
      </c>
      <c r="E38" s="49" cm="1">
        <f t="array" ref="E38">SUM(E28:E37)</f>
        <v>0</v>
      </c>
      <c r="F38" s="49" cm="1">
        <f t="array" ref="F38">SUM(F28:F37)</f>
        <v>169</v>
      </c>
      <c r="G38" s="49" cm="1">
        <f t="array" ref="G38">SUM(G28:G37)</f>
        <v>121</v>
      </c>
      <c r="H38" s="50" cm="1">
        <f t="array" ref="H38">SUM(H28:H37)</f>
        <v>19.999993289990</v>
      </c>
      <c r="I38" s="49" cm="1">
        <f t="array" ref="I38">SUM(I28:I37)</f>
        <v>55</v>
      </c>
      <c r="J38" s="49" cm="1">
        <f t="array" ref="J38">SUM(J28:J37)</f>
        <v>3</v>
      </c>
      <c r="K38" s="49" cm="1">
        <f t="array" ref="K38">SUM(K28:K37)</f>
        <v>43</v>
      </c>
      <c r="L38" s="49" cm="1">
        <f t="array" ref="L38">SUM(L28:L37)</f>
        <v>6</v>
      </c>
      <c r="M38" s="49" cm="1">
        <f t="array" ref="M38">SUM(M28:M37)</f>
        <v>29</v>
      </c>
      <c r="N38" s="49" cm="1">
        <f t="array" ref="N38">SUM(N28:N37)</f>
        <v>76</v>
      </c>
      <c r="O38" s="49" cm="1">
        <f t="array" ref="O38">SUM(O28:O37)</f>
        <v>58</v>
      </c>
      <c r="P38" s="51" cm="1">
        <f t="array" ref="P38">O38*9/H38</f>
        <v>26.100008756566</v>
      </c>
      <c r="Q38" s="52" cm="1">
        <f t="array" ref="Q38">(K38+L38)/H38</f>
        <v>2.4500008219765</v>
      </c>
      <c r="R38" s="53" cm="1">
        <f t="array" ref="R38">I38/H38</f>
        <v>2.75000092262668</v>
      </c>
      <c r="S38" s="53" cm="1">
        <f t="array" ref="S38">H38/B38</f>
      </c>
      <c r="T38" s="52" cm="1">
        <f t="array" ref="T38">M38/H38</f>
        <v>1.45000048647589</v>
      </c>
      <c r="U38" s="55" cm="1">
        <f t="array" ref="U38">O38/N38</f>
        <v>0.763157894736842</v>
      </c>
      <c r="V38" s="52" cm="1">
        <f t="array" ref="V38">(I38+K38+L38)/H38</f>
        <v>5.20000174460319</v>
      </c>
      <c r="W38" s="9"/>
      <c r="X38" s="3"/>
      <c r="Y38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AC42"/>
  <sheetViews>
    <sheetView workbookViewId="0" showGridLines="0" defaultGridColor="1"/>
  </sheetViews>
  <sheetFormatPr defaultColWidth="9" defaultRowHeight="16.5" customHeight="1" outlineLevelRow="0" outlineLevelCol="0"/>
  <cols>
    <col min="1" max="18" width="8.17188" style="211" customWidth="1"/>
    <col min="19" max="19" width="10.8516" style="211" customWidth="1"/>
    <col min="20" max="20" width="8.17188" style="211" customWidth="1"/>
    <col min="21" max="22" width="9" style="211" customWidth="1"/>
    <col min="23" max="23" width="11.3516" style="211" customWidth="1"/>
    <col min="24" max="24" width="2.67188" style="211" customWidth="1"/>
    <col min="25" max="26" width="9" style="211" customWidth="1"/>
    <col min="27" max="27" width="10.1719" style="211" customWidth="1"/>
    <col min="28" max="29" width="9" style="211" customWidth="1"/>
    <col min="30" max="16384" width="9" style="211" customWidth="1"/>
  </cols>
  <sheetData>
    <row r="1" ht="26.25" customHeight="1">
      <c r="A1" t="s" s="2">
        <v>166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3"/>
      <c r="Y2" s="6"/>
      <c r="Z2" s="6"/>
      <c r="AA2" s="6"/>
      <c r="AB2" s="6"/>
      <c r="AC2" s="6"/>
    </row>
    <row r="3" ht="34.5" customHeight="1">
      <c r="A3" t="s" s="8">
        <v>101</v>
      </c>
      <c r="B3" t="s" s="8">
        <v>102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21</v>
      </c>
      <c r="U3" t="s" s="8">
        <v>22</v>
      </c>
      <c r="V3" t="s" s="8">
        <v>23</v>
      </c>
      <c r="W3" t="s" s="8">
        <v>111</v>
      </c>
      <c r="X3" s="61"/>
      <c r="Y3" t="s" s="8">
        <v>112</v>
      </c>
      <c r="Z3" t="s" s="8">
        <v>55</v>
      </c>
      <c r="AA3" t="s" s="8">
        <v>113</v>
      </c>
      <c r="AB3" t="s" s="8">
        <v>114</v>
      </c>
      <c r="AC3" t="s" s="8">
        <v>115</v>
      </c>
    </row>
    <row r="4" ht="17.25" customHeight="1">
      <c r="A4" t="s" s="8">
        <v>24</v>
      </c>
      <c r="B4" s="10">
        <v>2</v>
      </c>
      <c r="C4" s="206" cm="1">
        <f t="array" ref="C4">F4/E4</f>
        <v>0</v>
      </c>
      <c r="D4" s="10">
        <v>1</v>
      </c>
      <c r="E4" s="10">
        <v>1</v>
      </c>
      <c r="F4" s="10">
        <v>0</v>
      </c>
      <c r="G4" s="10" cm="1">
        <f t="array" ref="G4">F4-(H4+I4+J4)</f>
        <v>0</v>
      </c>
      <c r="H4" s="10">
        <v>0</v>
      </c>
      <c r="I4" s="10">
        <v>0</v>
      </c>
      <c r="J4" s="10">
        <v>0</v>
      </c>
      <c r="K4" s="10">
        <v>1</v>
      </c>
      <c r="L4" s="10">
        <v>0</v>
      </c>
      <c r="M4" s="10">
        <v>1</v>
      </c>
      <c r="N4" s="10" cm="1">
        <f t="array" ref="N4">Y4+Z4</f>
        <v>0</v>
      </c>
      <c r="O4" s="10">
        <v>1</v>
      </c>
      <c r="P4" s="12" cm="1">
        <f t="array" ref="P4">O4/D4</f>
        <v>1</v>
      </c>
      <c r="Q4" s="13" cm="1">
        <f t="array" ref="Q4">(G4*1+H4*2+I4*3+J4*4)/E4</f>
        <v>0</v>
      </c>
      <c r="R4" s="13" cm="1">
        <f t="array" ref="R4">(F4+N4)/(D4-AA4)</f>
        <v>0</v>
      </c>
      <c r="S4" s="15" cm="1">
        <f t="array" ref="S4">R4+Q4</f>
        <v>0</v>
      </c>
      <c r="T4" s="153" cm="1">
        <f t="array" ref="T4">O4/(D4-(F4+N4))</f>
        <v>1</v>
      </c>
      <c r="U4" s="17" cm="1">
        <f t="array" ref="U4">RANK(R4,$R$4:$R$26)</f>
        <v>15</v>
      </c>
      <c r="V4" s="18" cm="1">
        <f t="array" ref="V4">RANK(S4,$S$4:$S$26)</f>
        <v>15</v>
      </c>
      <c r="W4" s="154" cm="1">
        <f t="array" ref="W4">RANK(C4,$C$4:$C$26)</f>
        <v>14</v>
      </c>
      <c r="X4" s="212"/>
      <c r="Y4" s="48">
        <v>0</v>
      </c>
      <c r="Z4" s="48">
        <v>0</v>
      </c>
      <c r="AA4" s="48">
        <v>0</v>
      </c>
      <c r="AB4" s="48">
        <v>0</v>
      </c>
      <c r="AC4" s="158"/>
    </row>
    <row r="5" ht="17.25" customHeight="1">
      <c r="A5" t="s" s="8">
        <v>25</v>
      </c>
      <c r="B5" s="208"/>
      <c r="C5" s="206"/>
      <c r="D5" s="208"/>
      <c r="E5" s="208"/>
      <c r="F5" s="208"/>
      <c r="G5" s="10" cm="1">
        <f t="array" ref="G5">F5-(H5+I5+J5)</f>
        <v>0</v>
      </c>
      <c r="H5" s="208"/>
      <c r="I5" s="208"/>
      <c r="J5" s="208"/>
      <c r="K5" s="208"/>
      <c r="L5" s="208"/>
      <c r="M5" s="208"/>
      <c r="N5" s="10" cm="1">
        <f t="array" ref="N5">Y5+Z5</f>
        <v>0</v>
      </c>
      <c r="O5" s="208"/>
      <c r="P5" s="12"/>
      <c r="Q5" s="13"/>
      <c r="R5" s="13"/>
      <c r="S5" s="15"/>
      <c r="T5" s="153"/>
      <c r="U5" s="159"/>
      <c r="V5" s="160"/>
      <c r="W5" s="213"/>
      <c r="X5" s="212"/>
      <c r="Y5" s="158"/>
      <c r="Z5" s="158"/>
      <c r="AA5" s="158"/>
      <c r="AB5" s="158"/>
      <c r="AC5" s="158"/>
    </row>
    <row r="6" ht="17.25" customHeight="1">
      <c r="A6" t="s" s="8">
        <v>26</v>
      </c>
      <c r="B6" s="10">
        <v>7</v>
      </c>
      <c r="C6" s="206" cm="1">
        <f t="array" ref="C6">F6/E6</f>
        <v>0.619047619047619</v>
      </c>
      <c r="D6" s="10">
        <v>24</v>
      </c>
      <c r="E6" s="10">
        <v>21</v>
      </c>
      <c r="F6" s="10">
        <v>13</v>
      </c>
      <c r="G6" s="10" cm="1">
        <f t="array" ref="G6">F6-(H6+I6+J6)</f>
        <v>7</v>
      </c>
      <c r="H6" s="10">
        <v>6</v>
      </c>
      <c r="I6" s="10">
        <v>0</v>
      </c>
      <c r="J6" s="10">
        <v>0</v>
      </c>
      <c r="K6" s="10">
        <v>11</v>
      </c>
      <c r="L6" s="10">
        <v>10</v>
      </c>
      <c r="M6" s="10">
        <v>9</v>
      </c>
      <c r="N6" s="10" cm="1">
        <f t="array" ref="N6">Y6+Z6</f>
        <v>2</v>
      </c>
      <c r="O6" s="10">
        <v>0</v>
      </c>
      <c r="P6" s="12" cm="1">
        <f t="array" ref="P6">O6/D6</f>
        <v>0</v>
      </c>
      <c r="Q6" s="13" cm="1">
        <f t="array" ref="Q6">(G6*1+H6*2+I6*3+J6*4)/E6</f>
        <v>0.904761904761905</v>
      </c>
      <c r="R6" s="13" cm="1">
        <f t="array" ref="R6">(F6+N6)/(D6-AA6)</f>
        <v>0.625</v>
      </c>
      <c r="S6" s="15" cm="1">
        <f t="array" ref="S6">R6+Q6</f>
        <v>1.52976190476191</v>
      </c>
      <c r="T6" s="153" cm="1">
        <f t="array" ref="T6">O6/(D6-(F6+N6))</f>
        <v>0</v>
      </c>
      <c r="U6" s="17" cm="1">
        <f t="array" ref="U6">RANK(R6,$R$4:$R$26)</f>
        <v>3</v>
      </c>
      <c r="V6" s="18" cm="1">
        <f t="array" ref="V6">RANK(S6,$S$4:$S$26)</f>
        <v>1</v>
      </c>
      <c r="W6" s="154" cm="1">
        <f t="array" ref="W6">RANK(C6,$C$4:$C$26)</f>
        <v>1</v>
      </c>
      <c r="X6" s="212"/>
      <c r="Y6" s="48">
        <v>0</v>
      </c>
      <c r="Z6" s="48">
        <v>2</v>
      </c>
      <c r="AA6" s="48">
        <v>0</v>
      </c>
      <c r="AB6" s="48">
        <v>0</v>
      </c>
      <c r="AC6" s="158"/>
    </row>
    <row r="7" ht="17.25" customHeight="1">
      <c r="A7" t="s" s="8">
        <v>27</v>
      </c>
      <c r="B7" s="208"/>
      <c r="C7" s="206"/>
      <c r="D7" s="208"/>
      <c r="E7" s="208"/>
      <c r="F7" s="208"/>
      <c r="G7" s="10" cm="1">
        <f t="array" ref="G7">F7-(H7+I7+J7)</f>
        <v>0</v>
      </c>
      <c r="H7" s="208"/>
      <c r="I7" s="208"/>
      <c r="J7" s="208"/>
      <c r="K7" s="208"/>
      <c r="L7" s="208"/>
      <c r="M7" s="208"/>
      <c r="N7" s="10" cm="1">
        <f t="array" ref="N7">Y7+Z7</f>
        <v>0</v>
      </c>
      <c r="O7" s="208"/>
      <c r="P7" s="12"/>
      <c r="Q7" s="13"/>
      <c r="R7" s="13"/>
      <c r="S7" s="15"/>
      <c r="T7" s="153"/>
      <c r="U7" s="159"/>
      <c r="V7" s="160"/>
      <c r="W7" s="213"/>
      <c r="X7" s="212"/>
      <c r="Y7" s="158"/>
      <c r="Z7" s="158"/>
      <c r="AA7" s="158"/>
      <c r="AB7" s="158"/>
      <c r="AC7" s="158"/>
    </row>
    <row r="8" ht="17.25" customHeight="1">
      <c r="A8" t="s" s="8">
        <v>28</v>
      </c>
      <c r="B8" s="10">
        <v>3</v>
      </c>
      <c r="C8" s="206" cm="1">
        <f t="array" ref="C8">F8/E8</f>
        <v>0</v>
      </c>
      <c r="D8" s="10">
        <v>3</v>
      </c>
      <c r="E8" s="10">
        <v>1</v>
      </c>
      <c r="F8" s="10">
        <v>0</v>
      </c>
      <c r="G8" s="10" cm="1">
        <f t="array" ref="G8">F8-(H8+I8+J8)</f>
        <v>0</v>
      </c>
      <c r="H8" s="10">
        <v>0</v>
      </c>
      <c r="I8" s="10">
        <v>0</v>
      </c>
      <c r="J8" s="10">
        <v>0</v>
      </c>
      <c r="K8" s="10">
        <v>2</v>
      </c>
      <c r="L8" s="10">
        <v>0</v>
      </c>
      <c r="M8" s="10">
        <v>1</v>
      </c>
      <c r="N8" s="10" cm="1">
        <f t="array" ref="N8">Y8+Z8</f>
        <v>2</v>
      </c>
      <c r="O8" s="10">
        <v>1</v>
      </c>
      <c r="P8" s="12" cm="1">
        <f t="array" ref="P8">O8/D8</f>
        <v>0.333333333333333</v>
      </c>
      <c r="Q8" s="13" cm="1">
        <f t="array" ref="Q8">(G8*1+H8*2+I8*3+J8*4)/E8</f>
        <v>0</v>
      </c>
      <c r="R8" s="13" cm="1">
        <f t="array" ref="R8">(F8+N8)/(D8-AA8)</f>
        <v>0.666666666666667</v>
      </c>
      <c r="S8" s="15" cm="1">
        <f t="array" ref="S8">R8+Q8</f>
        <v>0.666666666666667</v>
      </c>
      <c r="T8" s="153" cm="1">
        <f t="array" ref="T8">O8/(D8-(F8+N8))</f>
        <v>1</v>
      </c>
      <c r="U8" s="17" cm="1">
        <f t="array" ref="U8">RANK(R8,$R$4:$R$26)</f>
        <v>1</v>
      </c>
      <c r="V8" s="18" cm="1">
        <f t="array" ref="V8">RANK(S8,$S$4:$S$26)</f>
        <v>12</v>
      </c>
      <c r="W8" s="154" cm="1">
        <f t="array" ref="W8">RANK(C8,$C$4:$C$26)</f>
        <v>14</v>
      </c>
      <c r="X8" s="212"/>
      <c r="Y8" s="48">
        <v>2</v>
      </c>
      <c r="Z8" s="48">
        <v>0</v>
      </c>
      <c r="AA8" s="48">
        <v>0</v>
      </c>
      <c r="AB8" s="48">
        <v>0</v>
      </c>
      <c r="AC8" s="158"/>
    </row>
    <row r="9" ht="17.25" customHeight="1">
      <c r="A9" t="s" s="8">
        <v>29</v>
      </c>
      <c r="B9" s="10">
        <v>5</v>
      </c>
      <c r="C9" s="206" cm="1">
        <f t="array" ref="C9">F9/E9</f>
        <v>0.555555555555556</v>
      </c>
      <c r="D9" s="10">
        <v>11</v>
      </c>
      <c r="E9" s="10">
        <v>9</v>
      </c>
      <c r="F9" s="10">
        <v>5</v>
      </c>
      <c r="G9" s="10" cm="1">
        <f t="array" ref="G9">F9-(H9+I9+J9)</f>
        <v>5</v>
      </c>
      <c r="H9" s="10">
        <v>0</v>
      </c>
      <c r="I9" s="10">
        <v>0</v>
      </c>
      <c r="J9" s="10">
        <v>0</v>
      </c>
      <c r="K9" s="10">
        <v>5</v>
      </c>
      <c r="L9" s="10">
        <v>3</v>
      </c>
      <c r="M9" s="10">
        <v>2</v>
      </c>
      <c r="N9" s="10" cm="1">
        <f t="array" ref="N9">Y9+Z9</f>
        <v>1</v>
      </c>
      <c r="O9" s="10">
        <v>0</v>
      </c>
      <c r="P9" s="12" cm="1">
        <f t="array" ref="P9">O9/D9</f>
        <v>0</v>
      </c>
      <c r="Q9" s="13" cm="1">
        <f t="array" ref="Q9">(G9*1+H9*2+I9*3+J9*4)/E9</f>
        <v>0.555555555555556</v>
      </c>
      <c r="R9" s="13" cm="1">
        <f t="array" ref="R9">(F9+N9)/(D9-AA9)</f>
        <v>0.545454545454545</v>
      </c>
      <c r="S9" s="15" cm="1">
        <f t="array" ref="S9">R9+Q9</f>
        <v>1.1010101010101</v>
      </c>
      <c r="T9" s="153" cm="1">
        <f t="array" ref="T9">O9/(D9-(F9+N9))</f>
        <v>0</v>
      </c>
      <c r="U9" s="17" cm="1">
        <f t="array" ref="U9">RANK(R9,$R$4:$R$26)</f>
        <v>9</v>
      </c>
      <c r="V9" s="18" cm="1">
        <f t="array" ref="V9">RANK(S9,$S$4:$S$26)</f>
        <v>7</v>
      </c>
      <c r="W9" s="154" cm="1">
        <f t="array" ref="W9">RANK(C9,$C$4:$C$26)</f>
        <v>3</v>
      </c>
      <c r="X9" s="212"/>
      <c r="Y9" s="48">
        <v>0</v>
      </c>
      <c r="Z9" s="48">
        <v>1</v>
      </c>
      <c r="AA9" s="48">
        <v>0</v>
      </c>
      <c r="AB9" s="48">
        <v>0</v>
      </c>
      <c r="AC9" s="158"/>
    </row>
    <row r="10" ht="17.25" customHeight="1">
      <c r="A10" t="s" s="8">
        <v>69</v>
      </c>
      <c r="B10" s="208"/>
      <c r="C10" s="206"/>
      <c r="D10" s="208"/>
      <c r="E10" s="208"/>
      <c r="F10" s="208"/>
      <c r="G10" s="10" cm="1">
        <f t="array" ref="G10">F10-(H10+I10+J10)</f>
        <v>0</v>
      </c>
      <c r="H10" s="208"/>
      <c r="I10" s="208"/>
      <c r="J10" s="208"/>
      <c r="K10" s="208"/>
      <c r="L10" s="208"/>
      <c r="M10" s="208"/>
      <c r="N10" s="10" cm="1">
        <f t="array" ref="N10">Y10+Z10</f>
        <v>0</v>
      </c>
      <c r="O10" s="208"/>
      <c r="P10" s="12"/>
      <c r="Q10" s="13"/>
      <c r="R10" s="13"/>
      <c r="S10" s="15"/>
      <c r="T10" s="153"/>
      <c r="U10" s="159"/>
      <c r="V10" s="160"/>
      <c r="W10" s="213"/>
      <c r="X10" s="212"/>
      <c r="Y10" s="158"/>
      <c r="Z10" s="158"/>
      <c r="AA10" s="158"/>
      <c r="AB10" s="158"/>
      <c r="AC10" s="158"/>
    </row>
    <row r="11" ht="17.25" customHeight="1">
      <c r="A11" t="s" s="8">
        <v>30</v>
      </c>
      <c r="B11" s="10">
        <v>7</v>
      </c>
      <c r="C11" s="206" cm="1">
        <f t="array" ref="C11">F11/E11</f>
        <v>0.545454545454545</v>
      </c>
      <c r="D11" s="10">
        <v>25</v>
      </c>
      <c r="E11" s="10">
        <v>22</v>
      </c>
      <c r="F11" s="10">
        <v>12</v>
      </c>
      <c r="G11" s="10" cm="1">
        <f t="array" ref="G11">F11-(H11+I11+J11)</f>
        <v>10</v>
      </c>
      <c r="H11" s="10">
        <v>1</v>
      </c>
      <c r="I11" s="10">
        <v>1</v>
      </c>
      <c r="J11" s="10">
        <v>0</v>
      </c>
      <c r="K11" s="10">
        <v>15</v>
      </c>
      <c r="L11" s="10">
        <v>7</v>
      </c>
      <c r="M11" s="10">
        <v>14</v>
      </c>
      <c r="N11" s="10" cm="1">
        <f t="array" ref="N11">Y11+Z11</f>
        <v>2</v>
      </c>
      <c r="O11" s="10">
        <v>2</v>
      </c>
      <c r="P11" s="12" cm="1">
        <f t="array" ref="P11">O11/D11</f>
        <v>0.08</v>
      </c>
      <c r="Q11" s="13" cm="1">
        <f t="array" ref="Q11">(G11*1+H11*2+I11*3+J11*4)/E11</f>
        <v>0.681818181818182</v>
      </c>
      <c r="R11" s="13" cm="1">
        <f t="array" ref="R11">(F11+N11)/(D11-AA11)</f>
        <v>0.5600000000000001</v>
      </c>
      <c r="S11" s="15" cm="1">
        <f t="array" ref="S11">R11+Q11</f>
        <v>1.24181818181818</v>
      </c>
      <c r="T11" s="153" cm="1">
        <f t="array" ref="T11">O11/(D11-(F11+N11))</f>
        <v>0.181818181818182</v>
      </c>
      <c r="U11" s="17" cm="1">
        <f t="array" ref="U11">RANK(R11,$R$4:$R$26)</f>
        <v>7</v>
      </c>
      <c r="V11" s="18" cm="1">
        <f t="array" ref="V11">RANK(S11,$S$4:$S$26)</f>
        <v>4</v>
      </c>
      <c r="W11" s="154" cm="1">
        <f t="array" ref="W11">RANK(C11,$C$4:$C$26)</f>
        <v>5</v>
      </c>
      <c r="X11" s="212"/>
      <c r="Y11" s="48">
        <v>0</v>
      </c>
      <c r="Z11" s="48">
        <v>2</v>
      </c>
      <c r="AA11" s="48">
        <v>0</v>
      </c>
      <c r="AB11" s="48">
        <v>0</v>
      </c>
      <c r="AC11" s="158"/>
    </row>
    <row r="12" ht="17.25" customHeight="1">
      <c r="A12" t="s" s="8">
        <v>31</v>
      </c>
      <c r="B12" s="10">
        <v>5</v>
      </c>
      <c r="C12" s="206" cm="1">
        <f t="array" ref="C12">F12/E12</f>
        <v>0.428571428571429</v>
      </c>
      <c r="D12" s="10">
        <v>18</v>
      </c>
      <c r="E12" s="10">
        <v>14</v>
      </c>
      <c r="F12" s="10">
        <v>6</v>
      </c>
      <c r="G12" s="10" cm="1">
        <f t="array" ref="G12">F12-(H12+I12+J12)</f>
        <v>5</v>
      </c>
      <c r="H12" s="10">
        <v>1</v>
      </c>
      <c r="I12" s="10">
        <v>0</v>
      </c>
      <c r="J12" s="10">
        <v>0</v>
      </c>
      <c r="K12" s="10">
        <v>7</v>
      </c>
      <c r="L12" s="10">
        <v>3</v>
      </c>
      <c r="M12" s="10">
        <v>7</v>
      </c>
      <c r="N12" s="10" cm="1">
        <f t="array" ref="N12">Y12+Z12</f>
        <v>4</v>
      </c>
      <c r="O12" s="10">
        <v>4</v>
      </c>
      <c r="P12" s="12" cm="1">
        <f t="array" ref="P12">O12/D12</f>
        <v>0.222222222222222</v>
      </c>
      <c r="Q12" s="13" cm="1">
        <f t="array" ref="Q12">(G12*1+H12*2+I12*3+J12*4)/E12</f>
        <v>0.5</v>
      </c>
      <c r="R12" s="13" cm="1">
        <f t="array" ref="R12">(F12+N12)/(D12-AA12)</f>
        <v>0.555555555555556</v>
      </c>
      <c r="S12" s="15" cm="1">
        <f t="array" ref="S12">R12+Q12</f>
        <v>1.05555555555556</v>
      </c>
      <c r="T12" s="153" cm="1">
        <f t="array" ref="T12">O12/(D12-(F12+N12))</f>
        <v>0.5</v>
      </c>
      <c r="U12" s="17" cm="1">
        <f t="array" ref="U12">RANK(R12,$R$4:$R$26)</f>
        <v>8</v>
      </c>
      <c r="V12" s="18" cm="1">
        <f t="array" ref="V12">RANK(S12,$S$4:$S$26)</f>
        <v>8</v>
      </c>
      <c r="W12" s="154" cm="1">
        <f t="array" ref="W12">RANK(C12,$C$4:$C$26)</f>
        <v>8</v>
      </c>
      <c r="X12" s="212"/>
      <c r="Y12" s="48">
        <v>4</v>
      </c>
      <c r="Z12" s="48">
        <v>0</v>
      </c>
      <c r="AA12" s="48">
        <v>0</v>
      </c>
      <c r="AB12" s="48">
        <v>0</v>
      </c>
      <c r="AC12" s="158"/>
    </row>
    <row r="13" ht="17.25" customHeight="1">
      <c r="A13" t="s" s="8">
        <v>32</v>
      </c>
      <c r="B13" s="10">
        <v>3</v>
      </c>
      <c r="C13" s="206" cm="1">
        <f t="array" ref="C13">F13/E13</f>
        <v>0.6</v>
      </c>
      <c r="D13" s="10">
        <v>6</v>
      </c>
      <c r="E13" s="10">
        <v>5</v>
      </c>
      <c r="F13" s="10">
        <v>3</v>
      </c>
      <c r="G13" s="10" cm="1">
        <f t="array" ref="G13">F13-(H13+I13+J13)</f>
        <v>3</v>
      </c>
      <c r="H13" s="10">
        <v>0</v>
      </c>
      <c r="I13" s="10">
        <v>0</v>
      </c>
      <c r="J13" s="10">
        <v>0</v>
      </c>
      <c r="K13" s="10">
        <v>1</v>
      </c>
      <c r="L13" s="10">
        <v>2</v>
      </c>
      <c r="M13" s="10">
        <v>2</v>
      </c>
      <c r="N13" s="10" cm="1">
        <f t="array" ref="N13">Y13+Z13</f>
        <v>1</v>
      </c>
      <c r="O13" s="10">
        <v>1</v>
      </c>
      <c r="P13" s="12" cm="1">
        <f t="array" ref="P13">O13/D13</f>
        <v>0.166666666666667</v>
      </c>
      <c r="Q13" s="13" cm="1">
        <f t="array" ref="Q13">(G13*1+H13*2+I13*3+J13*4)/E13</f>
        <v>0.6</v>
      </c>
      <c r="R13" s="13" cm="1">
        <f t="array" ref="R13">(F13+N13)/(D13-AA13)</f>
        <v>0.666666666666667</v>
      </c>
      <c r="S13" s="15" cm="1">
        <f t="array" ref="S13">R13+Q13</f>
        <v>1.26666666666667</v>
      </c>
      <c r="T13" s="153" cm="1">
        <f t="array" ref="T13">O13/(D13-(F13+N13))</f>
        <v>0.5</v>
      </c>
      <c r="U13" s="17" cm="1">
        <f t="array" ref="U13">RANK(R13,$R$4:$R$26)</f>
        <v>1</v>
      </c>
      <c r="V13" s="18" cm="1">
        <f t="array" ref="V13">RANK(S13,$S$4:$S$26)</f>
        <v>3</v>
      </c>
      <c r="W13" s="154" cm="1">
        <f t="array" ref="W13">RANK(C13,$C$4:$C$26)</f>
        <v>2</v>
      </c>
      <c r="X13" s="212"/>
      <c r="Y13" s="48">
        <v>1</v>
      </c>
      <c r="Z13" s="48">
        <v>0</v>
      </c>
      <c r="AA13" s="48">
        <v>0</v>
      </c>
      <c r="AB13" s="48">
        <v>0</v>
      </c>
      <c r="AC13" s="158"/>
    </row>
    <row r="14" ht="17.25" customHeight="1">
      <c r="A14" t="s" s="8">
        <v>33</v>
      </c>
      <c r="B14" s="10">
        <v>7</v>
      </c>
      <c r="C14" s="206" cm="1">
        <f t="array" ref="C14">F14/E14</f>
        <v>0.55</v>
      </c>
      <c r="D14" s="10">
        <v>23</v>
      </c>
      <c r="E14" s="10">
        <v>20</v>
      </c>
      <c r="F14" s="10">
        <v>11</v>
      </c>
      <c r="G14" s="10" cm="1">
        <f t="array" ref="G14">F14-(H14+I14+J14)</f>
        <v>6</v>
      </c>
      <c r="H14" s="10">
        <v>4</v>
      </c>
      <c r="I14" s="10">
        <v>1</v>
      </c>
      <c r="J14" s="10">
        <v>0</v>
      </c>
      <c r="K14" s="10">
        <v>11</v>
      </c>
      <c r="L14" s="10">
        <v>11</v>
      </c>
      <c r="M14" s="10">
        <v>8</v>
      </c>
      <c r="N14" s="10" cm="1">
        <f t="array" ref="N14">Y14+Z14</f>
        <v>3</v>
      </c>
      <c r="O14" s="10">
        <v>1</v>
      </c>
      <c r="P14" s="12" cm="1">
        <f t="array" ref="P14">O14/D14</f>
        <v>0.0434782608695652</v>
      </c>
      <c r="Q14" s="13" cm="1">
        <f t="array" ref="Q14">(G14*1+H14*2+I14*3+J14*4)/E14</f>
        <v>0.85</v>
      </c>
      <c r="R14" s="13" cm="1">
        <f t="array" ref="R14">(F14+N14)/(D14-AA14)</f>
        <v>0.608695652173913</v>
      </c>
      <c r="S14" s="15" cm="1">
        <f t="array" ref="S14">R14+Q14</f>
        <v>1.45869565217391</v>
      </c>
      <c r="T14" s="153" cm="1">
        <f t="array" ref="T14">O14/(D14-(F14+N14))</f>
        <v>0.111111111111111</v>
      </c>
      <c r="U14" s="17" cm="1">
        <f t="array" ref="U14">RANK(R14,$R$4:$R$26)</f>
        <v>4</v>
      </c>
      <c r="V14" s="18" cm="1">
        <f t="array" ref="V14">RANK(S14,$S$4:$S$26)</f>
        <v>2</v>
      </c>
      <c r="W14" s="154" cm="1">
        <f t="array" ref="W14">RANK(C14,$C$4:$C$26)</f>
        <v>4</v>
      </c>
      <c r="X14" s="212"/>
      <c r="Y14" s="48">
        <v>2</v>
      </c>
      <c r="Z14" s="48">
        <v>1</v>
      </c>
      <c r="AA14" s="48">
        <v>0</v>
      </c>
      <c r="AB14" s="48">
        <v>0</v>
      </c>
      <c r="AC14" s="158"/>
    </row>
    <row r="15" ht="17.25" customHeight="1">
      <c r="A15" t="s" s="8">
        <v>35</v>
      </c>
      <c r="B15" s="10">
        <v>4</v>
      </c>
      <c r="C15" s="206" cm="1">
        <f t="array" ref="C15">F15/E15</f>
        <v>0.272727272727273</v>
      </c>
      <c r="D15" s="10">
        <v>12</v>
      </c>
      <c r="E15" s="10">
        <v>11</v>
      </c>
      <c r="F15" s="10">
        <v>3</v>
      </c>
      <c r="G15" s="10" cm="1">
        <f t="array" ref="G15">F15-(H15+I15+J15)</f>
        <v>3</v>
      </c>
      <c r="H15" s="10">
        <v>0</v>
      </c>
      <c r="I15" s="10">
        <v>0</v>
      </c>
      <c r="J15" s="10">
        <v>0</v>
      </c>
      <c r="K15" s="10">
        <v>2</v>
      </c>
      <c r="L15" s="10">
        <v>0</v>
      </c>
      <c r="M15" s="10">
        <v>3</v>
      </c>
      <c r="N15" s="10" cm="1">
        <f t="array" ref="N15">Y15+Z15</f>
        <v>1</v>
      </c>
      <c r="O15" s="10">
        <v>3</v>
      </c>
      <c r="P15" s="12" cm="1">
        <f t="array" ref="P15">O15/D15</f>
        <v>0.25</v>
      </c>
      <c r="Q15" s="13" cm="1">
        <f t="array" ref="Q15">(G15*1+H15*2+I15*3+J15*4)/E15</f>
        <v>0.272727272727273</v>
      </c>
      <c r="R15" s="13" cm="1">
        <f t="array" ref="R15">(F15+N15)/(D15-AA15)</f>
        <v>0.333333333333333</v>
      </c>
      <c r="S15" s="15" cm="1">
        <f t="array" ref="S15">R15+Q15</f>
        <v>0.606060606060606</v>
      </c>
      <c r="T15" s="153" cm="1">
        <f t="array" ref="T15">O15/(D15-(F15+N15))</f>
        <v>0.375</v>
      </c>
      <c r="U15" s="17" cm="1">
        <f t="array" ref="U15">RANK(R15,$R$4:$R$26)</f>
        <v>13</v>
      </c>
      <c r="V15" s="18" cm="1">
        <f t="array" ref="V15">RANK(S15,$S$4:$S$26)</f>
        <v>13</v>
      </c>
      <c r="W15" s="154" cm="1">
        <f t="array" ref="W15">RANK(C15,$C$4:$C$26)</f>
        <v>12</v>
      </c>
      <c r="X15" s="212"/>
      <c r="Y15" s="48">
        <v>0</v>
      </c>
      <c r="Z15" s="48">
        <v>1</v>
      </c>
      <c r="AA15" s="48">
        <v>0</v>
      </c>
      <c r="AB15" s="48">
        <v>0</v>
      </c>
      <c r="AC15" s="158"/>
    </row>
    <row r="16" ht="17.25" customHeight="1">
      <c r="A16" t="s" s="8">
        <v>36</v>
      </c>
      <c r="B16" s="10">
        <v>6</v>
      </c>
      <c r="C16" s="206" cm="1">
        <f t="array" ref="C16">F16/E16</f>
        <v>0.181818181818182</v>
      </c>
      <c r="D16" s="10">
        <v>13</v>
      </c>
      <c r="E16" s="10">
        <v>11</v>
      </c>
      <c r="F16" s="10">
        <v>2</v>
      </c>
      <c r="G16" s="10" cm="1">
        <f t="array" ref="G16">F16-(H16+I16+J16)</f>
        <v>2</v>
      </c>
      <c r="H16" s="10">
        <v>0</v>
      </c>
      <c r="I16" s="10">
        <v>0</v>
      </c>
      <c r="J16" s="10">
        <v>0</v>
      </c>
      <c r="K16" s="10">
        <v>1</v>
      </c>
      <c r="L16" s="10">
        <v>2</v>
      </c>
      <c r="M16" s="10">
        <v>1</v>
      </c>
      <c r="N16" s="10" cm="1">
        <f t="array" ref="N16">Y16+Z16</f>
        <v>1</v>
      </c>
      <c r="O16" s="10">
        <v>1</v>
      </c>
      <c r="P16" s="12" cm="1">
        <f t="array" ref="P16">O16/D16</f>
        <v>0.0769230769230769</v>
      </c>
      <c r="Q16" s="13" cm="1">
        <f t="array" ref="Q16">(G16*1+H16*2+I16*3+J16*4)/E16</f>
        <v>0.181818181818182</v>
      </c>
      <c r="R16" s="13" cm="1">
        <f t="array" ref="R16">(F16+N16)/(D16-AA16)</f>
        <v>0.230769230769231</v>
      </c>
      <c r="S16" s="15" cm="1">
        <f t="array" ref="S16">R16+Q16</f>
        <v>0.412587412587413</v>
      </c>
      <c r="T16" s="153" cm="1">
        <f t="array" ref="T16">O16/(D16-(F16+N16))</f>
        <v>0.1</v>
      </c>
      <c r="U16" s="17" cm="1">
        <f t="array" ref="U16">RANK(R16,$R$4:$R$26)</f>
        <v>14</v>
      </c>
      <c r="V16" s="18" cm="1">
        <f t="array" ref="V16">RANK(S16,$S$4:$S$26)</f>
        <v>14</v>
      </c>
      <c r="W16" s="154" cm="1">
        <f t="array" ref="W16">RANK(C16,$C$4:$C$26)</f>
        <v>13</v>
      </c>
      <c r="X16" s="212"/>
      <c r="Y16" s="48">
        <v>1</v>
      </c>
      <c r="Z16" s="48">
        <v>0</v>
      </c>
      <c r="AA16" s="48">
        <v>0</v>
      </c>
      <c r="AB16" s="48">
        <v>0</v>
      </c>
      <c r="AC16" s="158"/>
    </row>
    <row r="17" ht="17.25" customHeight="1">
      <c r="A17" t="s" s="8">
        <v>37</v>
      </c>
      <c r="B17" s="10">
        <v>3</v>
      </c>
      <c r="C17" s="206" cm="1">
        <f t="array" ref="C17">F17/E17</f>
        <v>0.375</v>
      </c>
      <c r="D17" s="10">
        <v>9</v>
      </c>
      <c r="E17" s="10">
        <v>8</v>
      </c>
      <c r="F17" s="10">
        <v>3</v>
      </c>
      <c r="G17" s="10" cm="1">
        <f t="array" ref="G17">F17-(H17+I17+J17)</f>
        <v>2</v>
      </c>
      <c r="H17" s="10">
        <v>1</v>
      </c>
      <c r="I17" s="10">
        <v>0</v>
      </c>
      <c r="J17" s="10">
        <v>0</v>
      </c>
      <c r="K17" s="10">
        <v>1</v>
      </c>
      <c r="L17" s="10">
        <v>2</v>
      </c>
      <c r="M17" s="10">
        <v>4</v>
      </c>
      <c r="N17" s="10" cm="1">
        <f t="array" ref="N17">Y17+Z17</f>
        <v>1</v>
      </c>
      <c r="O17" s="10">
        <v>1</v>
      </c>
      <c r="P17" s="12" cm="1">
        <f t="array" ref="P17">O17/D17</f>
        <v>0.111111111111111</v>
      </c>
      <c r="Q17" s="13" cm="1">
        <f t="array" ref="Q17">(G17*1+H17*2+I17*3+J17*4)/E17</f>
        <v>0.5</v>
      </c>
      <c r="R17" s="13" cm="1">
        <f t="array" ref="R17">(F17+N17)/(D17-AA17)</f>
        <v>0.444444444444444</v>
      </c>
      <c r="S17" s="15" cm="1">
        <f t="array" ref="S17">R17+Q17</f>
        <v>0.944444444444444</v>
      </c>
      <c r="T17" s="153" cm="1">
        <f t="array" ref="T17">O17/(D17-(F17+N17))</f>
        <v>0.2</v>
      </c>
      <c r="U17" s="17" cm="1">
        <f t="array" ref="U17">RANK(R17,$R$4:$R$26)</f>
        <v>11</v>
      </c>
      <c r="V17" s="18" cm="1">
        <f t="array" ref="V17">RANK(S17,$S$4:$S$26)</f>
        <v>11</v>
      </c>
      <c r="W17" s="154" cm="1">
        <f t="array" ref="W17">RANK(C17,$C$4:$C$26)</f>
        <v>10</v>
      </c>
      <c r="X17" s="212"/>
      <c r="Y17" s="48">
        <v>1</v>
      </c>
      <c r="Z17" s="48">
        <v>0</v>
      </c>
      <c r="AA17" s="48">
        <v>0</v>
      </c>
      <c r="AB17" s="48">
        <v>0</v>
      </c>
      <c r="AC17" s="158"/>
    </row>
    <row r="18" ht="17.25" customHeight="1">
      <c r="A18" t="s" s="8">
        <v>38</v>
      </c>
      <c r="B18" s="208"/>
      <c r="C18" s="206"/>
      <c r="D18" s="208"/>
      <c r="E18" s="208"/>
      <c r="F18" s="208"/>
      <c r="G18" s="10" cm="1">
        <f t="array" ref="G18">F18-(H18+I18+J18)</f>
        <v>0</v>
      </c>
      <c r="H18" s="208"/>
      <c r="I18" s="208"/>
      <c r="J18" s="208"/>
      <c r="K18" s="208"/>
      <c r="L18" s="208"/>
      <c r="M18" s="208"/>
      <c r="N18" s="10" cm="1">
        <f t="array" ref="N18">Y18+Z18</f>
        <v>0</v>
      </c>
      <c r="O18" s="208"/>
      <c r="P18" s="12"/>
      <c r="Q18" s="13"/>
      <c r="R18" s="13"/>
      <c r="S18" s="15"/>
      <c r="T18" s="153"/>
      <c r="U18" s="159"/>
      <c r="V18" s="160"/>
      <c r="W18" s="213"/>
      <c r="X18" s="212"/>
      <c r="Y18" s="158"/>
      <c r="Z18" s="158"/>
      <c r="AA18" s="158"/>
      <c r="AB18" s="158"/>
      <c r="AC18" s="158"/>
    </row>
    <row r="19" ht="17.25" customHeight="1">
      <c r="A19" t="s" s="8">
        <v>39</v>
      </c>
      <c r="B19" s="10">
        <v>5</v>
      </c>
      <c r="C19" s="206" cm="1">
        <f t="array" ref="C19">F19/E19</f>
        <v>0.5</v>
      </c>
      <c r="D19" s="10">
        <v>15</v>
      </c>
      <c r="E19" s="10">
        <v>12</v>
      </c>
      <c r="F19" s="10">
        <v>6</v>
      </c>
      <c r="G19" s="10" cm="1">
        <f t="array" ref="G19">F19-(H19+I19+J19)</f>
        <v>5</v>
      </c>
      <c r="H19" s="10">
        <v>1</v>
      </c>
      <c r="I19" s="10">
        <v>0</v>
      </c>
      <c r="J19" s="10">
        <v>0</v>
      </c>
      <c r="K19" s="10">
        <v>4</v>
      </c>
      <c r="L19" s="10">
        <v>2</v>
      </c>
      <c r="M19" s="10">
        <v>2</v>
      </c>
      <c r="N19" s="10" cm="1">
        <f t="array" ref="N19">Y19+Z19</f>
        <v>2</v>
      </c>
      <c r="O19" s="10">
        <v>3</v>
      </c>
      <c r="P19" s="12" cm="1">
        <f t="array" ref="P19">O19/D19</f>
        <v>0.2</v>
      </c>
      <c r="Q19" s="13" cm="1">
        <f t="array" ref="Q19">(G19*1+H19*2+I19*3+J19*4)/E19</f>
        <v>0.583333333333333</v>
      </c>
      <c r="R19" s="13" cm="1">
        <f t="array" ref="R19">(F19+N19)/(D19-AA19)</f>
        <v>0.533333333333333</v>
      </c>
      <c r="S19" s="15" cm="1">
        <f t="array" ref="S19">R19+Q19</f>
        <v>1.11666666666667</v>
      </c>
      <c r="T19" s="153" cm="1">
        <f t="array" ref="T19">O19/(D19-(F19+N19))</f>
        <v>0.428571428571429</v>
      </c>
      <c r="U19" s="17" cm="1">
        <f t="array" ref="U19">RANK(R19,$R$4:$R$26)</f>
        <v>10</v>
      </c>
      <c r="V19" s="18" cm="1">
        <f t="array" ref="V19">RANK(S19,$S$4:$S$26)</f>
        <v>6</v>
      </c>
      <c r="W19" s="154" cm="1">
        <f t="array" ref="W19">RANK(C19,$C$4:$C$26)</f>
        <v>7</v>
      </c>
      <c r="X19" s="212"/>
      <c r="Y19" s="48">
        <v>2</v>
      </c>
      <c r="Z19" s="48">
        <v>0</v>
      </c>
      <c r="AA19" s="48">
        <v>0</v>
      </c>
      <c r="AB19" s="48">
        <v>0</v>
      </c>
      <c r="AC19" s="158"/>
    </row>
    <row r="20" ht="17.25" customHeight="1">
      <c r="A20" t="s" s="8">
        <v>70</v>
      </c>
      <c r="B20" s="208"/>
      <c r="C20" s="206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12"/>
      <c r="Q20" s="13"/>
      <c r="R20" s="13"/>
      <c r="S20" s="15"/>
      <c r="T20" s="153"/>
      <c r="U20" s="159"/>
      <c r="V20" s="160"/>
      <c r="W20" s="213"/>
      <c r="X20" s="212"/>
      <c r="Y20" s="158"/>
      <c r="Z20" s="158"/>
      <c r="AA20" s="158"/>
      <c r="AB20" s="158"/>
      <c r="AC20" s="158"/>
    </row>
    <row r="21" ht="17.25" customHeight="1">
      <c r="A21" t="s" s="8">
        <v>40</v>
      </c>
      <c r="B21" s="10">
        <v>3</v>
      </c>
      <c r="C21" s="206" cm="1">
        <f t="array" ref="C21">F21/E21</f>
        <v>0.4</v>
      </c>
      <c r="D21" s="10">
        <v>7</v>
      </c>
      <c r="E21" s="10">
        <v>5</v>
      </c>
      <c r="F21" s="10">
        <v>2</v>
      </c>
      <c r="G21" s="10" cm="1">
        <f t="array" ref="G21">F21-(H21+I21+J21)</f>
        <v>2</v>
      </c>
      <c r="H21" s="10">
        <v>0</v>
      </c>
      <c r="I21" s="10">
        <v>0</v>
      </c>
      <c r="J21" s="10">
        <v>0</v>
      </c>
      <c r="K21" s="10">
        <v>2</v>
      </c>
      <c r="L21" s="10">
        <v>3</v>
      </c>
      <c r="M21" s="10">
        <v>3</v>
      </c>
      <c r="N21" s="10" cm="1">
        <f t="array" ref="N21">Y21+Z21</f>
        <v>2</v>
      </c>
      <c r="O21" s="10">
        <v>0</v>
      </c>
      <c r="P21" s="12" cm="1">
        <f t="array" ref="P21">O21/D21</f>
        <v>0</v>
      </c>
      <c r="Q21" s="13" cm="1">
        <f t="array" ref="Q21">(G21*1+H21*2+I21*3+J21*4)/E21</f>
        <v>0.4</v>
      </c>
      <c r="R21" s="13" cm="1">
        <f t="array" ref="R21">(F21+N21)/(D21-AA21)</f>
        <v>0.571428571428571</v>
      </c>
      <c r="S21" s="15" cm="1">
        <f t="array" ref="S21">R21+Q21</f>
        <v>0.971428571428571</v>
      </c>
      <c r="T21" s="153" cm="1">
        <f t="array" ref="T21">O21/(D21-(F21+N21))</f>
        <v>0</v>
      </c>
      <c r="U21" s="17" cm="1">
        <f t="array" ref="U21">RANK(R21,$R$4:$R$26)</f>
        <v>6</v>
      </c>
      <c r="V21" s="18" cm="1">
        <f t="array" ref="V21">RANK(S21,$S$4:$S$26)</f>
        <v>10</v>
      </c>
      <c r="W21" s="154" cm="1">
        <f t="array" ref="W21">RANK(C21,$C$4:$C$26)</f>
        <v>9</v>
      </c>
      <c r="X21" s="212"/>
      <c r="Y21" s="48">
        <v>1</v>
      </c>
      <c r="Z21" s="48">
        <v>1</v>
      </c>
      <c r="AA21" s="48">
        <v>0</v>
      </c>
      <c r="AB21" s="48">
        <v>0</v>
      </c>
      <c r="AC21" s="158"/>
    </row>
    <row r="22" ht="17.25" customHeight="1">
      <c r="A22" t="s" s="8">
        <v>41</v>
      </c>
      <c r="B22" s="208"/>
      <c r="C22" s="206"/>
      <c r="D22" s="208"/>
      <c r="E22" s="208"/>
      <c r="F22" s="208"/>
      <c r="G22" s="10" cm="1">
        <f t="array" ref="G22">F22-(H22+I22+J22)</f>
        <v>0</v>
      </c>
      <c r="H22" s="208"/>
      <c r="I22" s="208"/>
      <c r="J22" s="208"/>
      <c r="K22" s="208"/>
      <c r="L22" s="208"/>
      <c r="M22" s="208"/>
      <c r="N22" s="10" cm="1">
        <f t="array" ref="N22">Y22+Z22</f>
        <v>0</v>
      </c>
      <c r="O22" s="208"/>
      <c r="P22" s="12"/>
      <c r="Q22" s="13"/>
      <c r="R22" s="13"/>
      <c r="S22" s="15"/>
      <c r="T22" s="153"/>
      <c r="U22" s="159"/>
      <c r="V22" s="160"/>
      <c r="W22" s="213"/>
      <c r="X22" s="212"/>
      <c r="Y22" s="158"/>
      <c r="Z22" s="158"/>
      <c r="AA22" s="158"/>
      <c r="AB22" s="158"/>
      <c r="AC22" s="158"/>
    </row>
    <row r="23" ht="17.25" customHeight="1">
      <c r="A23" t="s" s="8">
        <v>42</v>
      </c>
      <c r="B23" s="208"/>
      <c r="C23" s="206"/>
      <c r="D23" s="208"/>
      <c r="E23" s="208"/>
      <c r="F23" s="208"/>
      <c r="G23" s="10" cm="1">
        <f t="array" ref="G23">F23-(H23+I23+J23)</f>
        <v>0</v>
      </c>
      <c r="H23" s="208"/>
      <c r="I23" s="208"/>
      <c r="J23" s="208"/>
      <c r="K23" s="208"/>
      <c r="L23" s="208"/>
      <c r="M23" s="208"/>
      <c r="N23" s="10" cm="1">
        <f t="array" ref="N23">Y23+Z23</f>
        <v>0</v>
      </c>
      <c r="O23" s="208"/>
      <c r="P23" s="12"/>
      <c r="Q23" s="13"/>
      <c r="R23" s="13"/>
      <c r="S23" s="15"/>
      <c r="T23" s="153"/>
      <c r="U23" s="159"/>
      <c r="V23" s="160"/>
      <c r="W23" s="213"/>
      <c r="X23" s="212"/>
      <c r="Y23" s="158"/>
      <c r="Z23" s="158"/>
      <c r="AA23" s="158"/>
      <c r="AB23" s="158"/>
      <c r="AC23" s="158"/>
    </row>
    <row r="24" ht="17.25" customHeight="1">
      <c r="A24" t="s" s="8">
        <v>43</v>
      </c>
      <c r="B24" s="10">
        <v>7</v>
      </c>
      <c r="C24" s="206" cm="1">
        <f t="array" ref="C24">F24/E24</f>
        <v>0.526315789473684</v>
      </c>
      <c r="D24" s="10">
        <v>23</v>
      </c>
      <c r="E24" s="10">
        <v>19</v>
      </c>
      <c r="F24" s="10">
        <v>10</v>
      </c>
      <c r="G24" s="10" cm="1">
        <f t="array" ref="G24">F24-(H24+I24+J24)</f>
        <v>9</v>
      </c>
      <c r="H24" s="10">
        <v>1</v>
      </c>
      <c r="I24" s="10">
        <v>0</v>
      </c>
      <c r="J24" s="10">
        <v>0</v>
      </c>
      <c r="K24" s="10">
        <v>3</v>
      </c>
      <c r="L24" s="10">
        <v>9</v>
      </c>
      <c r="M24" s="10">
        <v>5</v>
      </c>
      <c r="N24" s="10" cm="1">
        <f t="array" ref="N24">Y24+Z24</f>
        <v>4</v>
      </c>
      <c r="O24" s="10">
        <v>1</v>
      </c>
      <c r="P24" s="12" cm="1">
        <f t="array" ref="P24">O24/D24</f>
        <v>0.0434782608695652</v>
      </c>
      <c r="Q24" s="13" cm="1">
        <f t="array" ref="Q24">(G24*1+H24*2+I24*3+J24*4)/E24</f>
        <v>0.578947368421053</v>
      </c>
      <c r="R24" s="13" cm="1">
        <f t="array" ref="R24">(F24+N24)/(D24-AA24)</f>
        <v>0.608695652173913</v>
      </c>
      <c r="S24" s="15" cm="1">
        <f t="array" ref="S24">R24+Q24</f>
        <v>1.18764302059497</v>
      </c>
      <c r="T24" s="153" cm="1">
        <f t="array" ref="T24">O24/(D24-(F24+N24))</f>
        <v>0.111111111111111</v>
      </c>
      <c r="U24" s="17" cm="1">
        <f t="array" ref="U24">RANK(R24,$R$4:$R$26)</f>
        <v>4</v>
      </c>
      <c r="V24" s="18" cm="1">
        <f t="array" ref="V24">RANK(S24,$S$4:$S$26)</f>
        <v>5</v>
      </c>
      <c r="W24" s="154" cm="1">
        <f t="array" ref="W24">RANK(C24,$C$4:$C$26)</f>
        <v>6</v>
      </c>
      <c r="X24" s="212"/>
      <c r="Y24" s="48">
        <v>3</v>
      </c>
      <c r="Z24" s="48">
        <v>1</v>
      </c>
      <c r="AA24" s="48">
        <v>0</v>
      </c>
      <c r="AB24" s="48">
        <v>0</v>
      </c>
      <c r="AC24" s="158"/>
    </row>
    <row r="25" ht="17.25" customHeight="1">
      <c r="A25" t="s" s="8">
        <v>71</v>
      </c>
      <c r="B25" s="208"/>
      <c r="C25" s="206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12"/>
      <c r="Q25" s="13"/>
      <c r="R25" s="13"/>
      <c r="S25" s="15"/>
      <c r="T25" s="153"/>
      <c r="U25" s="159"/>
      <c r="V25" s="160"/>
      <c r="W25" s="213"/>
      <c r="X25" s="212"/>
      <c r="Y25" s="158"/>
      <c r="Z25" s="158"/>
      <c r="AA25" s="158"/>
      <c r="AB25" s="158"/>
      <c r="AC25" s="214"/>
    </row>
    <row r="26" ht="17.25" customHeight="1">
      <c r="A26" t="s" s="8">
        <v>44</v>
      </c>
      <c r="B26" s="10">
        <v>6</v>
      </c>
      <c r="C26" s="206" cm="1">
        <f t="array" ref="C26">F26/E26</f>
        <v>0.3125</v>
      </c>
      <c r="D26" s="10">
        <v>21</v>
      </c>
      <c r="E26" s="10">
        <v>16</v>
      </c>
      <c r="F26" s="10">
        <v>5</v>
      </c>
      <c r="G26" s="10" cm="1">
        <f t="array" ref="G26">F26-(H26+I26+J26)</f>
        <v>2</v>
      </c>
      <c r="H26" s="10">
        <v>2</v>
      </c>
      <c r="I26" s="10">
        <v>1</v>
      </c>
      <c r="J26" s="10">
        <v>0</v>
      </c>
      <c r="K26" s="10">
        <v>5</v>
      </c>
      <c r="L26" s="10">
        <v>6</v>
      </c>
      <c r="M26" s="10">
        <v>3</v>
      </c>
      <c r="N26" s="10" cm="1">
        <f t="array" ref="N26">Y26+Z26</f>
        <v>3</v>
      </c>
      <c r="O26" s="10">
        <v>0</v>
      </c>
      <c r="P26" s="12" cm="1">
        <f t="array" ref="P26">O26/D26</f>
        <v>0</v>
      </c>
      <c r="Q26" s="13" cm="1">
        <f t="array" ref="Q26">(G26*1+H26*2+I26*3+J26*4)/E26</f>
        <v>0.5625</v>
      </c>
      <c r="R26" s="13" cm="1">
        <f t="array" ref="R26">(F26+N26)/(D26-AA26)</f>
        <v>0.421052631578947</v>
      </c>
      <c r="S26" s="15" cm="1">
        <f t="array" ref="S26">R26+Q26</f>
        <v>0.983552631578947</v>
      </c>
      <c r="T26" s="153" cm="1">
        <f t="array" ref="T26">O26/(D26-(F26+N26))</f>
        <v>0</v>
      </c>
      <c r="U26" s="17" cm="1">
        <f t="array" ref="U26">RANK(R26,$R$4:$R$26)</f>
        <v>12</v>
      </c>
      <c r="V26" s="18" cm="1">
        <f t="array" ref="V26">RANK(S26,$S$4:$S$26)</f>
        <v>9</v>
      </c>
      <c r="W26" s="154" cm="1">
        <f t="array" ref="W26">RANK(C26,$C$4:$C$26)</f>
        <v>11</v>
      </c>
      <c r="X26" s="212"/>
      <c r="Y26" s="48">
        <v>3</v>
      </c>
      <c r="Z26" s="48">
        <v>0</v>
      </c>
      <c r="AA26" s="48">
        <v>2</v>
      </c>
      <c r="AB26" s="48">
        <v>0</v>
      </c>
      <c r="AC26" s="215"/>
    </row>
    <row r="27" ht="17.25" customHeight="1">
      <c r="A27" t="s" s="29">
        <v>45</v>
      </c>
      <c r="B27" s="124"/>
      <c r="C27" s="127" cm="1">
        <f t="array" ref="C27">F27/E27</f>
        <v>0.462857142857143</v>
      </c>
      <c r="D27" s="49" cm="1">
        <f t="array" ref="D27">SUM(D4:D26)</f>
        <v>211</v>
      </c>
      <c r="E27" s="49" cm="1">
        <f t="array" ref="E27">SUM(E4:E26)</f>
        <v>175</v>
      </c>
      <c r="F27" s="49" cm="1">
        <f t="array" ref="F27">SUM(F4:F26)</f>
        <v>81</v>
      </c>
      <c r="G27" s="49" cm="1">
        <f t="array" ref="G27">SUM(G4:G26)</f>
        <v>61</v>
      </c>
      <c r="H27" s="49" cm="1">
        <f t="array" ref="H27">SUM(H4:H26)</f>
        <v>17</v>
      </c>
      <c r="I27" s="49" cm="1">
        <f t="array" ref="I27">SUM(I4:I26)</f>
        <v>3</v>
      </c>
      <c r="J27" s="49" cm="1">
        <f t="array" ref="J27">SUM(J4:J26)</f>
        <v>0</v>
      </c>
      <c r="K27" s="49" cm="1">
        <f t="array" ref="K27">SUM(K4:K26)</f>
        <v>71</v>
      </c>
      <c r="L27" s="49" cm="1">
        <f t="array" ref="L27">SUM(L4:L26)</f>
        <v>60</v>
      </c>
      <c r="M27" s="49" cm="1">
        <f t="array" ref="M27">SUM(M4:M26)</f>
        <v>65</v>
      </c>
      <c r="N27" s="49" cm="1">
        <f t="array" ref="N27">SUM(N4:N26)</f>
        <v>29</v>
      </c>
      <c r="O27" s="49" cm="1">
        <f t="array" ref="O27">SUM(O4:O26)</f>
        <v>19</v>
      </c>
      <c r="P27" s="33" cm="1">
        <f t="array" ref="P27">O27/D27</f>
        <v>0.0900473933649289</v>
      </c>
      <c r="Q27" s="127"/>
      <c r="R27" s="127"/>
      <c r="S27" s="121"/>
      <c r="T27" s="31"/>
      <c r="U27" s="31"/>
      <c r="V27" s="31"/>
      <c r="W27" s="31"/>
      <c r="X27" s="61"/>
      <c r="Y27" s="161" cm="1">
        <f t="array" ref="Y27">SUM(Y4:Y26)</f>
        <v>20</v>
      </c>
      <c r="Z27" s="161" cm="1">
        <f t="array" ref="Z27">SUM(Z4:Z26)</f>
        <v>9</v>
      </c>
      <c r="AA27" s="161" cm="1">
        <f t="array" ref="AA27">SUM(AA4:AA26)</f>
        <v>2</v>
      </c>
      <c r="AB27" s="161" cm="1">
        <f t="array" ref="AB27">SUM(AB4:AB26)</f>
        <v>0</v>
      </c>
      <c r="AC27" s="161" cm="1">
        <f t="array" ref="AC27">SUM(AC4:AC26)</f>
        <v>0</v>
      </c>
    </row>
    <row r="28" ht="17.25" customHeight="1">
      <c r="A28" s="135"/>
      <c r="B28" s="136"/>
      <c r="C28" s="137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7"/>
      <c r="R28" s="137"/>
      <c r="S28" s="138"/>
      <c r="T28" s="34"/>
      <c r="U28" s="34"/>
      <c r="V28" s="34"/>
      <c r="W28" s="34"/>
      <c r="X28" s="3"/>
      <c r="Y28" s="34"/>
      <c r="Z28" s="34"/>
      <c r="AA28" s="34"/>
      <c r="AB28" s="34"/>
      <c r="AC28" s="34"/>
    </row>
    <row r="29" ht="17.25" customHeight="1">
      <c r="A29" t="s" s="139">
        <v>46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6"/>
      <c r="T29" s="6"/>
      <c r="U29" s="6"/>
      <c r="V29" s="6"/>
      <c r="W29" s="6"/>
      <c r="X29" s="3"/>
      <c r="Y29" s="6"/>
      <c r="Z29" s="6"/>
      <c r="AA29" s="3"/>
      <c r="AB29" s="3"/>
      <c r="AC29" s="3"/>
    </row>
    <row r="30" ht="34.5" customHeight="1">
      <c r="A30" t="s" s="8">
        <v>2</v>
      </c>
      <c r="B30" t="s" s="8">
        <v>3</v>
      </c>
      <c r="C30" t="s" s="8">
        <v>47</v>
      </c>
      <c r="D30" t="s" s="8">
        <v>48</v>
      </c>
      <c r="E30" t="s" s="8">
        <v>49</v>
      </c>
      <c r="F30" t="s" s="8">
        <v>50</v>
      </c>
      <c r="G30" t="s" s="8">
        <v>6</v>
      </c>
      <c r="H30" t="s" s="8">
        <v>51</v>
      </c>
      <c r="I30" t="s" s="8">
        <v>52</v>
      </c>
      <c r="J30" t="s" s="8">
        <v>53</v>
      </c>
      <c r="K30" t="s" s="8">
        <v>54</v>
      </c>
      <c r="L30" t="s" s="8">
        <v>55</v>
      </c>
      <c r="M30" t="s" s="8">
        <v>56</v>
      </c>
      <c r="N30" t="s" s="8">
        <v>57</v>
      </c>
      <c r="O30" t="s" s="8">
        <v>58</v>
      </c>
      <c r="P30" t="s" s="8">
        <v>59</v>
      </c>
      <c r="Q30" t="s" s="8">
        <v>60</v>
      </c>
      <c r="R30" t="s" s="8">
        <v>61</v>
      </c>
      <c r="S30" t="s" s="8">
        <v>116</v>
      </c>
      <c r="T30" t="s" s="8">
        <v>63</v>
      </c>
      <c r="U30" t="s" s="8">
        <v>167</v>
      </c>
      <c r="V30" t="s" s="8">
        <v>65</v>
      </c>
      <c r="W30" t="s" s="8">
        <v>117</v>
      </c>
      <c r="X30" s="61"/>
      <c r="Y30" t="s" s="8">
        <v>118</v>
      </c>
      <c r="Z30" t="s" s="8">
        <v>119</v>
      </c>
      <c r="AA30" s="9"/>
      <c r="AB30" s="3"/>
      <c r="AC30" s="3"/>
    </row>
    <row r="31" ht="17.25" customHeight="1">
      <c r="A31" t="s" s="8">
        <v>24</v>
      </c>
      <c r="B31" s="208"/>
      <c r="C31" s="208"/>
      <c r="D31" s="208"/>
      <c r="E31" s="208"/>
      <c r="F31" s="208"/>
      <c r="G31" s="208"/>
      <c r="H31" s="39"/>
      <c r="I31" s="208"/>
      <c r="J31" s="208"/>
      <c r="K31" s="208"/>
      <c r="L31" s="208"/>
      <c r="M31" s="208"/>
      <c r="N31" s="208"/>
      <c r="O31" s="208"/>
      <c r="P31" s="40" cm="1">
        <f t="array" ref="P31">O31*9/H31</f>
      </c>
      <c r="Q31" s="41" cm="1">
        <f t="array" ref="Q31">(K31+L31)/H31</f>
      </c>
      <c r="R31" s="42" cm="1">
        <f t="array" ref="R31">I31/H31</f>
      </c>
      <c r="S31" s="42" cm="1">
        <f t="array" ref="S31">H31/B31</f>
      </c>
      <c r="T31" s="41" cm="1">
        <f t="array" ref="T31">M31/H31</f>
      </c>
      <c r="U31" s="44" cm="1">
        <f t="array" ref="U31">O31/N31</f>
      </c>
      <c r="V31" s="41" cm="1">
        <f t="array" ref="V31">(I31+K31+L31)/H31</f>
      </c>
      <c r="W31" s="170" cm="1">
        <f t="array" ref="W31">(L31+K31)/F31*100</f>
      </c>
      <c r="X31" s="216"/>
      <c r="Y31" s="217"/>
      <c r="Z31" s="217"/>
      <c r="AA31" s="9"/>
      <c r="AB31" s="3"/>
      <c r="AC31" s="3"/>
    </row>
    <row r="32" ht="17.25" customHeight="1">
      <c r="A32" t="s" s="8">
        <v>27</v>
      </c>
      <c r="B32" s="208"/>
      <c r="C32" s="208"/>
      <c r="D32" s="208"/>
      <c r="E32" s="208"/>
      <c r="F32" s="208"/>
      <c r="G32" s="208"/>
      <c r="H32" s="39"/>
      <c r="I32" s="208"/>
      <c r="J32" s="208"/>
      <c r="K32" s="208"/>
      <c r="L32" s="208"/>
      <c r="M32" s="208"/>
      <c r="N32" s="208"/>
      <c r="O32" s="208"/>
      <c r="P32" s="40" cm="1">
        <f t="array" ref="P32">O32*9/H32</f>
      </c>
      <c r="Q32" s="41" cm="1">
        <f t="array" ref="Q32">(K32+L32)/H32</f>
      </c>
      <c r="R32" s="42" cm="1">
        <f t="array" ref="R32">I32/H32</f>
      </c>
      <c r="S32" s="42" cm="1">
        <f t="array" ref="S32">H32/B32</f>
      </c>
      <c r="T32" s="41" cm="1">
        <f t="array" ref="T32">M32/H32</f>
      </c>
      <c r="U32" s="44" cm="1">
        <f t="array" ref="U32">O32/N32</f>
      </c>
      <c r="V32" s="41" cm="1">
        <f t="array" ref="V32">(I32+K32+L32)/H32</f>
      </c>
      <c r="W32" s="170" cm="1">
        <f t="array" ref="W32">(L32+K32)/F32*100</f>
      </c>
      <c r="X32" s="216"/>
      <c r="Y32" s="217"/>
      <c r="Z32" s="217"/>
      <c r="AA32" s="9"/>
      <c r="AB32" s="3"/>
      <c r="AC32" s="3"/>
    </row>
    <row r="33" ht="17.25" customHeight="1">
      <c r="A33" t="s" s="8">
        <v>29</v>
      </c>
      <c r="B33" s="10">
        <v>5</v>
      </c>
      <c r="C33" s="10">
        <v>2</v>
      </c>
      <c r="D33" s="10">
        <v>0</v>
      </c>
      <c r="E33" s="10">
        <v>0</v>
      </c>
      <c r="F33" s="10">
        <v>92</v>
      </c>
      <c r="G33" s="10">
        <v>78</v>
      </c>
      <c r="H33" s="39">
        <v>18</v>
      </c>
      <c r="I33" s="10">
        <v>25</v>
      </c>
      <c r="J33" s="10">
        <v>0</v>
      </c>
      <c r="K33" s="10">
        <v>11</v>
      </c>
      <c r="L33" s="10">
        <v>2</v>
      </c>
      <c r="M33" s="10">
        <v>13</v>
      </c>
      <c r="N33" s="10">
        <v>14</v>
      </c>
      <c r="O33" s="10">
        <v>9</v>
      </c>
      <c r="P33" s="40" cm="1">
        <f t="array" ref="P33">O33*9/H33</f>
        <v>4.5</v>
      </c>
      <c r="Q33" s="41" cm="1">
        <f t="array" ref="Q33">(K33+L33)/H33</f>
        <v>0.722222222222222</v>
      </c>
      <c r="R33" s="42" cm="1">
        <f t="array" ref="R33">I33/H33</f>
        <v>1.38888888888889</v>
      </c>
      <c r="S33" s="42" cm="1">
        <f t="array" ref="S33">H33/B33</f>
        <v>3.6</v>
      </c>
      <c r="T33" s="41" cm="1">
        <f t="array" ref="T33">M33/H33</f>
        <v>0.722222222222222</v>
      </c>
      <c r="U33" s="44" cm="1">
        <f t="array" ref="U33">O33/N33</f>
        <v>0.642857142857143</v>
      </c>
      <c r="V33" s="41" cm="1">
        <f t="array" ref="V33">(I33+K33+L33)/H33</f>
        <v>2.11111111111111</v>
      </c>
      <c r="W33" s="170" cm="1">
        <f t="array" ref="W33">(L33+K33)/F33*100</f>
        <v>14.1304347826087</v>
      </c>
      <c r="X33" s="216"/>
      <c r="Y33" s="217"/>
      <c r="Z33" s="217"/>
      <c r="AA33" s="9"/>
      <c r="AB33" s="3"/>
      <c r="AC33" s="3"/>
    </row>
    <row r="34" ht="17.25" customHeight="1">
      <c r="A34" t="s" s="8">
        <v>33</v>
      </c>
      <c r="B34" s="10">
        <v>2</v>
      </c>
      <c r="C34" s="10">
        <v>0</v>
      </c>
      <c r="D34" s="10">
        <v>1</v>
      </c>
      <c r="E34" s="10">
        <v>0</v>
      </c>
      <c r="F34" s="10">
        <v>36</v>
      </c>
      <c r="G34" s="10">
        <v>29</v>
      </c>
      <c r="H34" s="39">
        <v>5</v>
      </c>
      <c r="I34" s="10">
        <v>11</v>
      </c>
      <c r="J34" s="10">
        <v>0</v>
      </c>
      <c r="K34" s="10">
        <v>5</v>
      </c>
      <c r="L34" s="10">
        <v>1</v>
      </c>
      <c r="M34" s="10">
        <v>3</v>
      </c>
      <c r="N34" s="10">
        <v>15</v>
      </c>
      <c r="O34" s="10">
        <v>10</v>
      </c>
      <c r="P34" s="40" cm="1">
        <f t="array" ref="P34">O34*9/H34</f>
        <v>18</v>
      </c>
      <c r="Q34" s="41" cm="1">
        <f t="array" ref="Q34">(K34+L34)/H34</f>
        <v>1.2</v>
      </c>
      <c r="R34" s="42" cm="1">
        <f t="array" ref="R34">I34/H34</f>
        <v>2.2</v>
      </c>
      <c r="S34" s="42" cm="1">
        <f t="array" ref="S34">H34/B34</f>
        <v>2.5</v>
      </c>
      <c r="T34" s="41" cm="1">
        <f t="array" ref="T34">M34/H34</f>
        <v>0.6</v>
      </c>
      <c r="U34" s="44" cm="1">
        <f t="array" ref="U34">O34/N34</f>
        <v>0.666666666666667</v>
      </c>
      <c r="V34" s="41" cm="1">
        <f t="array" ref="V34">(I34+K34+L34)/H34</f>
        <v>3.4</v>
      </c>
      <c r="W34" s="170" cm="1">
        <f t="array" ref="W34">(L34+K34)/F34*100</f>
        <v>16.6666666666667</v>
      </c>
      <c r="X34" s="216"/>
      <c r="Y34" s="217"/>
      <c r="Z34" s="217"/>
      <c r="AA34" s="9"/>
      <c r="AB34" s="3"/>
      <c r="AC34" s="3"/>
    </row>
    <row r="35" ht="17.25" customHeight="1">
      <c r="A35" t="s" s="8">
        <v>35</v>
      </c>
      <c r="B35" s="208"/>
      <c r="C35" s="208"/>
      <c r="D35" s="208"/>
      <c r="E35" s="208"/>
      <c r="F35" s="208"/>
      <c r="G35" s="208"/>
      <c r="H35" s="39"/>
      <c r="I35" s="208"/>
      <c r="J35" s="208"/>
      <c r="K35" s="208"/>
      <c r="L35" s="208"/>
      <c r="M35" s="208"/>
      <c r="N35" s="208"/>
      <c r="O35" s="208"/>
      <c r="P35" s="40" cm="1">
        <f t="array" ref="P35">O35*9/H35</f>
      </c>
      <c r="Q35" s="41" cm="1">
        <f t="array" ref="Q35">(K35+L35)/H35</f>
      </c>
      <c r="R35" s="42" cm="1">
        <f t="array" ref="R35">I35/H35</f>
      </c>
      <c r="S35" s="42" cm="1">
        <f t="array" ref="S35">H35/B35</f>
      </c>
      <c r="T35" s="41" cm="1">
        <f t="array" ref="T35">M35/H35</f>
      </c>
      <c r="U35" s="44" cm="1">
        <f t="array" ref="U35">O35/N35</f>
      </c>
      <c r="V35" s="41" cm="1">
        <f t="array" ref="V35">(I35+K35+L35)/H35</f>
      </c>
      <c r="W35" s="170" cm="1">
        <f t="array" ref="W35">(L35+K35)/F35*100</f>
      </c>
      <c r="X35" s="216"/>
      <c r="Y35" s="217"/>
      <c r="Z35" s="217"/>
      <c r="AA35" s="9"/>
      <c r="AB35" s="3"/>
      <c r="AC35" s="3"/>
    </row>
    <row r="36" ht="17.25" customHeight="1">
      <c r="A36" t="s" s="8">
        <v>36</v>
      </c>
      <c r="B36" s="10">
        <v>5</v>
      </c>
      <c r="C36" s="10">
        <v>2</v>
      </c>
      <c r="D36" s="10">
        <v>1</v>
      </c>
      <c r="E36" s="10">
        <v>0</v>
      </c>
      <c r="F36" s="10">
        <v>82</v>
      </c>
      <c r="G36" s="10">
        <v>59</v>
      </c>
      <c r="H36" s="39">
        <v>11</v>
      </c>
      <c r="I36" s="10">
        <v>28</v>
      </c>
      <c r="J36" s="10">
        <v>0</v>
      </c>
      <c r="K36" s="10">
        <v>19</v>
      </c>
      <c r="L36" s="10">
        <v>2</v>
      </c>
      <c r="M36" s="10">
        <v>10</v>
      </c>
      <c r="N36" s="10">
        <v>28</v>
      </c>
      <c r="O36" s="10">
        <v>21</v>
      </c>
      <c r="P36" s="40" cm="1">
        <f t="array" ref="P36">O36*9/H36</f>
        <v>17.1818181818182</v>
      </c>
      <c r="Q36" s="41" cm="1">
        <f t="array" ref="Q36">(K36+L36)/H36</f>
        <v>1.90909090909091</v>
      </c>
      <c r="R36" s="42" cm="1">
        <f t="array" ref="R36">I36/H36</f>
        <v>2.54545454545455</v>
      </c>
      <c r="S36" s="42" cm="1">
        <f t="array" ref="S36">H36/B36</f>
        <v>2.2</v>
      </c>
      <c r="T36" s="41" cm="1">
        <f t="array" ref="T36">M36/H36</f>
        <v>0.9090909090909089</v>
      </c>
      <c r="U36" s="44" cm="1">
        <f t="array" ref="U36">O36/N36</f>
        <v>0.75</v>
      </c>
      <c r="V36" s="41" cm="1">
        <f t="array" ref="V36">(I36+K36+L36)/H36</f>
        <v>4.45454545454545</v>
      </c>
      <c r="W36" s="170" cm="1">
        <f t="array" ref="W36">(L36+K36)/F36*100</f>
        <v>25.609756097561</v>
      </c>
      <c r="X36" s="216"/>
      <c r="Y36" s="217"/>
      <c r="Z36" s="217"/>
      <c r="AA36" s="9"/>
      <c r="AB36" s="3"/>
      <c r="AC36" s="3"/>
    </row>
    <row r="37" ht="17.25" customHeight="1">
      <c r="A37" t="s" s="8">
        <v>37</v>
      </c>
      <c r="B37" s="208"/>
      <c r="C37" s="208"/>
      <c r="D37" s="208"/>
      <c r="E37" s="208"/>
      <c r="F37" s="208"/>
      <c r="G37" s="208"/>
      <c r="H37" s="39"/>
      <c r="I37" s="208"/>
      <c r="J37" s="208"/>
      <c r="K37" s="208"/>
      <c r="L37" s="208"/>
      <c r="M37" s="208"/>
      <c r="N37" s="208"/>
      <c r="O37" s="208"/>
      <c r="P37" s="40" cm="1">
        <f t="array" ref="P37">O37*9/H37</f>
      </c>
      <c r="Q37" s="41" cm="1">
        <f t="array" ref="Q37">(K37+L37)/H37</f>
      </c>
      <c r="R37" s="42" cm="1">
        <f t="array" ref="R37">I37/H37</f>
      </c>
      <c r="S37" s="42" cm="1">
        <f t="array" ref="S37">H37/B37</f>
      </c>
      <c r="T37" s="41" cm="1">
        <f t="array" ref="T37">M37/H37</f>
      </c>
      <c r="U37" s="44" cm="1">
        <f t="array" ref="U37">O37/N37</f>
      </c>
      <c r="V37" s="41" cm="1">
        <f t="array" ref="V37">(I37+K37+L37)/H37</f>
      </c>
      <c r="W37" s="170" cm="1">
        <f t="array" ref="W37">(L37+K37)/F37*100</f>
      </c>
      <c r="X37" s="216"/>
      <c r="Y37" s="217"/>
      <c r="Z37" s="217"/>
      <c r="AA37" s="9"/>
      <c r="AB37" s="3"/>
      <c r="AC37" s="3"/>
    </row>
    <row r="38" ht="17.25" customHeight="1">
      <c r="A38" t="s" s="8">
        <v>40</v>
      </c>
      <c r="B38" s="208"/>
      <c r="C38" s="208"/>
      <c r="D38" s="208"/>
      <c r="E38" s="208"/>
      <c r="F38" s="208"/>
      <c r="G38" s="208"/>
      <c r="H38" s="39"/>
      <c r="I38" s="208"/>
      <c r="J38" s="208"/>
      <c r="K38" s="208"/>
      <c r="L38" s="208"/>
      <c r="M38" s="208"/>
      <c r="N38" s="208"/>
      <c r="O38" s="208"/>
      <c r="P38" s="40" cm="1">
        <f t="array" ref="P38">O38*9/H38</f>
      </c>
      <c r="Q38" s="41" cm="1">
        <f t="array" ref="Q38">(K38+L38)/H38</f>
      </c>
      <c r="R38" s="42" cm="1">
        <f t="array" ref="R38">I38/H38</f>
      </c>
      <c r="S38" s="42" cm="1">
        <f t="array" ref="S38">H38/B38</f>
      </c>
      <c r="T38" s="41" cm="1">
        <f t="array" ref="T38">M38/H38</f>
      </c>
      <c r="U38" s="44" cm="1">
        <f t="array" ref="U38">O38/N38</f>
      </c>
      <c r="V38" s="41" cm="1">
        <f t="array" ref="V38">(I38+K38+L38)/H38</f>
      </c>
      <c r="W38" s="170" cm="1">
        <f t="array" ref="W38">(L38+K38)/F38*100</f>
      </c>
      <c r="X38" s="216"/>
      <c r="Y38" s="217"/>
      <c r="Z38" s="217"/>
      <c r="AA38" s="9"/>
      <c r="AB38" s="3"/>
      <c r="AC38" s="3"/>
    </row>
    <row r="39" ht="17.25" customHeight="1">
      <c r="A39" t="s" s="8">
        <v>41</v>
      </c>
      <c r="B39" s="208"/>
      <c r="C39" s="208"/>
      <c r="D39" s="208"/>
      <c r="E39" s="208"/>
      <c r="F39" s="208"/>
      <c r="G39" s="208"/>
      <c r="H39" s="39"/>
      <c r="I39" s="208"/>
      <c r="J39" s="208"/>
      <c r="K39" s="208"/>
      <c r="L39" s="208"/>
      <c r="M39" s="208"/>
      <c r="N39" s="208"/>
      <c r="O39" s="208"/>
      <c r="P39" s="40" cm="1">
        <f t="array" ref="P39">O39*9/H39</f>
      </c>
      <c r="Q39" s="41" cm="1">
        <f t="array" ref="Q39">(K39+L39)/H39</f>
      </c>
      <c r="R39" s="42" cm="1">
        <f t="array" ref="R39">I39/H39</f>
      </c>
      <c r="S39" s="42" cm="1">
        <f t="array" ref="S39">H39/B39</f>
      </c>
      <c r="T39" s="41" cm="1">
        <f t="array" ref="T39">M39/H39</f>
      </c>
      <c r="U39" s="44" cm="1">
        <f t="array" ref="U39">O39/N39</f>
      </c>
      <c r="V39" s="41" cm="1">
        <f t="array" ref="V39">(I39+K39+L39)/H39</f>
      </c>
      <c r="W39" s="170" cm="1">
        <f t="array" ref="W39">(L39+K39)/F39*100</f>
      </c>
      <c r="X39" s="216"/>
      <c r="Y39" s="217"/>
      <c r="Z39" s="217"/>
      <c r="AA39" s="9"/>
      <c r="AB39" s="3"/>
      <c r="AC39" s="3"/>
    </row>
    <row r="40" ht="17.25" customHeight="1">
      <c r="A40" t="s" s="8">
        <v>42</v>
      </c>
      <c r="B40" s="208"/>
      <c r="C40" s="208"/>
      <c r="D40" s="208"/>
      <c r="E40" s="208"/>
      <c r="F40" s="208"/>
      <c r="G40" s="208"/>
      <c r="H40" s="39"/>
      <c r="I40" s="208"/>
      <c r="J40" s="208"/>
      <c r="K40" s="208"/>
      <c r="L40" s="208"/>
      <c r="M40" s="208"/>
      <c r="N40" s="208"/>
      <c r="O40" s="208"/>
      <c r="P40" s="40" cm="1">
        <f t="array" ref="P40">O40*9/H40</f>
      </c>
      <c r="Q40" s="41" cm="1">
        <f t="array" ref="Q40">(K40+L40)/H40</f>
      </c>
      <c r="R40" s="42" cm="1">
        <f t="array" ref="R40">I40/H40</f>
      </c>
      <c r="S40" s="42" cm="1">
        <f t="array" ref="S40">H40/B40</f>
      </c>
      <c r="T40" s="41" cm="1">
        <f t="array" ref="T40">M40/H40</f>
      </c>
      <c r="U40" s="44" cm="1">
        <f t="array" ref="U40">O40/N40</f>
      </c>
      <c r="V40" s="41" cm="1">
        <f t="array" ref="V40">(I40+K40+L40)/H40</f>
      </c>
      <c r="W40" s="170" cm="1">
        <f t="array" ref="W40">(L40+K40)/F40*100</f>
      </c>
      <c r="X40" s="216"/>
      <c r="Y40" s="217"/>
      <c r="Z40" s="217"/>
      <c r="AA40" s="9"/>
      <c r="AB40" s="3"/>
      <c r="AC40" s="3"/>
    </row>
    <row r="41" ht="17.25" customHeight="1">
      <c r="A41" t="s" s="8">
        <v>43</v>
      </c>
      <c r="B41" s="208"/>
      <c r="C41" s="208"/>
      <c r="D41" s="208"/>
      <c r="E41" s="208"/>
      <c r="F41" s="208"/>
      <c r="G41" s="208"/>
      <c r="H41" s="39"/>
      <c r="I41" s="208"/>
      <c r="J41" s="208"/>
      <c r="K41" s="208"/>
      <c r="L41" s="208"/>
      <c r="M41" s="208"/>
      <c r="N41" s="208"/>
      <c r="O41" s="208"/>
      <c r="P41" s="40" cm="1">
        <f t="array" ref="P41">O41*9/H41</f>
      </c>
      <c r="Q41" s="41" cm="1">
        <f t="array" ref="Q41">(K41+L41)/H41</f>
      </c>
      <c r="R41" s="42" cm="1">
        <f t="array" ref="R41">I41/H41</f>
      </c>
      <c r="S41" s="42" cm="1">
        <f t="array" ref="S41">H41/B41</f>
      </c>
      <c r="T41" s="41" cm="1">
        <f t="array" ref="T41">M41/H41</f>
      </c>
      <c r="U41" s="44" cm="1">
        <f t="array" ref="U41">O41/N41</f>
      </c>
      <c r="V41" s="41" cm="1">
        <f t="array" ref="V41">(I41+K41+L41)/H41</f>
      </c>
      <c r="W41" s="170" cm="1">
        <f t="array" ref="W41">(L41+K41)/F41*100</f>
      </c>
      <c r="X41" s="216"/>
      <c r="Y41" s="217"/>
      <c r="Z41" s="217"/>
      <c r="AA41" s="9"/>
      <c r="AB41" s="3"/>
      <c r="AC41" s="3"/>
    </row>
    <row r="42" ht="17.25" customHeight="1">
      <c r="A42" t="s" s="29">
        <v>45</v>
      </c>
      <c r="B42" s="124"/>
      <c r="C42" s="49" cm="1">
        <f t="array" ref="C42">SUM(C31:C41)</f>
        <v>4</v>
      </c>
      <c r="D42" s="49" cm="1">
        <f t="array" ref="D42">SUM(D31:D41)</f>
        <v>2</v>
      </c>
      <c r="E42" s="49" cm="1">
        <f t="array" ref="E42">SUM(E31:E41)</f>
        <v>0</v>
      </c>
      <c r="F42" s="49" cm="1">
        <f t="array" ref="F42">SUM(F31:F41)</f>
        <v>210</v>
      </c>
      <c r="G42" s="49" cm="1">
        <f t="array" ref="G42">SUM(G31:G41)</f>
        <v>166</v>
      </c>
      <c r="H42" s="50" cm="1">
        <f t="array" ref="H42">SUM(H31:H41)</f>
        <v>34</v>
      </c>
      <c r="I42" s="49" cm="1">
        <f t="array" ref="I42">SUM(I31:I41)</f>
        <v>64</v>
      </c>
      <c r="J42" s="49" cm="1">
        <f t="array" ref="J42">SUM(J31:J41)</f>
        <v>0</v>
      </c>
      <c r="K42" s="49" cm="1">
        <f t="array" ref="K42">SUM(K31:K41)</f>
        <v>35</v>
      </c>
      <c r="L42" s="49" cm="1">
        <f t="array" ref="L42">SUM(L31:L41)</f>
        <v>5</v>
      </c>
      <c r="M42" s="49" cm="1">
        <f t="array" ref="M42">SUM(M31:M41)</f>
        <v>26</v>
      </c>
      <c r="N42" s="49" cm="1">
        <f t="array" ref="N42">SUM(N31:N41)</f>
        <v>57</v>
      </c>
      <c r="O42" s="49" cm="1">
        <f t="array" ref="O42">SUM(O31:O41)</f>
        <v>40</v>
      </c>
      <c r="P42" s="51" cm="1">
        <f t="array" ref="P42">O42*9/H42</f>
        <v>10.5882352941176</v>
      </c>
      <c r="Q42" s="52" cm="1">
        <f t="array" ref="Q42">(K42+L42)/H42</f>
        <v>1.17647058823529</v>
      </c>
      <c r="R42" s="53" cm="1">
        <f t="array" ref="R42">I42/H42</f>
        <v>1.88235294117647</v>
      </c>
      <c r="S42" s="53" cm="1">
        <f t="array" ref="S42">H42/B42</f>
      </c>
      <c r="T42" s="52" cm="1">
        <f t="array" ref="T42">M42/H42</f>
        <v>0.764705882352941</v>
      </c>
      <c r="U42" s="55" cm="1">
        <f t="array" ref="U42">O42/N42</f>
        <v>0.701754385964912</v>
      </c>
      <c r="V42" s="52" cm="1">
        <f t="array" ref="V42">(I42+K42+L42)/H42</f>
        <v>3.05882352941176</v>
      </c>
      <c r="W42" s="52"/>
      <c r="X42" s="216"/>
      <c r="Y42" s="49" cm="1">
        <f t="array" ref="Y42">SUM(Y31:Y41)</f>
        <v>0</v>
      </c>
      <c r="Z42" s="49" cm="1">
        <f t="array" ref="Z42">SUM(Z31:Z41)</f>
        <v>0</v>
      </c>
      <c r="AA42" s="9"/>
      <c r="AB42" s="3"/>
      <c r="AC42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AC42"/>
  <sheetViews>
    <sheetView workbookViewId="0" showGridLines="0" defaultGridColor="1"/>
  </sheetViews>
  <sheetFormatPr defaultColWidth="9" defaultRowHeight="16.5" customHeight="1" outlineLevelRow="0" outlineLevelCol="0"/>
  <cols>
    <col min="1" max="18" width="8.17188" style="218" customWidth="1"/>
    <col min="19" max="19" width="10.8516" style="218" customWidth="1"/>
    <col min="20" max="20" width="8.17188" style="218" customWidth="1"/>
    <col min="21" max="22" width="9" style="218" customWidth="1"/>
    <col min="23" max="23" width="11.3516" style="218" customWidth="1"/>
    <col min="24" max="24" width="2.67188" style="218" customWidth="1"/>
    <col min="25" max="29" width="9" style="218" customWidth="1"/>
    <col min="30" max="16384" width="9" style="218" customWidth="1"/>
  </cols>
  <sheetData>
    <row r="1" ht="26.25" customHeight="1">
      <c r="A1" t="s" s="2">
        <v>168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3"/>
      <c r="Y2" s="6"/>
      <c r="Z2" s="6"/>
      <c r="AA2" s="6"/>
      <c r="AB2" s="6"/>
      <c r="AC2" s="6"/>
    </row>
    <row r="3" ht="34.5" customHeight="1">
      <c r="A3" t="s" s="8">
        <v>101</v>
      </c>
      <c r="B3" t="s" s="8">
        <v>102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21</v>
      </c>
      <c r="U3" t="s" s="8">
        <v>22</v>
      </c>
      <c r="V3" t="s" s="8">
        <v>23</v>
      </c>
      <c r="W3" t="s" s="8">
        <v>111</v>
      </c>
      <c r="X3" s="61"/>
      <c r="Y3" t="s" s="8">
        <v>112</v>
      </c>
      <c r="Z3" t="s" s="8">
        <v>55</v>
      </c>
      <c r="AA3" t="s" s="8">
        <v>113</v>
      </c>
      <c r="AB3" t="s" s="8">
        <v>114</v>
      </c>
      <c r="AC3" t="s" s="8">
        <v>115</v>
      </c>
    </row>
    <row r="4" ht="17.25" customHeight="1">
      <c r="A4" t="s" s="8">
        <v>24</v>
      </c>
      <c r="B4" s="10">
        <v>5</v>
      </c>
      <c r="C4" s="206" cm="1">
        <f t="array" ref="C4">F4/E4</f>
        <v>0.6</v>
      </c>
      <c r="D4" s="10">
        <v>13</v>
      </c>
      <c r="E4" s="10">
        <v>10</v>
      </c>
      <c r="F4" s="10">
        <v>6</v>
      </c>
      <c r="G4" s="10" cm="1">
        <f t="array" ref="G4">F4-(H4+I4+J4)</f>
        <v>5</v>
      </c>
      <c r="H4" s="10">
        <v>0</v>
      </c>
      <c r="I4" s="10">
        <v>1</v>
      </c>
      <c r="J4" s="10">
        <v>0</v>
      </c>
      <c r="K4" s="10">
        <v>5</v>
      </c>
      <c r="L4" s="10">
        <v>4</v>
      </c>
      <c r="M4" s="10">
        <v>6</v>
      </c>
      <c r="N4" s="10" cm="1">
        <f t="array" ref="N4">Y4+Z4</f>
        <v>3</v>
      </c>
      <c r="O4" s="10">
        <v>4</v>
      </c>
      <c r="P4" s="12" cm="1">
        <f t="array" ref="P4">O4/D4</f>
        <v>0.307692307692308</v>
      </c>
      <c r="Q4" s="13" cm="1">
        <f t="array" ref="Q4">(G4*1+H4*2+I4*3+J4*4)/E4</f>
        <v>0.8</v>
      </c>
      <c r="R4" s="13" cm="1">
        <f t="array" ref="R4">(F4+N4)/D4</f>
        <v>0.692307692307692</v>
      </c>
      <c r="S4" s="15" cm="1">
        <f t="array" ref="S4">R4+Q4</f>
        <v>1.49230769230769</v>
      </c>
      <c r="T4" s="153" cm="1">
        <f t="array" ref="T4">O4/(D4-(F4+N4))</f>
        <v>1</v>
      </c>
      <c r="U4" s="17" cm="1">
        <f t="array" ref="U4">RANK(R4,$R$4:$R$26)</f>
        <v>1</v>
      </c>
      <c r="V4" s="18" cm="1">
        <f t="array" ref="V4">RANK(S4,$S$4:$S$26)</f>
        <v>2</v>
      </c>
      <c r="W4" s="154" cm="1">
        <f t="array" ref="W4">RANK(C4,$C$4:$C$26)</f>
        <v>1</v>
      </c>
      <c r="X4" s="212"/>
      <c r="Y4" s="48">
        <v>2</v>
      </c>
      <c r="Z4" s="48">
        <v>1</v>
      </c>
      <c r="AA4" s="158"/>
      <c r="AB4" s="48">
        <v>0</v>
      </c>
      <c r="AC4" s="158"/>
    </row>
    <row r="5" ht="17.25" customHeight="1">
      <c r="A5" t="s" s="8">
        <v>25</v>
      </c>
      <c r="B5" s="10">
        <v>6</v>
      </c>
      <c r="C5" s="206" cm="1">
        <f t="array" ref="C5">F5/E5</f>
        <v>0.111111111111111</v>
      </c>
      <c r="D5" s="10">
        <v>16</v>
      </c>
      <c r="E5" s="10">
        <v>9</v>
      </c>
      <c r="F5" s="10">
        <v>1</v>
      </c>
      <c r="G5" s="10" cm="1">
        <f t="array" ref="G5">F5-(H5+I5+J5)</f>
        <v>1</v>
      </c>
      <c r="H5" s="10">
        <v>0</v>
      </c>
      <c r="I5" s="10">
        <v>0</v>
      </c>
      <c r="J5" s="10">
        <v>0</v>
      </c>
      <c r="K5" s="10">
        <v>3</v>
      </c>
      <c r="L5" s="10">
        <v>1</v>
      </c>
      <c r="M5" s="10">
        <v>1</v>
      </c>
      <c r="N5" s="10" cm="1">
        <f t="array" ref="N5">Y5+Z5</f>
        <v>7</v>
      </c>
      <c r="O5" s="10">
        <v>6</v>
      </c>
      <c r="P5" s="12" cm="1">
        <f t="array" ref="P5">O5/D5</f>
        <v>0.375</v>
      </c>
      <c r="Q5" s="13" cm="1">
        <f t="array" ref="Q5">(G5*1+H5*2+I5*3+J5*4)/E5</f>
        <v>0.111111111111111</v>
      </c>
      <c r="R5" s="13" cm="1">
        <f t="array" ref="R5">(F5+N5)/D5</f>
        <v>0.5</v>
      </c>
      <c r="S5" s="15" cm="1">
        <f t="array" ref="S5">R5+Q5</f>
        <v>0.611111111111111</v>
      </c>
      <c r="T5" s="153" cm="1">
        <f t="array" ref="T5">O5/(D5-(F5+N5))</f>
        <v>0.75</v>
      </c>
      <c r="U5" s="17" cm="1">
        <f t="array" ref="U5">RANK(R5,$R$4:$R$26)</f>
        <v>9</v>
      </c>
      <c r="V5" s="18" cm="1">
        <f t="array" ref="V5">RANK(S5,$S$4:$S$26)</f>
        <v>12</v>
      </c>
      <c r="W5" s="154" cm="1">
        <f t="array" ref="W5">RANK(C5,$C$4:$C$26)</f>
        <v>13</v>
      </c>
      <c r="X5" s="212"/>
      <c r="Y5" s="48">
        <v>4</v>
      </c>
      <c r="Z5" s="48">
        <v>3</v>
      </c>
      <c r="AA5" s="158"/>
      <c r="AB5" s="48">
        <v>0</v>
      </c>
      <c r="AC5" s="158"/>
    </row>
    <row r="6" ht="17.25" customHeight="1">
      <c r="A6" t="s" s="8">
        <v>26</v>
      </c>
      <c r="B6" s="208"/>
      <c r="C6" s="206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12"/>
      <c r="Q6" s="13"/>
      <c r="R6" s="13"/>
      <c r="S6" s="15"/>
      <c r="T6" s="153"/>
      <c r="U6" s="159"/>
      <c r="V6" s="160"/>
      <c r="W6" s="213"/>
      <c r="X6" s="212"/>
      <c r="Y6" s="158"/>
      <c r="Z6" s="158"/>
      <c r="AA6" s="158"/>
      <c r="AB6" s="158"/>
      <c r="AC6" s="158"/>
    </row>
    <row r="7" ht="17.25" customHeight="1">
      <c r="A7" t="s" s="8">
        <v>27</v>
      </c>
      <c r="B7" s="10">
        <v>1</v>
      </c>
      <c r="C7" s="206" cm="1">
        <f t="array" ref="C7">F7/E7</f>
        <v>0</v>
      </c>
      <c r="D7" s="10">
        <v>2</v>
      </c>
      <c r="E7" s="10">
        <v>2</v>
      </c>
      <c r="F7" s="10">
        <v>0</v>
      </c>
      <c r="G7" s="10" cm="1">
        <f t="array" ref="G7">F7-(H7+I7+J7)</f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 cm="1">
        <f t="array" ref="N7">Y7+Z7</f>
        <v>0</v>
      </c>
      <c r="O7" s="10">
        <v>1</v>
      </c>
      <c r="P7" s="12" cm="1">
        <f t="array" ref="P7">O7/D7</f>
        <v>0.5</v>
      </c>
      <c r="Q7" s="13" cm="1">
        <f t="array" ref="Q7">(G7*1+H7*2+I7*3+J7*4)/E7</f>
        <v>0</v>
      </c>
      <c r="R7" s="13" cm="1">
        <f t="array" ref="R7">(F7+N7)/D7</f>
        <v>0</v>
      </c>
      <c r="S7" s="15" cm="1">
        <f t="array" ref="S7">R7+Q7</f>
        <v>0</v>
      </c>
      <c r="T7" s="153" cm="1">
        <f t="array" ref="T7">O7/(D7-(F7+N7))</f>
        <v>0.5</v>
      </c>
      <c r="U7" s="17" cm="1">
        <f t="array" ref="U7">RANK(R7,$R$4:$R$26)</f>
        <v>19</v>
      </c>
      <c r="V7" s="18" cm="1">
        <f t="array" ref="V7">RANK(S7,$S$4:$S$26)</f>
        <v>19</v>
      </c>
      <c r="W7" s="154" cm="1">
        <f t="array" ref="W7">RANK(C7,$C$4:$C$26)</f>
        <v>15</v>
      </c>
      <c r="X7" s="212"/>
      <c r="Y7" s="158"/>
      <c r="Z7" s="158"/>
      <c r="AA7" s="158"/>
      <c r="AB7" s="158"/>
      <c r="AC7" s="158"/>
    </row>
    <row r="8" ht="17.25" customHeight="1">
      <c r="A8" t="s" s="8">
        <v>28</v>
      </c>
      <c r="B8" s="10">
        <v>6</v>
      </c>
      <c r="C8" s="206" cm="1">
        <f t="array" ref="C8">F8/E8</f>
        <v>0.142857142857143</v>
      </c>
      <c r="D8" s="10">
        <v>13</v>
      </c>
      <c r="E8" s="10">
        <v>7</v>
      </c>
      <c r="F8" s="10">
        <v>1</v>
      </c>
      <c r="G8" s="10" cm="1">
        <f t="array" ref="G8">F8-(H8+I8+J8)</f>
        <v>1</v>
      </c>
      <c r="H8" s="10">
        <v>0</v>
      </c>
      <c r="I8" s="10">
        <v>0</v>
      </c>
      <c r="J8" s="10">
        <v>0</v>
      </c>
      <c r="K8" s="10">
        <v>3</v>
      </c>
      <c r="L8" s="10">
        <v>1</v>
      </c>
      <c r="M8" s="10">
        <v>5</v>
      </c>
      <c r="N8" s="10" cm="1">
        <f t="array" ref="N8">Y8+Z8</f>
        <v>6</v>
      </c>
      <c r="O8" s="10">
        <v>2</v>
      </c>
      <c r="P8" s="12" cm="1">
        <f t="array" ref="P8">O8/D8</f>
        <v>0.153846153846154</v>
      </c>
      <c r="Q8" s="13" cm="1">
        <f t="array" ref="Q8">(G8*1+H8*2+I8*3+J8*4)/E8</f>
        <v>0.142857142857143</v>
      </c>
      <c r="R8" s="13" cm="1">
        <f t="array" ref="R8">(F8+N8)/D8</f>
        <v>0.538461538461538</v>
      </c>
      <c r="S8" s="15" cm="1">
        <f t="array" ref="S8">R8+Q8</f>
        <v>0.681318681318681</v>
      </c>
      <c r="T8" s="153" cm="1">
        <f t="array" ref="T8">O8/(D8-(F8+N8))</f>
        <v>0.333333333333333</v>
      </c>
      <c r="U8" s="17" cm="1">
        <f t="array" ref="U8">RANK(R8,$R$4:$R$26)</f>
        <v>8</v>
      </c>
      <c r="V8" s="18" cm="1">
        <f t="array" ref="V8">RANK(S8,$S$4:$S$26)</f>
        <v>11</v>
      </c>
      <c r="W8" s="154" cm="1">
        <f t="array" ref="W8">RANK(C8,$C$4:$C$26)</f>
        <v>12</v>
      </c>
      <c r="X8" s="212"/>
      <c r="Y8" s="48">
        <v>5</v>
      </c>
      <c r="Z8" s="48">
        <v>1</v>
      </c>
      <c r="AA8" s="158"/>
      <c r="AB8" s="48">
        <v>0</v>
      </c>
      <c r="AC8" s="158"/>
    </row>
    <row r="9" ht="17.25" customHeight="1">
      <c r="A9" t="s" s="8">
        <v>29</v>
      </c>
      <c r="B9" s="10">
        <v>2</v>
      </c>
      <c r="C9" s="206" cm="1">
        <f t="array" ref="C9">F9/E9</f>
        <v>0</v>
      </c>
      <c r="D9" s="10">
        <v>4</v>
      </c>
      <c r="E9" s="10">
        <v>3</v>
      </c>
      <c r="F9" s="10">
        <v>0</v>
      </c>
      <c r="G9" s="10" cm="1">
        <f t="array" ref="G9">F9-(H9+I9+J9)</f>
        <v>0</v>
      </c>
      <c r="H9" s="10">
        <v>0</v>
      </c>
      <c r="I9" s="10">
        <v>0</v>
      </c>
      <c r="J9" s="10">
        <v>0</v>
      </c>
      <c r="K9" s="10">
        <v>1</v>
      </c>
      <c r="L9" s="10">
        <v>0</v>
      </c>
      <c r="M9" s="10">
        <v>0</v>
      </c>
      <c r="N9" s="10" cm="1">
        <f t="array" ref="N9">Y9+Z9</f>
        <v>1</v>
      </c>
      <c r="O9" s="10">
        <v>2</v>
      </c>
      <c r="P9" s="12" cm="1">
        <f t="array" ref="P9">O9/D9</f>
        <v>0.5</v>
      </c>
      <c r="Q9" s="13" cm="1">
        <f t="array" ref="Q9">(G9*1+H9*2+I9*3+J9*4)/E9</f>
        <v>0</v>
      </c>
      <c r="R9" s="13" cm="1">
        <f t="array" ref="R9">(F9+N9)/D9</f>
        <v>0.25</v>
      </c>
      <c r="S9" s="15" cm="1">
        <f t="array" ref="S9">R9+Q9</f>
        <v>0.25</v>
      </c>
      <c r="T9" s="153" cm="1">
        <f t="array" ref="T9">O9/(D9-(F9+N9))</f>
        <v>0.666666666666667</v>
      </c>
      <c r="U9" s="17" cm="1">
        <f t="array" ref="U9">RANK(R9,$R$4:$R$26)</f>
        <v>17</v>
      </c>
      <c r="V9" s="18" cm="1">
        <f t="array" ref="V9">RANK(S9,$S$4:$S$26)</f>
        <v>17</v>
      </c>
      <c r="W9" s="154" cm="1">
        <f t="array" ref="W9">RANK(C9,$C$4:$C$26)</f>
        <v>15</v>
      </c>
      <c r="X9" s="212"/>
      <c r="Y9" s="48">
        <v>1</v>
      </c>
      <c r="Z9" s="48">
        <v>0</v>
      </c>
      <c r="AA9" s="158"/>
      <c r="AB9" s="158"/>
      <c r="AC9" s="158"/>
    </row>
    <row r="10" ht="17.25" customHeight="1">
      <c r="A10" t="s" s="8">
        <v>69</v>
      </c>
      <c r="B10" s="10">
        <v>6</v>
      </c>
      <c r="C10" s="206" cm="1">
        <f t="array" ref="C10">F10/E10</f>
        <v>0.222222222222222</v>
      </c>
      <c r="D10" s="10">
        <v>14</v>
      </c>
      <c r="E10" s="10">
        <v>9</v>
      </c>
      <c r="F10" s="10">
        <v>2</v>
      </c>
      <c r="G10" s="10" cm="1">
        <f t="array" ref="G10">F10-(H10+I10+J10)</f>
        <v>2</v>
      </c>
      <c r="H10" s="10">
        <v>0</v>
      </c>
      <c r="I10" s="10">
        <v>0</v>
      </c>
      <c r="J10" s="10">
        <v>0</v>
      </c>
      <c r="K10" s="10">
        <v>4</v>
      </c>
      <c r="L10" s="10">
        <v>3</v>
      </c>
      <c r="M10" s="10">
        <v>5</v>
      </c>
      <c r="N10" s="10" cm="1">
        <f t="array" ref="N10">Y10+Z10</f>
        <v>5</v>
      </c>
      <c r="O10" s="10">
        <v>5</v>
      </c>
      <c r="P10" s="12" cm="1">
        <f t="array" ref="P10">O10/D10</f>
        <v>0.357142857142857</v>
      </c>
      <c r="Q10" s="13" cm="1">
        <f t="array" ref="Q10">(G10*1+H10*2+I10*3+J10*4)/E10</f>
        <v>0.222222222222222</v>
      </c>
      <c r="R10" s="13" cm="1">
        <f t="array" ref="R10">(F10+N10)/D10</f>
        <v>0.5</v>
      </c>
      <c r="S10" s="15" cm="1">
        <f t="array" ref="S10">R10+Q10</f>
        <v>0.722222222222222</v>
      </c>
      <c r="T10" s="153" cm="1">
        <f t="array" ref="T10">O10/(D10-(F10+N10))</f>
        <v>0.714285714285714</v>
      </c>
      <c r="U10" s="17" cm="1">
        <f t="array" ref="U10">RANK(R10,$R$4:$R$26)</f>
        <v>9</v>
      </c>
      <c r="V10" s="18" cm="1">
        <f t="array" ref="V10">RANK(S10,$S$4:$S$26)</f>
        <v>10</v>
      </c>
      <c r="W10" s="154" cm="1">
        <f t="array" ref="W10">RANK(C10,$C$4:$C$26)</f>
        <v>10</v>
      </c>
      <c r="X10" s="212"/>
      <c r="Y10" s="48">
        <v>5</v>
      </c>
      <c r="Z10" s="48">
        <v>0</v>
      </c>
      <c r="AA10" s="158"/>
      <c r="AB10" s="48">
        <v>0</v>
      </c>
      <c r="AC10" s="158"/>
    </row>
    <row r="11" ht="17.25" customHeight="1">
      <c r="A11" t="s" s="8">
        <v>30</v>
      </c>
      <c r="B11" s="208"/>
      <c r="C11" t="s" s="219">
        <v>169</v>
      </c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12"/>
      <c r="Q11" s="13"/>
      <c r="R11" s="13"/>
      <c r="S11" s="15"/>
      <c r="T11" s="153"/>
      <c r="U11" s="159"/>
      <c r="V11" s="160"/>
      <c r="W11" s="213"/>
      <c r="X11" s="212"/>
      <c r="Y11" s="158"/>
      <c r="Z11" s="158"/>
      <c r="AA11" s="158"/>
      <c r="AB11" s="158"/>
      <c r="AC11" s="158"/>
    </row>
    <row r="12" ht="17.25" customHeight="1">
      <c r="A12" t="s" s="8">
        <v>31</v>
      </c>
      <c r="B12" s="10">
        <v>4</v>
      </c>
      <c r="C12" s="206" cm="1">
        <f t="array" ref="C12">F12/E12</f>
        <v>0.5</v>
      </c>
      <c r="D12" s="10">
        <v>13</v>
      </c>
      <c r="E12" s="10">
        <v>10</v>
      </c>
      <c r="F12" s="10">
        <v>5</v>
      </c>
      <c r="G12" s="10" cm="1">
        <f t="array" ref="G12">F12-(H12+I12+J12)</f>
        <v>5</v>
      </c>
      <c r="H12" s="10">
        <v>0</v>
      </c>
      <c r="I12" s="10">
        <v>0</v>
      </c>
      <c r="J12" s="10">
        <v>0</v>
      </c>
      <c r="K12" s="10">
        <v>4</v>
      </c>
      <c r="L12" s="10">
        <v>4</v>
      </c>
      <c r="M12" s="10">
        <v>5</v>
      </c>
      <c r="N12" s="10" cm="1">
        <f t="array" ref="N12">Y12+Z12</f>
        <v>3</v>
      </c>
      <c r="O12" s="10">
        <v>1</v>
      </c>
      <c r="P12" s="12" cm="1">
        <f t="array" ref="P12">O12/D12</f>
        <v>0.0769230769230769</v>
      </c>
      <c r="Q12" s="13" cm="1">
        <f t="array" ref="Q12">(G12*1+H12*2+I12*3+J12*4)/E12</f>
        <v>0.5</v>
      </c>
      <c r="R12" s="13" cm="1">
        <f t="array" ref="R12">(F12+N12)/D12</f>
        <v>0.615384615384615</v>
      </c>
      <c r="S12" s="15" cm="1">
        <f t="array" ref="S12">R12+Q12</f>
        <v>1.11538461538462</v>
      </c>
      <c r="T12" s="153" cm="1">
        <f t="array" ref="T12">O12/(D12-(F12+N12))</f>
        <v>0.2</v>
      </c>
      <c r="U12" s="17" cm="1">
        <f t="array" ref="U12">RANK(R12,$R$4:$R$26)</f>
        <v>3</v>
      </c>
      <c r="V12" s="18" cm="1">
        <f t="array" ref="V12">RANK(S12,$S$4:$S$26)</f>
        <v>4</v>
      </c>
      <c r="W12" s="154" cm="1">
        <f t="array" ref="W12">RANK(C12,$C$4:$C$26)</f>
        <v>3</v>
      </c>
      <c r="X12" s="212"/>
      <c r="Y12" s="48">
        <v>3</v>
      </c>
      <c r="Z12" s="48">
        <v>0</v>
      </c>
      <c r="AA12" s="158"/>
      <c r="AB12" s="48">
        <v>0</v>
      </c>
      <c r="AC12" s="158"/>
    </row>
    <row r="13" ht="17.25" customHeight="1">
      <c r="A13" t="s" s="8">
        <v>32</v>
      </c>
      <c r="B13" s="10">
        <v>5</v>
      </c>
      <c r="C13" s="206" cm="1">
        <f t="array" ref="C13">F13/E13</f>
        <v>0.384615384615385</v>
      </c>
      <c r="D13" s="10">
        <v>16</v>
      </c>
      <c r="E13" s="10">
        <v>13</v>
      </c>
      <c r="F13" s="10">
        <v>5</v>
      </c>
      <c r="G13" s="10" cm="1">
        <f t="array" ref="G13">F13-(H13+I13+J13)</f>
        <v>5</v>
      </c>
      <c r="H13" s="10">
        <v>0</v>
      </c>
      <c r="I13" s="10">
        <v>0</v>
      </c>
      <c r="J13" s="10">
        <v>0</v>
      </c>
      <c r="K13" s="10">
        <v>5</v>
      </c>
      <c r="L13" s="10">
        <v>3</v>
      </c>
      <c r="M13" s="10">
        <v>1</v>
      </c>
      <c r="N13" s="10" cm="1">
        <f t="array" ref="N13">Y13+Z13</f>
        <v>2</v>
      </c>
      <c r="O13" s="10">
        <v>0</v>
      </c>
      <c r="P13" s="12" cm="1">
        <f t="array" ref="P13">O13/D13</f>
        <v>0</v>
      </c>
      <c r="Q13" s="13" cm="1">
        <f t="array" ref="Q13">(G13*1+H13*2+I13*3+J13*4)/E13</f>
        <v>0.384615384615385</v>
      </c>
      <c r="R13" s="13" cm="1">
        <f t="array" ref="R13">(F13+N13)/D13</f>
        <v>0.4375</v>
      </c>
      <c r="S13" s="15" cm="1">
        <f t="array" ref="S13">R13+Q13</f>
        <v>0.822115384615385</v>
      </c>
      <c r="T13" s="153" cm="1">
        <f t="array" ref="T13">O13/(D13-(F13+N13))</f>
        <v>0</v>
      </c>
      <c r="U13" s="17" cm="1">
        <f t="array" ref="U13">RANK(R13,$R$4:$R$26)</f>
        <v>12</v>
      </c>
      <c r="V13" s="18" cm="1">
        <f t="array" ref="V13">RANK(S13,$S$4:$S$26)</f>
        <v>9</v>
      </c>
      <c r="W13" s="154" cm="1">
        <f t="array" ref="W13">RANK(C13,$C$4:$C$26)</f>
        <v>7</v>
      </c>
      <c r="X13" s="212"/>
      <c r="Y13" s="48">
        <v>2</v>
      </c>
      <c r="Z13" s="48">
        <v>0</v>
      </c>
      <c r="AA13" s="158"/>
      <c r="AB13" s="48">
        <v>0</v>
      </c>
      <c r="AC13" s="158"/>
    </row>
    <row r="14" ht="17.25" customHeight="1">
      <c r="A14" t="s" s="8">
        <v>33</v>
      </c>
      <c r="B14" s="208"/>
      <c r="C14" s="206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12"/>
      <c r="Q14" s="13"/>
      <c r="R14" s="13"/>
      <c r="S14" s="15"/>
      <c r="T14" s="153"/>
      <c r="U14" s="159"/>
      <c r="V14" s="160"/>
      <c r="W14" s="213"/>
      <c r="X14" s="212"/>
      <c r="Y14" s="158"/>
      <c r="Z14" s="158"/>
      <c r="AA14" s="158"/>
      <c r="AB14" s="158"/>
      <c r="AC14" s="158"/>
    </row>
    <row r="15" ht="17.25" customHeight="1">
      <c r="A15" t="s" s="8">
        <v>35</v>
      </c>
      <c r="B15" s="10">
        <v>4</v>
      </c>
      <c r="C15" s="206" cm="1">
        <f t="array" ref="C15">F15/E15</f>
        <v>0</v>
      </c>
      <c r="D15" s="10">
        <v>9</v>
      </c>
      <c r="E15" s="10">
        <v>3</v>
      </c>
      <c r="F15" s="10">
        <v>0</v>
      </c>
      <c r="G15" s="10" cm="1">
        <f t="array" ref="G15">F15-(H15+I15+J15)</f>
        <v>0</v>
      </c>
      <c r="H15" s="10">
        <v>0</v>
      </c>
      <c r="I15" s="10">
        <v>0</v>
      </c>
      <c r="J15" s="10">
        <v>0</v>
      </c>
      <c r="K15" s="10">
        <v>4</v>
      </c>
      <c r="L15" s="10">
        <v>1</v>
      </c>
      <c r="M15" s="10">
        <v>2</v>
      </c>
      <c r="N15" s="10" cm="1">
        <f t="array" ref="N15">Y15+Z15</f>
        <v>5</v>
      </c>
      <c r="O15" s="10">
        <v>3</v>
      </c>
      <c r="P15" s="12" cm="1">
        <f t="array" ref="P15">O15/D15</f>
        <v>0.333333333333333</v>
      </c>
      <c r="Q15" s="13" cm="1">
        <f t="array" ref="Q15">(G15*1+H15*2+I15*3+J15*4)/E15</f>
        <v>0</v>
      </c>
      <c r="R15" s="13" cm="1">
        <f t="array" ref="R15">(F15+N15)/D15</f>
        <v>0.555555555555556</v>
      </c>
      <c r="S15" s="15" cm="1">
        <f t="array" ref="S15">R15+Q15</f>
        <v>0.555555555555556</v>
      </c>
      <c r="T15" s="153" cm="1">
        <f t="array" ref="T15">O15/(D15-(F15+N15))</f>
        <v>0.75</v>
      </c>
      <c r="U15" s="17" cm="1">
        <f t="array" ref="U15">RANK(R15,$R$4:$R$26)</f>
        <v>7</v>
      </c>
      <c r="V15" s="18" cm="1">
        <f t="array" ref="V15">RANK(S15,$S$4:$S$26)</f>
        <v>14</v>
      </c>
      <c r="W15" s="154" cm="1">
        <f t="array" ref="W15">RANK(C15,$C$4:$C$26)</f>
        <v>15</v>
      </c>
      <c r="X15" s="212"/>
      <c r="Y15" s="48">
        <v>4</v>
      </c>
      <c r="Z15" s="48">
        <v>1</v>
      </c>
      <c r="AA15" s="158"/>
      <c r="AB15" s="48">
        <v>0</v>
      </c>
      <c r="AC15" s="158"/>
    </row>
    <row r="16" ht="17.25" customHeight="1">
      <c r="A16" t="s" s="8">
        <v>36</v>
      </c>
      <c r="B16" s="10">
        <v>3</v>
      </c>
      <c r="C16" s="206" cm="1">
        <f t="array" ref="C16">F16/E16</f>
        <v>0.5</v>
      </c>
      <c r="D16" s="10">
        <v>7</v>
      </c>
      <c r="E16" s="10">
        <v>6</v>
      </c>
      <c r="F16" s="10">
        <v>3</v>
      </c>
      <c r="G16" s="10" cm="1">
        <f t="array" ref="G16">F16-(H16+I16+J16)</f>
        <v>3</v>
      </c>
      <c r="H16" s="10">
        <v>0</v>
      </c>
      <c r="I16" s="10">
        <v>0</v>
      </c>
      <c r="J16" s="10">
        <v>0</v>
      </c>
      <c r="K16" s="10">
        <v>3</v>
      </c>
      <c r="L16" s="10">
        <v>0</v>
      </c>
      <c r="M16" s="10">
        <v>2</v>
      </c>
      <c r="N16" s="10" cm="1">
        <f t="array" ref="N16">Y16+Z16</f>
        <v>1</v>
      </c>
      <c r="O16" s="10">
        <v>1</v>
      </c>
      <c r="P16" s="12" cm="1">
        <f t="array" ref="P16">O16/D16</f>
        <v>0.142857142857143</v>
      </c>
      <c r="Q16" s="13" cm="1">
        <f t="array" ref="Q16">(G16*1+H16*2+I16*3+J16*4)/E16</f>
        <v>0.5</v>
      </c>
      <c r="R16" s="13" cm="1">
        <f t="array" ref="R16">(F16+N16)/D16</f>
        <v>0.571428571428571</v>
      </c>
      <c r="S16" s="15" cm="1">
        <f t="array" ref="S16">R16+Q16</f>
        <v>1.07142857142857</v>
      </c>
      <c r="T16" s="153" cm="1">
        <f t="array" ref="T16">O16/(D16-(F16+N16))</f>
        <v>0.333333333333333</v>
      </c>
      <c r="U16" s="17" cm="1">
        <f t="array" ref="U16">RANK(R16,$R$4:$R$26)</f>
        <v>6</v>
      </c>
      <c r="V16" s="18" cm="1">
        <f t="array" ref="V16">RANK(S16,$S$4:$S$26)</f>
        <v>5</v>
      </c>
      <c r="W16" s="154" cm="1">
        <f t="array" ref="W16">RANK(C16,$C$4:$C$26)</f>
        <v>3</v>
      </c>
      <c r="X16" s="212"/>
      <c r="Y16" s="48">
        <v>1</v>
      </c>
      <c r="Z16" s="48">
        <v>0</v>
      </c>
      <c r="AA16" s="158"/>
      <c r="AB16" s="158"/>
      <c r="AC16" s="158"/>
    </row>
    <row r="17" ht="17.25" customHeight="1">
      <c r="A17" t="s" s="8">
        <v>37</v>
      </c>
      <c r="B17" s="10">
        <v>4</v>
      </c>
      <c r="C17" s="206" cm="1">
        <f t="array" ref="C17">F17/E17</f>
        <v>0.2</v>
      </c>
      <c r="D17" s="10">
        <v>8</v>
      </c>
      <c r="E17" s="10">
        <v>5</v>
      </c>
      <c r="F17" s="10">
        <v>1</v>
      </c>
      <c r="G17" s="10" cm="1">
        <f t="array" ref="G17">F17-(H17+I17+J17)</f>
        <v>1</v>
      </c>
      <c r="H17" s="10">
        <v>0</v>
      </c>
      <c r="I17" s="10">
        <v>0</v>
      </c>
      <c r="J17" s="10">
        <v>0</v>
      </c>
      <c r="K17" s="10">
        <v>3</v>
      </c>
      <c r="L17" s="10">
        <v>2</v>
      </c>
      <c r="M17" s="10">
        <v>5</v>
      </c>
      <c r="N17" s="10" cm="1">
        <f t="array" ref="N17">Y17+Z17</f>
        <v>2</v>
      </c>
      <c r="O17" s="10">
        <v>3</v>
      </c>
      <c r="P17" s="12" cm="1">
        <f t="array" ref="P17">O17/D17</f>
        <v>0.375</v>
      </c>
      <c r="Q17" s="13" cm="1">
        <f t="array" ref="Q17">(G17*1+H17*2+I17*3+J17*4)/E17</f>
        <v>0.2</v>
      </c>
      <c r="R17" s="13" cm="1">
        <f t="array" ref="R17">(F17+N17)/D17</f>
        <v>0.375</v>
      </c>
      <c r="S17" s="15" cm="1">
        <f t="array" ref="S17">R17+Q17</f>
        <v>0.575</v>
      </c>
      <c r="T17" s="153" cm="1">
        <f t="array" ref="T17">O17/(D17-(F17+N17))</f>
        <v>0.6</v>
      </c>
      <c r="U17" s="17" cm="1">
        <f t="array" ref="U17">RANK(R17,$R$4:$R$26)</f>
        <v>15</v>
      </c>
      <c r="V17" s="18" cm="1">
        <f t="array" ref="V17">RANK(S17,$S$4:$S$26)</f>
        <v>13</v>
      </c>
      <c r="W17" s="154" cm="1">
        <f t="array" ref="W17">RANK(C17,$C$4:$C$26)</f>
        <v>11</v>
      </c>
      <c r="X17" s="212"/>
      <c r="Y17" s="48">
        <v>0</v>
      </c>
      <c r="Z17" s="48">
        <v>2</v>
      </c>
      <c r="AA17" s="158"/>
      <c r="AB17" s="158"/>
      <c r="AC17" s="158"/>
    </row>
    <row r="18" ht="17.25" customHeight="1">
      <c r="A18" t="s" s="8">
        <v>38</v>
      </c>
      <c r="B18" s="10">
        <v>2</v>
      </c>
      <c r="C18" s="206" cm="1">
        <f t="array" ref="C18">F18/E18</f>
        <v>0.25</v>
      </c>
      <c r="D18" s="10">
        <v>5</v>
      </c>
      <c r="E18" s="10">
        <v>4</v>
      </c>
      <c r="F18" s="10">
        <v>1</v>
      </c>
      <c r="G18" s="10" cm="1">
        <f t="array" ref="G18">F18-(H18+I18+J18)</f>
        <v>0</v>
      </c>
      <c r="H18" s="10">
        <v>1</v>
      </c>
      <c r="I18" s="10">
        <v>0</v>
      </c>
      <c r="J18" s="10">
        <v>0</v>
      </c>
      <c r="K18" s="10">
        <v>3</v>
      </c>
      <c r="L18" s="10">
        <v>1</v>
      </c>
      <c r="M18" s="10">
        <v>2</v>
      </c>
      <c r="N18" s="10" cm="1">
        <f t="array" ref="N18">Y18+Z18</f>
        <v>1</v>
      </c>
      <c r="O18" s="10">
        <v>0</v>
      </c>
      <c r="P18" s="12" cm="1">
        <f t="array" ref="P18">O18/D18</f>
        <v>0</v>
      </c>
      <c r="Q18" s="13" cm="1">
        <f t="array" ref="Q18">(G18*1+H18*2+I18*3+J18*4)/E18</f>
        <v>0.5</v>
      </c>
      <c r="R18" s="13" cm="1">
        <f t="array" ref="R18">(F18+N18)/D18</f>
        <v>0.4</v>
      </c>
      <c r="S18" s="15" cm="1">
        <f t="array" ref="S18">R18+Q18</f>
        <v>0.9</v>
      </c>
      <c r="T18" s="153" cm="1">
        <f t="array" ref="T18">O18/(D18-(F18+N18))</f>
        <v>0</v>
      </c>
      <c r="U18" s="17" cm="1">
        <f t="array" ref="U18">RANK(R18,$R$4:$R$26)</f>
        <v>14</v>
      </c>
      <c r="V18" s="18" cm="1">
        <f t="array" ref="V18">RANK(S18,$S$4:$S$26)</f>
        <v>8</v>
      </c>
      <c r="W18" s="154" cm="1">
        <f t="array" ref="W18">RANK(C18,$C$4:$C$26)</f>
        <v>9</v>
      </c>
      <c r="X18" s="212"/>
      <c r="Y18" s="48">
        <v>1</v>
      </c>
      <c r="Z18" s="48">
        <v>0</v>
      </c>
      <c r="AA18" s="158"/>
      <c r="AB18" s="48">
        <v>0</v>
      </c>
      <c r="AC18" s="158"/>
    </row>
    <row r="19" ht="17.25" customHeight="1">
      <c r="A19" t="s" s="8">
        <v>39</v>
      </c>
      <c r="B19" s="10">
        <v>4</v>
      </c>
      <c r="C19" s="206" cm="1">
        <f t="array" ref="C19">F19/E19</f>
        <v>0</v>
      </c>
      <c r="D19" s="10">
        <v>6</v>
      </c>
      <c r="E19" s="10">
        <v>5</v>
      </c>
      <c r="F19" s="10">
        <v>0</v>
      </c>
      <c r="G19" s="10" cm="1">
        <f t="array" ref="G19">F19-(H19+I19+J19)</f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1</v>
      </c>
      <c r="N19" s="10" cm="1">
        <f t="array" ref="N19">Y19+Z19</f>
        <v>1</v>
      </c>
      <c r="O19" s="10">
        <v>2</v>
      </c>
      <c r="P19" s="12" cm="1">
        <f t="array" ref="P19">O19/D19</f>
        <v>0.333333333333333</v>
      </c>
      <c r="Q19" s="13" cm="1">
        <f t="array" ref="Q19">(G19*1+H19*2+I19*3+J19*4)/E19</f>
        <v>0</v>
      </c>
      <c r="R19" s="13" cm="1">
        <f t="array" ref="R19">(F19+N19)/D19</f>
        <v>0.166666666666667</v>
      </c>
      <c r="S19" s="15" cm="1">
        <f t="array" ref="S19">R19+Q19</f>
        <v>0.166666666666667</v>
      </c>
      <c r="T19" s="153" cm="1">
        <f t="array" ref="T19">O19/(D19-(F19+N19))</f>
        <v>0.4</v>
      </c>
      <c r="U19" s="17" cm="1">
        <f t="array" ref="U19">RANK(R19,$R$4:$R$26)</f>
        <v>18</v>
      </c>
      <c r="V19" s="18" cm="1">
        <f t="array" ref="V19">RANK(S19,$S$4:$S$26)</f>
        <v>18</v>
      </c>
      <c r="W19" s="154" cm="1">
        <f t="array" ref="W19">RANK(C19,$C$4:$C$26)</f>
        <v>15</v>
      </c>
      <c r="X19" s="212"/>
      <c r="Y19" s="48">
        <v>1</v>
      </c>
      <c r="Z19" s="48">
        <v>0</v>
      </c>
      <c r="AA19" s="158"/>
      <c r="AB19" s="48">
        <v>0</v>
      </c>
      <c r="AC19" s="158"/>
    </row>
    <row r="20" ht="17.25" customHeight="1">
      <c r="A20" t="s" s="8">
        <v>70</v>
      </c>
      <c r="B20" s="10">
        <v>3</v>
      </c>
      <c r="C20" s="206" cm="1">
        <f t="array" ref="C20">F20/E20</f>
        <v>0.428571428571429</v>
      </c>
      <c r="D20" s="10">
        <v>7</v>
      </c>
      <c r="E20" s="10">
        <v>7</v>
      </c>
      <c r="F20" s="10">
        <v>3</v>
      </c>
      <c r="G20" s="10" cm="1">
        <f t="array" ref="G20">F20-(H20+I20+J20)</f>
        <v>2</v>
      </c>
      <c r="H20" s="10">
        <v>1</v>
      </c>
      <c r="I20" s="10">
        <v>0</v>
      </c>
      <c r="J20" s="10">
        <v>0</v>
      </c>
      <c r="K20" s="10">
        <v>1</v>
      </c>
      <c r="L20" s="10">
        <v>5</v>
      </c>
      <c r="M20" s="10">
        <v>1</v>
      </c>
      <c r="N20" s="10" cm="1">
        <f t="array" ref="N20">Y20+Z20</f>
        <v>0</v>
      </c>
      <c r="O20" s="10">
        <v>1</v>
      </c>
      <c r="P20" s="12" cm="1">
        <f t="array" ref="P20">O20/D20</f>
        <v>0.142857142857143</v>
      </c>
      <c r="Q20" s="13" cm="1">
        <f t="array" ref="Q20">(G20*1+H20*2+I20*3+J20*4)/E20</f>
        <v>0.571428571428571</v>
      </c>
      <c r="R20" s="13" cm="1">
        <f t="array" ref="R20">(F20+N20)/D20</f>
        <v>0.428571428571429</v>
      </c>
      <c r="S20" s="15" cm="1">
        <f t="array" ref="S20">R20+Q20</f>
        <v>1</v>
      </c>
      <c r="T20" s="153" cm="1">
        <f t="array" ref="T20">O20/(D20-(F20+N20))</f>
        <v>0.25</v>
      </c>
      <c r="U20" s="17" cm="1">
        <f t="array" ref="U20">RANK(R20,$R$4:$R$26)</f>
        <v>13</v>
      </c>
      <c r="V20" s="18" cm="1">
        <f t="array" ref="V20">RANK(S20,$S$4:$S$26)</f>
        <v>7</v>
      </c>
      <c r="W20" s="154" cm="1">
        <f t="array" ref="W20">RANK(C20,$C$4:$C$26)</f>
        <v>6</v>
      </c>
      <c r="X20" s="212"/>
      <c r="Y20" s="48">
        <v>0</v>
      </c>
      <c r="Z20" s="48">
        <v>0</v>
      </c>
      <c r="AA20" s="158"/>
      <c r="AB20" s="158"/>
      <c r="AC20" s="158"/>
    </row>
    <row r="21" ht="17.25" customHeight="1">
      <c r="A21" t="s" s="8">
        <v>40</v>
      </c>
      <c r="B21" s="10">
        <v>3</v>
      </c>
      <c r="C21" s="206" cm="1">
        <f t="array" ref="C21">F21/E21</f>
        <v>0.6</v>
      </c>
      <c r="D21" s="10">
        <v>5</v>
      </c>
      <c r="E21" s="10">
        <v>5</v>
      </c>
      <c r="F21" s="10">
        <v>3</v>
      </c>
      <c r="G21" s="10" cm="1">
        <f t="array" ref="G21">F21-(H21+I21+J21)</f>
        <v>1</v>
      </c>
      <c r="H21" s="10">
        <v>1</v>
      </c>
      <c r="I21" s="10">
        <v>1</v>
      </c>
      <c r="J21" s="10">
        <v>0</v>
      </c>
      <c r="K21" s="10">
        <v>3</v>
      </c>
      <c r="L21" s="10">
        <v>3</v>
      </c>
      <c r="M21" s="10">
        <v>1</v>
      </c>
      <c r="N21" s="10" cm="1">
        <f t="array" ref="N21">Y21+Z21</f>
        <v>0</v>
      </c>
      <c r="O21" s="10">
        <v>1</v>
      </c>
      <c r="P21" s="12" cm="1">
        <f t="array" ref="P21">O21/D21</f>
        <v>0.2</v>
      </c>
      <c r="Q21" s="13" cm="1">
        <f t="array" ref="Q21">(G21*1+H21*2+I21*3+J21*4)/E21</f>
        <v>1.2</v>
      </c>
      <c r="R21" s="13" cm="1">
        <f t="array" ref="R21">(F21+N21)/D21</f>
        <v>0.6</v>
      </c>
      <c r="S21" s="15" cm="1">
        <f t="array" ref="S21">R21+Q21</f>
        <v>1.8</v>
      </c>
      <c r="T21" s="153" cm="1">
        <f t="array" ref="T21">O21/(D21-(F21+N21))</f>
        <v>0.5</v>
      </c>
      <c r="U21" s="17" cm="1">
        <f t="array" ref="U21">RANK(R21,$R$4:$R$26)</f>
        <v>4</v>
      </c>
      <c r="V21" s="18" cm="1">
        <f t="array" ref="V21">RANK(S21,$S$4:$S$26)</f>
        <v>1</v>
      </c>
      <c r="W21" s="154" cm="1">
        <f t="array" ref="W21">RANK(C21,$C$4:$C$26)</f>
        <v>1</v>
      </c>
      <c r="X21" s="212"/>
      <c r="Y21" s="48">
        <v>0</v>
      </c>
      <c r="Z21" s="48">
        <v>0</v>
      </c>
      <c r="AA21" s="158"/>
      <c r="AB21" s="48">
        <v>0</v>
      </c>
      <c r="AC21" s="158"/>
    </row>
    <row r="22" ht="17.25" customHeight="1">
      <c r="A22" t="s" s="8">
        <v>41</v>
      </c>
      <c r="B22" s="10">
        <v>1</v>
      </c>
      <c r="C22" s="206" cm="1">
        <f t="array" ref="C22">F22/E22</f>
        <v>0</v>
      </c>
      <c r="D22" s="10">
        <v>2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1</v>
      </c>
      <c r="N22" s="10" cm="1">
        <f t="array" ref="N22">Y22+Z22</f>
        <v>1</v>
      </c>
      <c r="O22" s="10">
        <v>0</v>
      </c>
      <c r="P22" s="12" cm="1">
        <f t="array" ref="P22">O22/D22</f>
        <v>0</v>
      </c>
      <c r="Q22" s="13" cm="1">
        <f t="array" ref="Q22">(G22*1+H22*2+I22*3+J22*4)/E22</f>
        <v>0</v>
      </c>
      <c r="R22" s="13" cm="1">
        <f t="array" ref="R22">(F22+N22)/D22</f>
        <v>0.5</v>
      </c>
      <c r="S22" s="15" cm="1">
        <f t="array" ref="S22">R22+Q22</f>
        <v>0.5</v>
      </c>
      <c r="T22" s="153" cm="1">
        <f t="array" ref="T22">O22/(D22-(F22+N22))</f>
        <v>0</v>
      </c>
      <c r="U22" s="17" cm="1">
        <f t="array" ref="U22">RANK(R22,$R$4:$R$26)</f>
        <v>9</v>
      </c>
      <c r="V22" s="18" cm="1">
        <f t="array" ref="V22">RANK(S22,$S$4:$S$26)</f>
        <v>15</v>
      </c>
      <c r="W22" s="154" cm="1">
        <f t="array" ref="W22">RANK(C22,$C$4:$C$26)</f>
        <v>15</v>
      </c>
      <c r="X22" s="212"/>
      <c r="Y22" s="48">
        <v>1</v>
      </c>
      <c r="Z22" s="48">
        <v>0</v>
      </c>
      <c r="AA22" s="158"/>
      <c r="AB22" s="158"/>
      <c r="AC22" s="158"/>
    </row>
    <row r="23" ht="17.25" customHeight="1">
      <c r="A23" t="s" s="8">
        <v>42</v>
      </c>
      <c r="B23" s="10">
        <v>4</v>
      </c>
      <c r="C23" s="206" cm="1">
        <f t="array" ref="C23">F23/E23</f>
        <v>0.285714285714286</v>
      </c>
      <c r="D23" s="10">
        <v>12</v>
      </c>
      <c r="E23" s="10">
        <v>7</v>
      </c>
      <c r="F23" s="10">
        <v>2</v>
      </c>
      <c r="G23" s="10" cm="1">
        <f t="array" ref="G23">F23-(H23+I23+J23)</f>
        <v>1</v>
      </c>
      <c r="H23" s="10">
        <v>1</v>
      </c>
      <c r="I23" s="10">
        <v>0</v>
      </c>
      <c r="J23" s="10">
        <v>0</v>
      </c>
      <c r="K23" s="10">
        <v>2</v>
      </c>
      <c r="L23" s="10">
        <v>0</v>
      </c>
      <c r="M23" s="10">
        <v>1</v>
      </c>
      <c r="N23" s="10" cm="1">
        <f t="array" ref="N23">Y23+Z23</f>
        <v>5</v>
      </c>
      <c r="O23" s="10">
        <v>3</v>
      </c>
      <c r="P23" s="12" cm="1">
        <f t="array" ref="P23">O23/D23</f>
        <v>0.25</v>
      </c>
      <c r="Q23" s="13" cm="1">
        <f t="array" ref="Q23">(G23*1+H23*2+I23*3+J23*4)/E23</f>
        <v>0.428571428571429</v>
      </c>
      <c r="R23" s="13" cm="1">
        <f t="array" ref="R23">(F23+N23)/D23</f>
        <v>0.583333333333333</v>
      </c>
      <c r="S23" s="15" cm="1">
        <f t="array" ref="S23">R23+Q23</f>
        <v>1.01190476190476</v>
      </c>
      <c r="T23" s="153" cm="1">
        <f t="array" ref="T23">O23/(D23-(F23+N23))</f>
        <v>0.6</v>
      </c>
      <c r="U23" s="17" cm="1">
        <f t="array" ref="U23">RANK(R23,$R$4:$R$26)</f>
        <v>5</v>
      </c>
      <c r="V23" s="18" cm="1">
        <f t="array" ref="V23">RANK(S23,$S$4:$S$26)</f>
        <v>6</v>
      </c>
      <c r="W23" s="154" cm="1">
        <f t="array" ref="W23">RANK(C23,$C$4:$C$26)</f>
        <v>8</v>
      </c>
      <c r="X23" s="212"/>
      <c r="Y23" s="48">
        <v>5</v>
      </c>
      <c r="Z23" s="48">
        <v>0</v>
      </c>
      <c r="AA23" s="158"/>
      <c r="AB23" s="158"/>
      <c r="AC23" s="158"/>
    </row>
    <row r="24" ht="17.25" customHeight="1">
      <c r="A24" t="s" s="8">
        <v>43</v>
      </c>
      <c r="B24" s="10">
        <v>7</v>
      </c>
      <c r="C24" s="206" cm="1">
        <f t="array" ref="C24">F24/E24</f>
        <v>0.5</v>
      </c>
      <c r="D24" s="10">
        <v>16</v>
      </c>
      <c r="E24" s="10">
        <v>12</v>
      </c>
      <c r="F24" s="10">
        <v>6</v>
      </c>
      <c r="G24" s="10" cm="1">
        <f t="array" ref="G24">F24-(H24+I24+J24)</f>
        <v>5</v>
      </c>
      <c r="H24" s="10">
        <v>1</v>
      </c>
      <c r="I24" s="10">
        <v>0</v>
      </c>
      <c r="J24" s="10">
        <v>0</v>
      </c>
      <c r="K24" s="10">
        <v>6</v>
      </c>
      <c r="L24" s="10">
        <v>2</v>
      </c>
      <c r="M24" s="10">
        <v>9</v>
      </c>
      <c r="N24" s="10" cm="1">
        <f t="array" ref="N24">Y24+Z24</f>
        <v>4</v>
      </c>
      <c r="O24" s="10">
        <v>0</v>
      </c>
      <c r="P24" s="12" cm="1">
        <f t="array" ref="P24">O24/D24</f>
        <v>0</v>
      </c>
      <c r="Q24" s="13" cm="1">
        <f t="array" ref="Q24">(G24*1+H24*2+I24*3+J24*4)/E24</f>
        <v>0.583333333333333</v>
      </c>
      <c r="R24" s="13" cm="1">
        <f t="array" ref="R24">(F24+N24)/D24</f>
        <v>0.625</v>
      </c>
      <c r="S24" s="15" cm="1">
        <f t="array" ref="S24">R24+Q24</f>
        <v>1.20833333333333</v>
      </c>
      <c r="T24" s="153" cm="1">
        <f t="array" ref="T24">O24/(D24-(F24+N24))</f>
        <v>0</v>
      </c>
      <c r="U24" s="17" cm="1">
        <f t="array" ref="U24">RANK(R24,$R$4:$R$26)</f>
        <v>2</v>
      </c>
      <c r="V24" s="18" cm="1">
        <f t="array" ref="V24">RANK(S24,$S$4:$S$26)</f>
        <v>3</v>
      </c>
      <c r="W24" s="154" cm="1">
        <f t="array" ref="W24">RANK(C24,$C$4:$C$26)</f>
        <v>3</v>
      </c>
      <c r="X24" s="212"/>
      <c r="Y24" s="48">
        <v>3</v>
      </c>
      <c r="Z24" s="48">
        <v>1</v>
      </c>
      <c r="AA24" s="158"/>
      <c r="AB24" s="48">
        <v>0</v>
      </c>
      <c r="AC24" s="158"/>
    </row>
    <row r="25" ht="17.25" customHeight="1">
      <c r="A25" t="s" s="8">
        <v>71</v>
      </c>
      <c r="B25" s="208"/>
      <c r="C25" s="206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12"/>
      <c r="Q25" s="13"/>
      <c r="R25" s="13"/>
      <c r="S25" s="15"/>
      <c r="T25" s="153"/>
      <c r="U25" s="159"/>
      <c r="V25" s="160"/>
      <c r="W25" s="213"/>
      <c r="X25" s="212"/>
      <c r="Y25" s="158"/>
      <c r="Z25" s="158"/>
      <c r="AA25" s="158"/>
      <c r="AB25" s="158"/>
      <c r="AC25" s="158"/>
    </row>
    <row r="26" ht="17.25" customHeight="1">
      <c r="A26" t="s" s="8">
        <v>44</v>
      </c>
      <c r="B26" s="10">
        <v>5</v>
      </c>
      <c r="C26" s="206" cm="1">
        <f t="array" ref="C26">F26/E26</f>
        <v>0.111111111111111</v>
      </c>
      <c r="D26" s="10">
        <v>13</v>
      </c>
      <c r="E26" s="10">
        <v>9</v>
      </c>
      <c r="F26" s="10">
        <v>1</v>
      </c>
      <c r="G26" s="10" cm="1">
        <f t="array" ref="G26">F26-(H26+I26+J26)</f>
        <v>1</v>
      </c>
      <c r="H26" s="10">
        <v>0</v>
      </c>
      <c r="I26" s="10">
        <v>0</v>
      </c>
      <c r="J26" s="10">
        <v>0</v>
      </c>
      <c r="K26" s="10">
        <v>3</v>
      </c>
      <c r="L26" s="10">
        <v>2</v>
      </c>
      <c r="M26" s="10">
        <v>5</v>
      </c>
      <c r="N26" s="10" cm="1">
        <f t="array" ref="N26">Y26+Z26</f>
        <v>3</v>
      </c>
      <c r="O26" s="10">
        <v>2</v>
      </c>
      <c r="P26" s="12" cm="1">
        <f t="array" ref="P26">O26/D26</f>
        <v>0.153846153846154</v>
      </c>
      <c r="Q26" s="13" cm="1">
        <f t="array" ref="Q26">(G26*1+H26*2+I26*3+J26*4)/E26</f>
        <v>0.111111111111111</v>
      </c>
      <c r="R26" s="13" cm="1">
        <f t="array" ref="R26">(F26+N26)/D26</f>
        <v>0.307692307692308</v>
      </c>
      <c r="S26" s="15" cm="1">
        <f t="array" ref="S26">R26+Q26</f>
        <v>0.418803418803419</v>
      </c>
      <c r="T26" s="153" cm="1">
        <f t="array" ref="T26">O26/(D26-(F26+N26))</f>
        <v>0.222222222222222</v>
      </c>
      <c r="U26" s="17" cm="1">
        <f t="array" ref="U26">RANK(R26,$R$4:$R$26)</f>
        <v>16</v>
      </c>
      <c r="V26" s="18" cm="1">
        <f t="array" ref="V26">RANK(S26,$S$4:$S$26)</f>
        <v>16</v>
      </c>
      <c r="W26" s="154" cm="1">
        <f t="array" ref="W26">RANK(C26,$C$4:$C$26)</f>
        <v>13</v>
      </c>
      <c r="X26" s="212"/>
      <c r="Y26" s="48">
        <v>3</v>
      </c>
      <c r="Z26" s="48">
        <v>0</v>
      </c>
      <c r="AA26" s="158"/>
      <c r="AB26" s="48">
        <v>0</v>
      </c>
      <c r="AC26" s="158"/>
    </row>
    <row r="27" ht="17.25" customHeight="1">
      <c r="A27" t="s" s="29">
        <v>45</v>
      </c>
      <c r="B27" s="124"/>
      <c r="C27" s="127" cm="1">
        <f t="array" ref="C27">F27/E27</f>
        <v>0.31496062992126</v>
      </c>
      <c r="D27" s="49" cm="1">
        <f t="array" ref="D27">SUM(D4:D26)</f>
        <v>181</v>
      </c>
      <c r="E27" s="49" cm="1">
        <f t="array" ref="E27">SUM(E4:E26)</f>
        <v>127</v>
      </c>
      <c r="F27" s="49" cm="1">
        <f t="array" ref="F27">SUM(F4:F26)</f>
        <v>40</v>
      </c>
      <c r="G27" s="49" cm="1">
        <f t="array" ref="G27">SUM(G4:G26)</f>
        <v>33</v>
      </c>
      <c r="H27" s="49" cm="1">
        <f t="array" ref="H27">SUM(H4:H26)</f>
        <v>5</v>
      </c>
      <c r="I27" s="49" cm="1">
        <f t="array" ref="I27">SUM(I4:I26)</f>
        <v>2</v>
      </c>
      <c r="J27" s="49" cm="1">
        <f t="array" ref="J27">SUM(J4:J26)</f>
        <v>0</v>
      </c>
      <c r="K27" s="49" cm="1">
        <f t="array" ref="K27">SUM(K4:K26)</f>
        <v>53</v>
      </c>
      <c r="L27" s="49" cm="1">
        <f t="array" ref="L27">SUM(L4:L26)</f>
        <v>32</v>
      </c>
      <c r="M27" s="49" cm="1">
        <f t="array" ref="M27">SUM(M4:M26)</f>
        <v>53</v>
      </c>
      <c r="N27" s="49" cm="1">
        <f t="array" ref="N27">SUM(N4:N26)</f>
        <v>50</v>
      </c>
      <c r="O27" s="49" cm="1">
        <f t="array" ref="O27">SUM(O4:O26)</f>
        <v>37</v>
      </c>
      <c r="P27" s="33" cm="1">
        <f t="array" ref="P27">O27/D27</f>
        <v>0.204419889502762</v>
      </c>
      <c r="Q27" s="127"/>
      <c r="R27" s="127"/>
      <c r="S27" s="121"/>
      <c r="T27" s="31"/>
      <c r="U27" s="31"/>
      <c r="V27" s="31"/>
      <c r="W27" s="31"/>
      <c r="X27" s="61"/>
      <c r="Y27" s="161" cm="1">
        <f t="array" ref="Y27">SUM(Y4:Y26)</f>
        <v>41</v>
      </c>
      <c r="Z27" s="161" cm="1">
        <f t="array" ref="Z27">SUM(Z4:Z26)</f>
        <v>9</v>
      </c>
      <c r="AA27" s="161" cm="1">
        <f t="array" ref="AA27">SUM(AA4:AA26)</f>
        <v>0</v>
      </c>
      <c r="AB27" s="161" cm="1">
        <f t="array" ref="AB27">SUM(AB4:AB26)</f>
        <v>0</v>
      </c>
      <c r="AC27" s="161" cm="1">
        <f t="array" ref="AC27">SUM(AC4:AC26)</f>
        <v>0</v>
      </c>
    </row>
    <row r="28" ht="17.25" customHeight="1">
      <c r="A28" s="135"/>
      <c r="B28" s="136"/>
      <c r="C28" s="137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7"/>
      <c r="R28" s="137"/>
      <c r="S28" s="138"/>
      <c r="T28" s="34"/>
      <c r="U28" s="34"/>
      <c r="V28" s="34"/>
      <c r="W28" s="34"/>
      <c r="X28" s="3"/>
      <c r="Y28" s="34"/>
      <c r="Z28" s="34"/>
      <c r="AA28" s="34"/>
      <c r="AB28" s="34"/>
      <c r="AC28" s="34"/>
    </row>
    <row r="29" ht="17.25" customHeight="1">
      <c r="A29" t="s" s="139">
        <v>46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6"/>
      <c r="T29" s="6"/>
      <c r="U29" s="6"/>
      <c r="V29" s="6"/>
      <c r="W29" s="6"/>
      <c r="X29" s="3"/>
      <c r="Y29" s="6"/>
      <c r="Z29" s="6"/>
      <c r="AA29" s="3"/>
      <c r="AB29" s="3"/>
      <c r="AC29" s="3"/>
    </row>
    <row r="30" ht="34.5" customHeight="1">
      <c r="A30" t="s" s="8">
        <v>2</v>
      </c>
      <c r="B30" t="s" s="8">
        <v>3</v>
      </c>
      <c r="C30" t="s" s="8">
        <v>47</v>
      </c>
      <c r="D30" t="s" s="8">
        <v>48</v>
      </c>
      <c r="E30" t="s" s="8">
        <v>49</v>
      </c>
      <c r="F30" t="s" s="8">
        <v>50</v>
      </c>
      <c r="G30" t="s" s="8">
        <v>6</v>
      </c>
      <c r="H30" t="s" s="8">
        <v>51</v>
      </c>
      <c r="I30" t="s" s="8">
        <v>52</v>
      </c>
      <c r="J30" t="s" s="8">
        <v>53</v>
      </c>
      <c r="K30" t="s" s="8">
        <v>54</v>
      </c>
      <c r="L30" t="s" s="8">
        <v>55</v>
      </c>
      <c r="M30" t="s" s="8">
        <v>56</v>
      </c>
      <c r="N30" t="s" s="8">
        <v>57</v>
      </c>
      <c r="O30" t="s" s="8">
        <v>58</v>
      </c>
      <c r="P30" t="s" s="8">
        <v>59</v>
      </c>
      <c r="Q30" t="s" s="8">
        <v>60</v>
      </c>
      <c r="R30" t="s" s="8">
        <v>61</v>
      </c>
      <c r="S30" t="s" s="8">
        <v>116</v>
      </c>
      <c r="T30" t="s" s="8">
        <v>63</v>
      </c>
      <c r="U30" t="s" s="8">
        <v>167</v>
      </c>
      <c r="V30" t="s" s="8">
        <v>65</v>
      </c>
      <c r="W30" t="s" s="8">
        <v>117</v>
      </c>
      <c r="X30" s="61"/>
      <c r="Y30" t="s" s="8">
        <v>118</v>
      </c>
      <c r="Z30" t="s" s="8">
        <v>119</v>
      </c>
      <c r="AA30" s="9"/>
      <c r="AB30" s="3"/>
      <c r="AC30" s="3"/>
    </row>
    <row r="31" ht="17.25" customHeight="1">
      <c r="A31" t="s" s="8">
        <v>24</v>
      </c>
      <c r="B31" s="10">
        <v>1</v>
      </c>
      <c r="C31" s="10">
        <v>0</v>
      </c>
      <c r="D31" s="10">
        <v>0</v>
      </c>
      <c r="E31" s="10">
        <v>0</v>
      </c>
      <c r="F31" s="10">
        <v>4</v>
      </c>
      <c r="G31" s="10">
        <v>2</v>
      </c>
      <c r="H31" s="39">
        <v>0.3333333</v>
      </c>
      <c r="I31" s="10">
        <v>1</v>
      </c>
      <c r="J31" s="10">
        <v>0</v>
      </c>
      <c r="K31" s="10">
        <v>1</v>
      </c>
      <c r="L31" s="10">
        <v>1</v>
      </c>
      <c r="M31" s="10">
        <v>1</v>
      </c>
      <c r="N31" s="10">
        <v>0</v>
      </c>
      <c r="O31" s="10">
        <v>0</v>
      </c>
      <c r="P31" s="40" cm="1">
        <f t="array" ref="P31">O31*9/H31</f>
        <v>0</v>
      </c>
      <c r="Q31" s="41" cm="1">
        <f t="array" ref="Q31">(K31+L31)/H31</f>
        <v>6.00000060000006</v>
      </c>
      <c r="R31" s="42" cm="1">
        <f t="array" ref="R31">I31/H31</f>
        <v>3.00000030000003</v>
      </c>
      <c r="S31" s="42" cm="1">
        <f t="array" ref="S31">H31/B31</f>
        <v>0.3333333</v>
      </c>
      <c r="T31" s="41" cm="1">
        <f t="array" ref="T31">M31/H31</f>
        <v>3.00000030000003</v>
      </c>
      <c r="U31" s="44" cm="1">
        <f t="array" ref="U31">O31/N31</f>
      </c>
      <c r="V31" s="41" cm="1">
        <f t="array" ref="V31">(I31+K31+L31)/H31</f>
        <v>9.00000090000009</v>
      </c>
      <c r="W31" s="170" cm="1">
        <f t="array" ref="W31">(L31+K31)/F31*100</f>
        <v>50</v>
      </c>
      <c r="X31" s="216"/>
      <c r="Y31" s="220">
        <v>0</v>
      </c>
      <c r="Z31" s="220">
        <v>0</v>
      </c>
      <c r="AA31" s="9"/>
      <c r="AB31" s="3"/>
      <c r="AC31" s="3"/>
    </row>
    <row r="32" ht="17.25" customHeight="1">
      <c r="A32" t="s" s="8">
        <v>27</v>
      </c>
      <c r="B32" s="208"/>
      <c r="C32" s="208"/>
      <c r="D32" s="208"/>
      <c r="E32" s="208"/>
      <c r="F32" s="208"/>
      <c r="G32" s="208"/>
      <c r="H32" s="39"/>
      <c r="I32" s="208"/>
      <c r="J32" s="208"/>
      <c r="K32" s="208"/>
      <c r="L32" s="208"/>
      <c r="M32" s="208"/>
      <c r="N32" s="208"/>
      <c r="O32" s="208"/>
      <c r="P32" s="40" cm="1">
        <f t="array" ref="P32">O32*9/H32</f>
      </c>
      <c r="Q32" s="41" cm="1">
        <f t="array" ref="Q32">(K32+L32)/H32</f>
      </c>
      <c r="R32" s="42" cm="1">
        <f t="array" ref="R32">I32/H32</f>
      </c>
      <c r="S32" s="42" cm="1">
        <f t="array" ref="S32">H32/B32</f>
      </c>
      <c r="T32" s="41" cm="1">
        <f t="array" ref="T32">M32/H32</f>
      </c>
      <c r="U32" s="44" cm="1">
        <f t="array" ref="U32">O32/N32</f>
      </c>
      <c r="V32" s="41" cm="1">
        <f t="array" ref="V32">(I32+K32+L32)/H32</f>
      </c>
      <c r="W32" s="170" cm="1">
        <f t="array" ref="W32">(L32+K32)/F32*100</f>
      </c>
      <c r="X32" s="216"/>
      <c r="Y32" s="217"/>
      <c r="Z32" s="217"/>
      <c r="AA32" s="9"/>
      <c r="AB32" s="3"/>
      <c r="AC32" s="3"/>
    </row>
    <row r="33" ht="17.25" customHeight="1">
      <c r="A33" t="s" s="8">
        <v>29</v>
      </c>
      <c r="B33" s="208"/>
      <c r="C33" s="208"/>
      <c r="D33" s="208"/>
      <c r="E33" s="208"/>
      <c r="F33" s="208"/>
      <c r="G33" s="208"/>
      <c r="H33" s="39"/>
      <c r="I33" s="208"/>
      <c r="J33" s="208"/>
      <c r="K33" s="208"/>
      <c r="L33" s="208"/>
      <c r="M33" s="208"/>
      <c r="N33" s="208"/>
      <c r="O33" s="208"/>
      <c r="P33" s="40" cm="1">
        <f t="array" ref="P33">O33*9/H33</f>
      </c>
      <c r="Q33" s="41" cm="1">
        <f t="array" ref="Q33">(K33+L33)/H33</f>
      </c>
      <c r="R33" s="42" cm="1">
        <f t="array" ref="R33">I33/H33</f>
      </c>
      <c r="S33" s="42" cm="1">
        <f t="array" ref="S33">H33/B33</f>
      </c>
      <c r="T33" s="41" cm="1">
        <f t="array" ref="T33">M33/H33</f>
      </c>
      <c r="U33" s="44" cm="1">
        <f t="array" ref="U33">O33/N33</f>
      </c>
      <c r="V33" s="41" cm="1">
        <f t="array" ref="V33">(I33+K33+L33)/H33</f>
      </c>
      <c r="W33" s="170" cm="1">
        <f t="array" ref="W33">(L33+K33)/F33*100</f>
      </c>
      <c r="X33" s="216"/>
      <c r="Y33" s="217"/>
      <c r="Z33" s="217"/>
      <c r="AA33" s="9"/>
      <c r="AB33" s="3"/>
      <c r="AC33" s="3"/>
    </row>
    <row r="34" ht="17.25" customHeight="1">
      <c r="A34" t="s" s="8">
        <v>33</v>
      </c>
      <c r="B34" s="208"/>
      <c r="C34" s="208"/>
      <c r="D34" s="208"/>
      <c r="E34" s="208"/>
      <c r="F34" s="208"/>
      <c r="G34" s="208"/>
      <c r="H34" s="39"/>
      <c r="I34" s="208"/>
      <c r="J34" s="208"/>
      <c r="K34" s="208"/>
      <c r="L34" s="208"/>
      <c r="M34" s="208"/>
      <c r="N34" s="208"/>
      <c r="O34" s="208"/>
      <c r="P34" s="40" cm="1">
        <f t="array" ref="P34">O34*9/H34</f>
      </c>
      <c r="Q34" s="41" cm="1">
        <f t="array" ref="Q34">(K34+L34)/H34</f>
      </c>
      <c r="R34" s="42" cm="1">
        <f t="array" ref="R34">I34/H34</f>
      </c>
      <c r="S34" s="42" cm="1">
        <f t="array" ref="S34">H34/B34</f>
      </c>
      <c r="T34" s="41" cm="1">
        <f t="array" ref="T34">M34/H34</f>
      </c>
      <c r="U34" s="44" cm="1">
        <f t="array" ref="U34">O34/N34</f>
      </c>
      <c r="V34" s="41" cm="1">
        <f t="array" ref="V34">(I34+K34+L34)/H34</f>
      </c>
      <c r="W34" s="170" cm="1">
        <f t="array" ref="W34">(L34+K34)/F34*100</f>
      </c>
      <c r="X34" s="216"/>
      <c r="Y34" s="217"/>
      <c r="Z34" s="217"/>
      <c r="AA34" s="9"/>
      <c r="AB34" s="3"/>
      <c r="AC34" s="3"/>
    </row>
    <row r="35" ht="17.25" customHeight="1">
      <c r="A35" t="s" s="8">
        <v>35</v>
      </c>
      <c r="B35" s="208"/>
      <c r="C35" s="208"/>
      <c r="D35" s="208"/>
      <c r="E35" s="208"/>
      <c r="F35" s="208"/>
      <c r="G35" s="208"/>
      <c r="H35" s="39"/>
      <c r="I35" s="208"/>
      <c r="J35" s="208"/>
      <c r="K35" s="208"/>
      <c r="L35" s="208"/>
      <c r="M35" s="208"/>
      <c r="N35" s="208"/>
      <c r="O35" s="208"/>
      <c r="P35" s="40" cm="1">
        <f t="array" ref="P35">O35*9/H35</f>
      </c>
      <c r="Q35" s="41" cm="1">
        <f t="array" ref="Q35">(K35+L35)/H35</f>
      </c>
      <c r="R35" s="42" cm="1">
        <f t="array" ref="R35">I35/H35</f>
      </c>
      <c r="S35" s="42" cm="1">
        <f t="array" ref="S35">H35/B35</f>
      </c>
      <c r="T35" s="41" cm="1">
        <f t="array" ref="T35">M35/H35</f>
      </c>
      <c r="U35" s="44" cm="1">
        <f t="array" ref="U35">O35/N35</f>
      </c>
      <c r="V35" s="41" cm="1">
        <f t="array" ref="V35">(I35+K35+L35)/H35</f>
      </c>
      <c r="W35" s="170" cm="1">
        <f t="array" ref="W35">(L35+K35)/F35*100</f>
      </c>
      <c r="X35" s="216"/>
      <c r="Y35" s="217"/>
      <c r="Z35" s="217"/>
      <c r="AA35" s="9"/>
      <c r="AB35" s="3"/>
      <c r="AC35" s="3"/>
    </row>
    <row r="36" ht="17.25" customHeight="1">
      <c r="A36" t="s" s="8">
        <v>36</v>
      </c>
      <c r="B36" s="208"/>
      <c r="C36" s="208"/>
      <c r="D36" s="208"/>
      <c r="E36" s="208"/>
      <c r="F36" s="208"/>
      <c r="G36" s="208"/>
      <c r="H36" s="39"/>
      <c r="I36" s="208"/>
      <c r="J36" s="208"/>
      <c r="K36" s="208"/>
      <c r="L36" s="208"/>
      <c r="M36" s="208"/>
      <c r="N36" s="208"/>
      <c r="O36" s="208"/>
      <c r="P36" s="40" cm="1">
        <f t="array" ref="P36">O36*9/H36</f>
      </c>
      <c r="Q36" s="41" cm="1">
        <f t="array" ref="Q36">(K36+L36)/H36</f>
      </c>
      <c r="R36" s="42" cm="1">
        <f t="array" ref="R36">I36/H36</f>
      </c>
      <c r="S36" s="42" cm="1">
        <f t="array" ref="S36">H36/B36</f>
      </c>
      <c r="T36" s="41" cm="1">
        <f t="array" ref="T36">M36/H36</f>
      </c>
      <c r="U36" s="44" cm="1">
        <f t="array" ref="U36">O36/N36</f>
      </c>
      <c r="V36" s="41" cm="1">
        <f t="array" ref="V36">(I36+K36+L36)/H36</f>
      </c>
      <c r="W36" s="170" cm="1">
        <f t="array" ref="W36">(L36+K36)/F36*100</f>
      </c>
      <c r="X36" s="216"/>
      <c r="Y36" s="217"/>
      <c r="Z36" s="217"/>
      <c r="AA36" s="9"/>
      <c r="AB36" s="3"/>
      <c r="AC36" s="3"/>
    </row>
    <row r="37" ht="17.25" customHeight="1">
      <c r="A37" t="s" s="8">
        <v>37</v>
      </c>
      <c r="B37" s="10">
        <v>5</v>
      </c>
      <c r="C37" s="10">
        <v>0</v>
      </c>
      <c r="D37" s="10">
        <v>0</v>
      </c>
      <c r="E37" s="10">
        <v>0</v>
      </c>
      <c r="F37" s="10">
        <v>46</v>
      </c>
      <c r="G37" s="10">
        <v>40</v>
      </c>
      <c r="H37" s="39">
        <v>7.333333333</v>
      </c>
      <c r="I37" s="10">
        <v>17</v>
      </c>
      <c r="J37" s="10">
        <v>0</v>
      </c>
      <c r="K37" s="10">
        <v>5</v>
      </c>
      <c r="L37" s="10">
        <v>1</v>
      </c>
      <c r="M37" s="10">
        <v>10</v>
      </c>
      <c r="N37" s="10">
        <v>18</v>
      </c>
      <c r="O37" s="10">
        <v>15</v>
      </c>
      <c r="P37" s="40" cm="1">
        <f t="array" ref="P37">O37*9/H37</f>
        <v>18.4090909099277</v>
      </c>
      <c r="Q37" s="41" cm="1">
        <f t="array" ref="Q37">(K37+L37)/H37</f>
        <v>0.818181818219008</v>
      </c>
      <c r="R37" s="42" cm="1">
        <f t="array" ref="R37">I37/H37</f>
        <v>2.31818181828719</v>
      </c>
      <c r="S37" s="42" cm="1">
        <f t="array" ref="S37">H37/B37</f>
        <v>1.4666666666</v>
      </c>
      <c r="T37" s="41" cm="1">
        <f t="array" ref="T37">M37/H37</f>
        <v>1.36363636369835</v>
      </c>
      <c r="U37" s="44" cm="1">
        <f t="array" ref="U37">O37/N37</f>
        <v>0.833333333333333</v>
      </c>
      <c r="V37" s="41" cm="1">
        <f t="array" ref="V37">(I37+K37+L37)/H37</f>
        <v>3.1363636365062</v>
      </c>
      <c r="W37" s="170" cm="1">
        <f t="array" ref="W37">(L37+K37)/F37*100</f>
        <v>13.0434782608696</v>
      </c>
      <c r="X37" s="216"/>
      <c r="Y37" s="220">
        <v>0</v>
      </c>
      <c r="Z37" s="220">
        <v>0</v>
      </c>
      <c r="AA37" s="9"/>
      <c r="AB37" s="3"/>
      <c r="AC37" s="3"/>
    </row>
    <row r="38" ht="17.25" customHeight="1">
      <c r="A38" t="s" s="8">
        <v>40</v>
      </c>
      <c r="B38" s="10">
        <v>5</v>
      </c>
      <c r="C38" s="10">
        <v>0</v>
      </c>
      <c r="D38" s="10">
        <v>2</v>
      </c>
      <c r="E38" s="10">
        <v>0</v>
      </c>
      <c r="F38" s="10">
        <v>58</v>
      </c>
      <c r="G38" s="10">
        <v>47</v>
      </c>
      <c r="H38" s="39">
        <v>5.666666666</v>
      </c>
      <c r="I38" s="10">
        <v>21</v>
      </c>
      <c r="J38" s="10">
        <v>0</v>
      </c>
      <c r="K38" s="10">
        <v>2</v>
      </c>
      <c r="L38" s="10">
        <v>8</v>
      </c>
      <c r="M38" s="10">
        <v>12</v>
      </c>
      <c r="N38" s="10">
        <v>31</v>
      </c>
      <c r="O38" s="10">
        <v>21</v>
      </c>
      <c r="P38" s="40" cm="1">
        <f t="array" ref="P38">O38*9/H38</f>
        <v>33.3529411803945</v>
      </c>
      <c r="Q38" s="41" cm="1">
        <f t="array" ref="Q38">(K38+L38)/H38</f>
        <v>1.76470588256055</v>
      </c>
      <c r="R38" s="42" cm="1">
        <f t="array" ref="R38">I38/H38</f>
        <v>3.70588235337716</v>
      </c>
      <c r="S38" s="42" cm="1">
        <f t="array" ref="S38">H38/B38</f>
        <v>1.1333333332</v>
      </c>
      <c r="T38" s="41" cm="1">
        <f t="array" ref="T38">M38/H38</f>
        <v>2.11764705907266</v>
      </c>
      <c r="U38" s="44" cm="1">
        <f t="array" ref="U38">O38/N38</f>
        <v>0.67741935483871</v>
      </c>
      <c r="V38" s="41" cm="1">
        <f t="array" ref="V38">(I38+K38+L38)/H38</f>
        <v>5.47058823593772</v>
      </c>
      <c r="W38" s="170" cm="1">
        <f t="array" ref="W38">(L38+K38)/F38*100</f>
        <v>17.2413793103448</v>
      </c>
      <c r="X38" s="216"/>
      <c r="Y38" s="220">
        <v>2</v>
      </c>
      <c r="Z38" s="220">
        <v>0</v>
      </c>
      <c r="AA38" s="9"/>
      <c r="AB38" s="3"/>
      <c r="AC38" s="3"/>
    </row>
    <row r="39" ht="17.25" customHeight="1">
      <c r="A39" t="s" s="8">
        <v>41</v>
      </c>
      <c r="B39" s="10">
        <v>1</v>
      </c>
      <c r="C39" s="10">
        <v>0</v>
      </c>
      <c r="D39" s="10">
        <v>0</v>
      </c>
      <c r="E39" s="10">
        <v>0</v>
      </c>
      <c r="F39" s="10">
        <v>5</v>
      </c>
      <c r="G39" s="10">
        <v>1</v>
      </c>
      <c r="H39" s="39">
        <v>0.33333333333333</v>
      </c>
      <c r="I39" s="10">
        <v>0</v>
      </c>
      <c r="J39" s="10">
        <v>0</v>
      </c>
      <c r="K39" s="10">
        <v>3</v>
      </c>
      <c r="L39" s="10">
        <v>1</v>
      </c>
      <c r="M39" s="10">
        <v>0</v>
      </c>
      <c r="N39" s="10">
        <v>4</v>
      </c>
      <c r="O39" s="10">
        <v>1</v>
      </c>
      <c r="P39" s="40" cm="1">
        <f t="array" ref="P39">O39*9/H39</f>
        <v>27.0000000000003</v>
      </c>
      <c r="Q39" s="41" cm="1">
        <f t="array" ref="Q39">(K39+L39)/H39</f>
        <v>12.0000000000001</v>
      </c>
      <c r="R39" s="42" cm="1">
        <f t="array" ref="R39">I39/H39</f>
        <v>0</v>
      </c>
      <c r="S39" s="42" cm="1">
        <f t="array" ref="S39">H39/B39</f>
        <v>0.33333333333333</v>
      </c>
      <c r="T39" s="41" cm="1">
        <f t="array" ref="T39">M39/H39</f>
        <v>0</v>
      </c>
      <c r="U39" s="44" cm="1">
        <f t="array" ref="U39">O39/N39</f>
        <v>0.25</v>
      </c>
      <c r="V39" s="41" cm="1">
        <f t="array" ref="V39">(I39+K39+L39)/H39</f>
        <v>12.0000000000001</v>
      </c>
      <c r="W39" s="170" cm="1">
        <f t="array" ref="W39">(L39+K39)/F39*100</f>
        <v>80</v>
      </c>
      <c r="X39" s="216"/>
      <c r="Y39" s="217"/>
      <c r="Z39" s="217"/>
      <c r="AA39" s="9"/>
      <c r="AB39" s="3"/>
      <c r="AC39" s="3"/>
    </row>
    <row r="40" ht="17.25" customHeight="1">
      <c r="A40" t="s" s="8">
        <v>42</v>
      </c>
      <c r="B40" s="208"/>
      <c r="C40" s="208"/>
      <c r="D40" s="208"/>
      <c r="E40" s="208"/>
      <c r="F40" s="208"/>
      <c r="G40" s="208"/>
      <c r="H40" s="39"/>
      <c r="I40" s="208"/>
      <c r="J40" s="208"/>
      <c r="K40" s="208"/>
      <c r="L40" s="208"/>
      <c r="M40" s="208"/>
      <c r="N40" s="208"/>
      <c r="O40" s="208"/>
      <c r="P40" s="40" cm="1">
        <f t="array" ref="P40">O40*9/H40</f>
      </c>
      <c r="Q40" s="41" cm="1">
        <f t="array" ref="Q40">(K40+L40)/H40</f>
      </c>
      <c r="R40" s="42" cm="1">
        <f t="array" ref="R40">I40/H40</f>
      </c>
      <c r="S40" s="42" cm="1">
        <f t="array" ref="S40">H40/B40</f>
      </c>
      <c r="T40" s="41" cm="1">
        <f t="array" ref="T40">M40/H40</f>
      </c>
      <c r="U40" s="44" cm="1">
        <f t="array" ref="U40">O40/N40</f>
      </c>
      <c r="V40" s="41" cm="1">
        <f t="array" ref="V40">(I40+K40+L40)/H40</f>
      </c>
      <c r="W40" s="170" cm="1">
        <f t="array" ref="W40">(L40+K40)/F40*100</f>
      </c>
      <c r="X40" s="216"/>
      <c r="Y40" s="217"/>
      <c r="Z40" s="217"/>
      <c r="AA40" s="9"/>
      <c r="AB40" s="3"/>
      <c r="AC40" s="3"/>
    </row>
    <row r="41" ht="17.25" customHeight="1">
      <c r="A41" t="s" s="8">
        <v>43</v>
      </c>
      <c r="B41" s="10">
        <v>6</v>
      </c>
      <c r="C41" s="10">
        <v>1</v>
      </c>
      <c r="D41" s="10">
        <v>4</v>
      </c>
      <c r="E41" s="10">
        <v>0</v>
      </c>
      <c r="F41" s="10">
        <v>106</v>
      </c>
      <c r="G41" s="10">
        <v>71</v>
      </c>
      <c r="H41" s="39">
        <v>12</v>
      </c>
      <c r="I41" s="10">
        <v>24</v>
      </c>
      <c r="J41" s="10">
        <v>0</v>
      </c>
      <c r="K41" s="10">
        <v>31</v>
      </c>
      <c r="L41" s="10">
        <v>3</v>
      </c>
      <c r="M41" s="10">
        <v>18</v>
      </c>
      <c r="N41" s="10">
        <v>53</v>
      </c>
      <c r="O41" s="10">
        <v>30</v>
      </c>
      <c r="P41" s="40" cm="1">
        <f t="array" ref="P41">O41*9/H41</f>
        <v>22.5</v>
      </c>
      <c r="Q41" s="41" cm="1">
        <f t="array" ref="Q41">(K41+L41)/H41</f>
        <v>2.83333333333333</v>
      </c>
      <c r="R41" s="42" cm="1">
        <f t="array" ref="R41">I41/H41</f>
        <v>2</v>
      </c>
      <c r="S41" s="42" cm="1">
        <f t="array" ref="S41">H41/B41</f>
        <v>2</v>
      </c>
      <c r="T41" s="41" cm="1">
        <f t="array" ref="T41">M41/H41</f>
        <v>1.5</v>
      </c>
      <c r="U41" s="44" cm="1">
        <f t="array" ref="U41">O41/N41</f>
        <v>0.566037735849057</v>
      </c>
      <c r="V41" s="41" cm="1">
        <f t="array" ref="V41">(I41+K41+L41)/H41</f>
        <v>4.83333333333333</v>
      </c>
      <c r="W41" s="170" cm="1">
        <f t="array" ref="W41">(L41+K41)/F41*100</f>
        <v>32.0754716981132</v>
      </c>
      <c r="X41" s="216"/>
      <c r="Y41" s="220">
        <v>3</v>
      </c>
      <c r="Z41" s="220">
        <v>0</v>
      </c>
      <c r="AA41" s="9"/>
      <c r="AB41" s="3"/>
      <c r="AC41" s="3"/>
    </row>
    <row r="42" ht="17.25" customHeight="1">
      <c r="A42" t="s" s="29">
        <v>45</v>
      </c>
      <c r="B42" s="124"/>
      <c r="C42" s="49" cm="1">
        <f t="array" ref="C42">SUM(C31:C41)</f>
        <v>1</v>
      </c>
      <c r="D42" s="49" cm="1">
        <f t="array" ref="D42">SUM(D31:D41)</f>
        <v>6</v>
      </c>
      <c r="E42" s="49" cm="1">
        <f t="array" ref="E42">SUM(E31:E41)</f>
        <v>0</v>
      </c>
      <c r="F42" s="49" cm="1">
        <f t="array" ref="F42">SUM(F31:F41)</f>
        <v>219</v>
      </c>
      <c r="G42" s="49" cm="1">
        <f t="array" ref="G42">SUM(G31:G41)</f>
        <v>161</v>
      </c>
      <c r="H42" s="50" cm="1">
        <f t="array" ref="H42">SUM(H31:H41)</f>
        <v>25.6666666323333</v>
      </c>
      <c r="I42" s="49" cm="1">
        <f t="array" ref="I42">SUM(I31:I41)</f>
        <v>63</v>
      </c>
      <c r="J42" s="49" cm="1">
        <f t="array" ref="J42">SUM(J31:J41)</f>
        <v>0</v>
      </c>
      <c r="K42" s="49" cm="1">
        <f t="array" ref="K42">SUM(K31:K41)</f>
        <v>42</v>
      </c>
      <c r="L42" s="49" cm="1">
        <f t="array" ref="L42">SUM(L31:L41)</f>
        <v>14</v>
      </c>
      <c r="M42" s="49" cm="1">
        <f t="array" ref="M42">SUM(M31:M41)</f>
        <v>41</v>
      </c>
      <c r="N42" s="49" cm="1">
        <f t="array" ref="N42">SUM(N31:N41)</f>
        <v>106</v>
      </c>
      <c r="O42" s="49" cm="1">
        <f t="array" ref="O42">SUM(O31:O41)</f>
        <v>67</v>
      </c>
      <c r="P42" s="51" cm="1">
        <f t="array" ref="P42">O42*9/H42</f>
        <v>23.4935065249329</v>
      </c>
      <c r="Q42" s="52" cm="1">
        <f t="array" ref="Q42">(K42+L42)/H42</f>
        <v>2.18181818473672</v>
      </c>
      <c r="R42" s="53" cm="1">
        <f t="array" ref="R42">I42/H42</f>
        <v>2.45454545782881</v>
      </c>
      <c r="S42" s="53" cm="1">
        <f t="array" ref="S42">H42/B42</f>
      </c>
      <c r="T42" s="52" cm="1">
        <f t="array" ref="T42">M42/H42</f>
        <v>1.59740259953938</v>
      </c>
      <c r="U42" s="55" cm="1">
        <f t="array" ref="U42">O42/N42</f>
        <v>0.632075471698113</v>
      </c>
      <c r="V42" s="52" cm="1">
        <f t="array" ref="V42">(I42+K42+L42)/H42</f>
        <v>4.63636364256553</v>
      </c>
      <c r="W42" s="52"/>
      <c r="X42" s="216"/>
      <c r="Y42" s="49" cm="1">
        <f t="array" ref="Y42">SUM(Y31:Y41)</f>
        <v>5</v>
      </c>
      <c r="Z42" s="49" cm="1">
        <f t="array" ref="Z42">SUM(Z31:Z41)</f>
        <v>0</v>
      </c>
      <c r="AA42" s="9"/>
      <c r="AB42" s="3"/>
      <c r="AC42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AC42"/>
  <sheetViews>
    <sheetView workbookViewId="0" showGridLines="0" defaultGridColor="1"/>
  </sheetViews>
  <sheetFormatPr defaultColWidth="9" defaultRowHeight="16.5" customHeight="1" outlineLevelRow="0" outlineLevelCol="0"/>
  <cols>
    <col min="1" max="2" width="8.17188" style="221" customWidth="1"/>
    <col min="3" max="3" width="9.67188" style="221" customWidth="1"/>
    <col min="4" max="15" width="8.17188" style="221" customWidth="1"/>
    <col min="16" max="16" width="10.1719" style="221" customWidth="1"/>
    <col min="17" max="18" width="8.17188" style="221" customWidth="1"/>
    <col min="19" max="19" width="10.8516" style="221" customWidth="1"/>
    <col min="20" max="20" width="10.1719" style="221" customWidth="1"/>
    <col min="21" max="22" width="9" style="221" customWidth="1"/>
    <col min="23" max="23" width="11.3516" style="221" customWidth="1"/>
    <col min="24" max="24" width="2.67188" style="221" customWidth="1"/>
    <col min="25" max="26" width="9" style="221" customWidth="1"/>
    <col min="27" max="27" width="10.1719" style="221" customWidth="1"/>
    <col min="28" max="29" width="9" style="221" customWidth="1"/>
    <col min="30" max="16384" width="9" style="221" customWidth="1"/>
  </cols>
  <sheetData>
    <row r="1" ht="26.25" customHeight="1">
      <c r="A1" t="s" s="2">
        <v>170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3"/>
      <c r="Y2" s="6"/>
      <c r="Z2" s="6"/>
      <c r="AA2" s="6"/>
      <c r="AB2" s="6"/>
      <c r="AC2" s="6"/>
    </row>
    <row r="3" ht="34.5" customHeight="1">
      <c r="A3" t="s" s="8">
        <v>101</v>
      </c>
      <c r="B3" t="s" s="8">
        <v>102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21</v>
      </c>
      <c r="U3" t="s" s="8">
        <v>22</v>
      </c>
      <c r="V3" t="s" s="8">
        <v>23</v>
      </c>
      <c r="W3" t="s" s="8">
        <v>111</v>
      </c>
      <c r="X3" s="61"/>
      <c r="Y3" t="s" s="8">
        <v>112</v>
      </c>
      <c r="Z3" t="s" s="8">
        <v>55</v>
      </c>
      <c r="AA3" t="s" s="8">
        <v>113</v>
      </c>
      <c r="AB3" t="s" s="8">
        <v>171</v>
      </c>
      <c r="AC3" t="s" s="8">
        <v>115</v>
      </c>
    </row>
    <row r="4" ht="17.25" customHeight="1">
      <c r="A4" t="s" s="8">
        <v>24</v>
      </c>
      <c r="B4" s="10">
        <v>4</v>
      </c>
      <c r="C4" s="206" cm="1">
        <f t="array" ref="C4">F4/E4</f>
        <v>0.333333333333333</v>
      </c>
      <c r="D4" s="10">
        <v>6</v>
      </c>
      <c r="E4" s="10">
        <v>6</v>
      </c>
      <c r="F4" s="10">
        <v>2</v>
      </c>
      <c r="G4" s="10" cm="1">
        <f t="array" ref="G4">F4-(H4+I4+J4)</f>
        <v>1</v>
      </c>
      <c r="H4" s="10">
        <v>1</v>
      </c>
      <c r="I4" s="10">
        <v>0</v>
      </c>
      <c r="J4" s="10">
        <v>0</v>
      </c>
      <c r="K4" s="10">
        <v>1</v>
      </c>
      <c r="L4" s="10">
        <v>1</v>
      </c>
      <c r="M4" s="10">
        <v>1</v>
      </c>
      <c r="N4" s="10" cm="1">
        <f t="array" ref="N4">Y4+Z4</f>
        <v>0</v>
      </c>
      <c r="O4" s="10">
        <v>1</v>
      </c>
      <c r="P4" s="12" cm="1">
        <f t="array" ref="P4">O4/D4</f>
        <v>0.166666666666667</v>
      </c>
      <c r="Q4" s="13" cm="1">
        <f t="array" ref="Q4">(G4*1+H4*2+I4*3+J4*4)/E4</f>
        <v>0.5</v>
      </c>
      <c r="R4" s="13" cm="1">
        <f t="array" ref="R4">(F4+N4)/(D4-AA4)</f>
        <v>0.333333333333333</v>
      </c>
      <c r="S4" s="15" cm="1">
        <f t="array" ref="S4">R4+Q4</f>
        <v>0.833333333333333</v>
      </c>
      <c r="T4" s="153" cm="1">
        <f t="array" ref="T4">O4/(D4-(F4+N4))</f>
        <v>0.25</v>
      </c>
      <c r="U4" s="17" cm="1">
        <f t="array" ref="U4">RANK(R4,$R$4:$R$26)</f>
        <v>15</v>
      </c>
      <c r="V4" s="18" cm="1">
        <f t="array" ref="V4">RANK(S4,$S$4:$S$26)</f>
        <v>15</v>
      </c>
      <c r="W4" s="154" cm="1">
        <f t="array" ref="W4">RANK(C4,$C$4:$C$26)</f>
        <v>13</v>
      </c>
      <c r="X4" s="212"/>
      <c r="Y4" s="48">
        <v>0</v>
      </c>
      <c r="Z4" s="48">
        <v>0</v>
      </c>
      <c r="AA4" s="158"/>
      <c r="AB4" s="158"/>
      <c r="AC4" s="158"/>
    </row>
    <row r="5" ht="17.25" customHeight="1">
      <c r="A5" t="s" s="8">
        <v>25</v>
      </c>
      <c r="B5" s="10">
        <v>2</v>
      </c>
      <c r="C5" s="206"/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2"/>
      <c r="Q5" s="13"/>
      <c r="R5" s="13"/>
      <c r="S5" s="15"/>
      <c r="T5" s="153"/>
      <c r="U5" s="159"/>
      <c r="V5" s="160"/>
      <c r="W5" s="213"/>
      <c r="X5" s="212"/>
      <c r="Y5" s="158"/>
      <c r="Z5" s="158"/>
      <c r="AA5" s="158"/>
      <c r="AB5" s="158"/>
      <c r="AC5" s="158"/>
    </row>
    <row r="6" ht="17.25" customHeight="1">
      <c r="A6" t="s" s="8">
        <v>26</v>
      </c>
      <c r="B6" s="10">
        <v>10</v>
      </c>
      <c r="C6" s="206" cm="1">
        <f t="array" ref="C6">F6/E6</f>
        <v>0.444444444444444</v>
      </c>
      <c r="D6" s="10">
        <v>34</v>
      </c>
      <c r="E6" s="10">
        <v>27</v>
      </c>
      <c r="F6" s="10">
        <v>12</v>
      </c>
      <c r="G6" s="10" cm="1">
        <f t="array" ref="G6">F6-(H6+I6+J6)</f>
        <v>4</v>
      </c>
      <c r="H6" s="10">
        <v>5</v>
      </c>
      <c r="I6" s="10">
        <v>2</v>
      </c>
      <c r="J6" s="10">
        <v>1</v>
      </c>
      <c r="K6" s="10">
        <v>15</v>
      </c>
      <c r="L6" s="10">
        <v>14</v>
      </c>
      <c r="M6" s="10">
        <v>8</v>
      </c>
      <c r="N6" s="10" cm="1">
        <f t="array" ref="N6">Y6+Z6</f>
        <v>5</v>
      </c>
      <c r="O6" s="10">
        <v>3</v>
      </c>
      <c r="P6" s="12" cm="1">
        <f t="array" ref="P6">O6/D6</f>
        <v>0.08823529411764711</v>
      </c>
      <c r="Q6" s="13" cm="1">
        <f t="array" ref="Q6">(G6*1+H6*2+I6*3+J6*4)/E6</f>
        <v>0.888888888888889</v>
      </c>
      <c r="R6" s="13" cm="1">
        <f t="array" ref="R6">(F6+N6)/(D6-AA6)</f>
        <v>0.5</v>
      </c>
      <c r="S6" s="15" cm="1">
        <f t="array" ref="S6">R6+Q6</f>
        <v>1.38888888888889</v>
      </c>
      <c r="T6" s="153" cm="1">
        <f t="array" ref="T6">O6/(D6-(F6+N6))</f>
        <v>0.176470588235294</v>
      </c>
      <c r="U6" s="17" cm="1">
        <f t="array" ref="U6">RANK(R6,$R$4:$R$26)</f>
        <v>9</v>
      </c>
      <c r="V6" s="18" cm="1">
        <f t="array" ref="V6">RANK(S6,$S$4:$S$26)</f>
        <v>5</v>
      </c>
      <c r="W6" s="154" cm="1">
        <f t="array" ref="W6">RANK(C6,$C$4:$C$26)</f>
        <v>7</v>
      </c>
      <c r="X6" s="212"/>
      <c r="Y6" s="48">
        <v>2</v>
      </c>
      <c r="Z6" s="48">
        <v>3</v>
      </c>
      <c r="AA6" s="158"/>
      <c r="AB6" s="158"/>
      <c r="AC6" s="158"/>
    </row>
    <row r="7" ht="17.25" customHeight="1">
      <c r="A7" t="s" s="8">
        <v>27</v>
      </c>
      <c r="B7" s="208"/>
      <c r="C7" s="206"/>
      <c r="D7" s="208"/>
      <c r="E7" s="208"/>
      <c r="F7" s="208"/>
      <c r="G7" s="10" cm="1">
        <f t="array" ref="G7">F7-(H7+I7+J7)</f>
        <v>0</v>
      </c>
      <c r="H7" s="208"/>
      <c r="I7" s="208"/>
      <c r="J7" s="208"/>
      <c r="K7" s="208"/>
      <c r="L7" s="208"/>
      <c r="M7" s="208"/>
      <c r="N7" s="10" cm="1">
        <f t="array" ref="N7">Y7+Z7</f>
        <v>0</v>
      </c>
      <c r="O7" s="208"/>
      <c r="P7" s="12"/>
      <c r="Q7" s="13"/>
      <c r="R7" s="13"/>
      <c r="S7" s="15"/>
      <c r="T7" s="153"/>
      <c r="U7" s="159"/>
      <c r="V7" s="160"/>
      <c r="W7" s="213"/>
      <c r="X7" s="212"/>
      <c r="Y7" s="158"/>
      <c r="Z7" s="158"/>
      <c r="AA7" s="158"/>
      <c r="AB7" s="158"/>
      <c r="AC7" s="158"/>
    </row>
    <row r="8" ht="17.25" customHeight="1">
      <c r="A8" t="s" s="8">
        <v>28</v>
      </c>
      <c r="B8" s="10">
        <v>9</v>
      </c>
      <c r="C8" s="206" cm="1">
        <f t="array" ref="C8">F8/E8</f>
        <v>0.615384615384615</v>
      </c>
      <c r="D8" s="10">
        <v>21</v>
      </c>
      <c r="E8" s="10">
        <v>13</v>
      </c>
      <c r="F8" s="10">
        <v>8</v>
      </c>
      <c r="G8" s="10">
        <v>8</v>
      </c>
      <c r="H8" s="10">
        <v>1</v>
      </c>
      <c r="I8" s="10">
        <v>1</v>
      </c>
      <c r="J8" s="10">
        <v>0</v>
      </c>
      <c r="K8" s="10">
        <v>11</v>
      </c>
      <c r="L8" s="10">
        <v>7</v>
      </c>
      <c r="M8" s="10">
        <v>10</v>
      </c>
      <c r="N8" s="10" cm="1">
        <f t="array" ref="N8">Y8+Z8</f>
        <v>7</v>
      </c>
      <c r="O8" s="10">
        <v>2</v>
      </c>
      <c r="P8" s="12" cm="1">
        <f t="array" ref="P8">O8/D8</f>
        <v>0.09523809523809521</v>
      </c>
      <c r="Q8" s="13" cm="1">
        <f t="array" ref="Q8">(G8*1+H8*2+I8*3+J8*4)/E8</f>
        <v>1</v>
      </c>
      <c r="R8" s="13" cm="1">
        <f t="array" ref="R8">(F8+N8)/(D8-AA8)</f>
        <v>0.75</v>
      </c>
      <c r="S8" s="15" cm="1">
        <f t="array" ref="S8">R8+Q8</f>
        <v>1.75</v>
      </c>
      <c r="T8" s="153" cm="1">
        <f t="array" ref="T8">O8/(D8-(F8+N8))</f>
        <v>0.333333333333333</v>
      </c>
      <c r="U8" s="17" cm="1">
        <f t="array" ref="U8">RANK(R8,$R$4:$R$26)</f>
        <v>2</v>
      </c>
      <c r="V8" s="18" cm="1">
        <f t="array" ref="V8">RANK(S8,$S$4:$S$26)</f>
        <v>3</v>
      </c>
      <c r="W8" s="154" cm="1">
        <f t="array" ref="W8">RANK(C8,$C$4:$C$26)</f>
        <v>3</v>
      </c>
      <c r="X8" s="212"/>
      <c r="Y8" s="48">
        <v>4</v>
      </c>
      <c r="Z8" s="48">
        <v>3</v>
      </c>
      <c r="AA8" s="48">
        <v>1</v>
      </c>
      <c r="AB8" s="158"/>
      <c r="AC8" s="158"/>
    </row>
    <row r="9" ht="17.25" customHeight="1">
      <c r="A9" t="s" s="8">
        <v>29</v>
      </c>
      <c r="B9" s="10">
        <v>2</v>
      </c>
      <c r="C9" s="206" cm="1">
        <f t="array" ref="C9">F9/E9</f>
        <v>1</v>
      </c>
      <c r="D9" s="10">
        <v>1</v>
      </c>
      <c r="E9" s="10">
        <v>1</v>
      </c>
      <c r="F9" s="10">
        <v>1</v>
      </c>
      <c r="G9" s="10" cm="1">
        <f t="array" ref="G9">F9-(H9+I9+J9)</f>
        <v>1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2" cm="1">
        <f t="array" ref="P9">O9/D9</f>
        <v>0</v>
      </c>
      <c r="Q9" s="13" cm="1">
        <f t="array" ref="Q9">(G9*1+H9*2+I9*3+J9*4)/E9</f>
        <v>1</v>
      </c>
      <c r="R9" s="13" cm="1">
        <f t="array" ref="R9">(F9+N9)/(D9-AA9)</f>
        <v>1</v>
      </c>
      <c r="S9" s="15" cm="1">
        <f t="array" ref="S9">R9+Q9</f>
        <v>2</v>
      </c>
      <c r="T9" s="153" cm="1">
        <f t="array" ref="T9">O9/(D9-(F9+N9))</f>
      </c>
      <c r="U9" s="17" cm="1">
        <f t="array" ref="U9">RANK(R9,$R$4:$R$26)</f>
        <v>1</v>
      </c>
      <c r="V9" s="18" cm="1">
        <f t="array" ref="V9">RANK(S9,$S$4:$S$26)</f>
        <v>1</v>
      </c>
      <c r="W9" s="154" cm="1">
        <f t="array" ref="W9">RANK(C9,$C$4:$C$26)</f>
        <v>1</v>
      </c>
      <c r="X9" s="212"/>
      <c r="Y9" s="158"/>
      <c r="Z9" s="158"/>
      <c r="AA9" s="158"/>
      <c r="AB9" s="158"/>
      <c r="AC9" s="158"/>
    </row>
    <row r="10" ht="17.25" customHeight="1">
      <c r="A10" t="s" s="8">
        <v>69</v>
      </c>
      <c r="B10" s="10">
        <v>2</v>
      </c>
      <c r="C10" s="206" cm="1">
        <f t="array" ref="C10">F10/E10</f>
        <v>0.5</v>
      </c>
      <c r="D10" s="10">
        <v>2</v>
      </c>
      <c r="E10" s="10">
        <v>2</v>
      </c>
      <c r="F10" s="10">
        <v>1</v>
      </c>
      <c r="G10" s="10" cm="1">
        <f t="array" ref="G10">F10-(H10+I10+J10)</f>
        <v>1</v>
      </c>
      <c r="H10" s="10">
        <v>0</v>
      </c>
      <c r="I10" s="10">
        <v>0</v>
      </c>
      <c r="J10" s="10">
        <v>0</v>
      </c>
      <c r="K10" s="10">
        <v>0</v>
      </c>
      <c r="L10" s="10">
        <v>1</v>
      </c>
      <c r="M10" s="10">
        <v>1</v>
      </c>
      <c r="N10" s="10" cm="1">
        <f t="array" ref="N10">Y10+Z10</f>
        <v>0</v>
      </c>
      <c r="O10" s="10">
        <v>0</v>
      </c>
      <c r="P10" s="12" cm="1">
        <f t="array" ref="P10">O10/D10</f>
        <v>0</v>
      </c>
      <c r="Q10" s="13" cm="1">
        <f t="array" ref="Q10">(G10*1+H10*2+I10*3+J10*4)/E10</f>
        <v>0.5</v>
      </c>
      <c r="R10" s="13" cm="1">
        <f t="array" ref="R10">(F10+N10)/(D10-AA10)</f>
        <v>0.5</v>
      </c>
      <c r="S10" s="15" cm="1">
        <f t="array" ref="S10">R10+Q10</f>
        <v>1</v>
      </c>
      <c r="T10" s="153" cm="1">
        <f t="array" ref="T10">O10/(D10-(F10+N10))</f>
        <v>0</v>
      </c>
      <c r="U10" s="17" cm="1">
        <f t="array" ref="U10">RANK(R10,$R$4:$R$26)</f>
        <v>9</v>
      </c>
      <c r="V10" s="18" cm="1">
        <f t="array" ref="V10">RANK(S10,$S$4:$S$26)</f>
        <v>9</v>
      </c>
      <c r="W10" s="154" cm="1">
        <f t="array" ref="W10">RANK(C10,$C$4:$C$26)</f>
        <v>6</v>
      </c>
      <c r="X10" s="212"/>
      <c r="Y10" s="158"/>
      <c r="Z10" s="158"/>
      <c r="AA10" s="158"/>
      <c r="AB10" s="158"/>
      <c r="AC10" s="158"/>
    </row>
    <row r="11" ht="17.25" customHeight="1">
      <c r="A11" t="s" s="8">
        <v>30</v>
      </c>
      <c r="B11" s="10">
        <v>9</v>
      </c>
      <c r="C11" s="206" cm="1">
        <f t="array" ref="C11">F11/E11</f>
        <v>0.666666666666667</v>
      </c>
      <c r="D11" s="10">
        <v>31</v>
      </c>
      <c r="E11" s="10">
        <v>24</v>
      </c>
      <c r="F11" s="10">
        <v>16</v>
      </c>
      <c r="G11" s="10" cm="1">
        <f t="array" ref="G11">F11-(H11+I11+J11)</f>
        <v>10</v>
      </c>
      <c r="H11" s="10">
        <v>3</v>
      </c>
      <c r="I11" s="10">
        <v>1</v>
      </c>
      <c r="J11" s="10">
        <v>2</v>
      </c>
      <c r="K11" s="10">
        <v>20</v>
      </c>
      <c r="L11" s="10">
        <v>15</v>
      </c>
      <c r="M11" s="10">
        <v>15</v>
      </c>
      <c r="N11" s="10" cm="1">
        <f t="array" ref="N11">Y11+Z11</f>
        <v>5</v>
      </c>
      <c r="O11" s="10">
        <v>2</v>
      </c>
      <c r="P11" s="12" cm="1">
        <f t="array" ref="P11">O11/D11</f>
        <v>0.0645161290322581</v>
      </c>
      <c r="Q11" s="13" cm="1">
        <f t="array" ref="Q11">(G11*1+H11*2+I11*3+J11*4)/E11</f>
        <v>1.125</v>
      </c>
      <c r="R11" s="13" cm="1">
        <f t="array" ref="R11">(F11+N11)/(D11-AA11)</f>
        <v>0.67741935483871</v>
      </c>
      <c r="S11" s="15" cm="1">
        <f t="array" ref="S11">R11+Q11</f>
        <v>1.80241935483871</v>
      </c>
      <c r="T11" s="153" cm="1">
        <f t="array" ref="T11">O11/(D11-(F11+N11))</f>
        <v>0.2</v>
      </c>
      <c r="U11" s="17" cm="1">
        <f t="array" ref="U11">RANK(R11,$R$4:$R$26)</f>
        <v>4</v>
      </c>
      <c r="V11" s="18" cm="1">
        <f t="array" ref="V11">RANK(S11,$S$4:$S$26)</f>
        <v>2</v>
      </c>
      <c r="W11" s="154" cm="1">
        <f t="array" ref="W11">RANK(C11,$C$4:$C$26)</f>
        <v>2</v>
      </c>
      <c r="X11" s="212"/>
      <c r="Y11" s="48">
        <v>4</v>
      </c>
      <c r="Z11" s="48">
        <v>1</v>
      </c>
      <c r="AA11" s="158"/>
      <c r="AB11" s="158"/>
      <c r="AC11" s="158"/>
    </row>
    <row r="12" ht="17.25" customHeight="1">
      <c r="A12" t="s" s="8">
        <v>31</v>
      </c>
      <c r="B12" s="10">
        <v>7</v>
      </c>
      <c r="C12" s="206" cm="1">
        <f t="array" ref="C12">F12/E12</f>
        <v>0.375</v>
      </c>
      <c r="D12" s="10">
        <v>21</v>
      </c>
      <c r="E12" s="10">
        <v>16</v>
      </c>
      <c r="F12" s="10">
        <v>6</v>
      </c>
      <c r="G12" s="10" cm="1">
        <f t="array" ref="G12">F12-(H12+I12+J12)</f>
        <v>6</v>
      </c>
      <c r="H12" s="10">
        <v>0</v>
      </c>
      <c r="I12" s="10">
        <v>0</v>
      </c>
      <c r="J12" s="10">
        <v>0</v>
      </c>
      <c r="K12" s="10">
        <v>10</v>
      </c>
      <c r="L12" s="10">
        <v>3</v>
      </c>
      <c r="M12" s="10">
        <v>1</v>
      </c>
      <c r="N12" s="10" cm="1">
        <f t="array" ref="N12">Y12+Z12</f>
        <v>5</v>
      </c>
      <c r="O12" s="10">
        <v>3</v>
      </c>
      <c r="P12" s="12" cm="1">
        <f t="array" ref="P12">O12/D12</f>
        <v>0.142857142857143</v>
      </c>
      <c r="Q12" s="13" cm="1">
        <f t="array" ref="Q12">(G12*1+H12*2+I12*3+J12*4)/E12</f>
        <v>0.375</v>
      </c>
      <c r="R12" s="13" cm="1">
        <f t="array" ref="R12">(F12+N12)/(D12-AA12)</f>
        <v>0.5238095238095239</v>
      </c>
      <c r="S12" s="15" cm="1">
        <f t="array" ref="S12">R12+Q12</f>
        <v>0.8988095238095239</v>
      </c>
      <c r="T12" s="153" cm="1">
        <f t="array" ref="T12">O12/(D12-(F12+N12))</f>
        <v>0.3</v>
      </c>
      <c r="U12" s="17" cm="1">
        <f t="array" ref="U12">RANK(R12,$R$4:$R$26)</f>
        <v>8</v>
      </c>
      <c r="V12" s="18" cm="1">
        <f t="array" ref="V12">RANK(S12,$S$4:$S$26)</f>
        <v>13</v>
      </c>
      <c r="W12" s="154" cm="1">
        <f t="array" ref="W12">RANK(C12,$C$4:$C$26)</f>
        <v>11</v>
      </c>
      <c r="X12" s="212"/>
      <c r="Y12" s="48">
        <v>5</v>
      </c>
      <c r="Z12" s="48">
        <v>0</v>
      </c>
      <c r="AA12" s="158"/>
      <c r="AB12" s="158"/>
      <c r="AC12" s="158"/>
    </row>
    <row r="13" ht="17.25" customHeight="1">
      <c r="A13" t="s" s="8">
        <v>32</v>
      </c>
      <c r="B13" s="10">
        <v>4</v>
      </c>
      <c r="C13" s="206" cm="1">
        <f t="array" ref="C13">F13/E13</f>
        <v>0.285714285714286</v>
      </c>
      <c r="D13" s="10">
        <v>7</v>
      </c>
      <c r="E13" s="10">
        <v>7</v>
      </c>
      <c r="F13" s="10">
        <v>2</v>
      </c>
      <c r="G13" s="10" cm="1">
        <f t="array" ref="G13">F13-(H13+I13+J13)</f>
        <v>2</v>
      </c>
      <c r="H13" s="10">
        <v>0</v>
      </c>
      <c r="I13" s="10">
        <v>0</v>
      </c>
      <c r="J13" s="10">
        <v>0</v>
      </c>
      <c r="K13" s="10">
        <v>3</v>
      </c>
      <c r="L13" s="10">
        <v>2</v>
      </c>
      <c r="M13" s="10">
        <v>1</v>
      </c>
      <c r="N13" s="10" cm="1">
        <f t="array" ref="N13">Y13+Z13</f>
        <v>0</v>
      </c>
      <c r="O13" s="10">
        <v>0</v>
      </c>
      <c r="P13" s="12" cm="1">
        <f t="array" ref="P13">O13/D13</f>
        <v>0</v>
      </c>
      <c r="Q13" s="13" cm="1">
        <f t="array" ref="Q13">(G13*1+H13*2+I13*3+J13*4)/E13</f>
        <v>0.285714285714286</v>
      </c>
      <c r="R13" s="13" cm="1">
        <f t="array" ref="R13">(F13+N13)/(D13-AA13)</f>
        <v>0.285714285714286</v>
      </c>
      <c r="S13" s="15" cm="1">
        <f t="array" ref="S13">R13+Q13</f>
        <v>0.571428571428572</v>
      </c>
      <c r="T13" s="153" cm="1">
        <f t="array" ref="T13">O13/(D13-(F13+N13))</f>
        <v>0</v>
      </c>
      <c r="U13" s="17" cm="1">
        <f t="array" ref="U13">RANK(R13,$R$4:$R$26)</f>
        <v>18</v>
      </c>
      <c r="V13" s="18" cm="1">
        <f t="array" ref="V13">RANK(S13,$S$4:$S$26)</f>
        <v>17</v>
      </c>
      <c r="W13" s="154" cm="1">
        <f t="array" ref="W13">RANK(C13,$C$4:$C$26)</f>
        <v>17</v>
      </c>
      <c r="X13" s="212"/>
      <c r="Y13" s="48">
        <v>0</v>
      </c>
      <c r="Z13" s="48">
        <v>0</v>
      </c>
      <c r="AA13" s="158"/>
      <c r="AB13" s="158"/>
      <c r="AC13" s="158"/>
    </row>
    <row r="14" ht="17.25" customHeight="1">
      <c r="A14" t="s" s="8">
        <v>33</v>
      </c>
      <c r="B14" s="10">
        <v>7</v>
      </c>
      <c r="C14" s="206" cm="1">
        <f t="array" ref="C14">F14/E14</f>
        <v>0.388888888888889</v>
      </c>
      <c r="D14" s="10">
        <v>19</v>
      </c>
      <c r="E14" s="10">
        <v>18</v>
      </c>
      <c r="F14" s="10">
        <v>7</v>
      </c>
      <c r="G14" s="10" cm="1">
        <f t="array" ref="G14">F14-(H14+I14+J14)</f>
        <v>3</v>
      </c>
      <c r="H14" s="10">
        <v>4</v>
      </c>
      <c r="I14" s="10">
        <v>0</v>
      </c>
      <c r="J14" s="10">
        <v>0</v>
      </c>
      <c r="K14" s="10">
        <v>7</v>
      </c>
      <c r="L14" s="10">
        <v>7</v>
      </c>
      <c r="M14" s="10">
        <v>3</v>
      </c>
      <c r="N14" s="10" cm="1">
        <f t="array" ref="N14">Y14+Z14</f>
        <v>1</v>
      </c>
      <c r="O14" s="10">
        <v>2</v>
      </c>
      <c r="P14" s="12" cm="1">
        <f t="array" ref="P14">O14/D14</f>
        <v>0.105263157894737</v>
      </c>
      <c r="Q14" s="13" cm="1">
        <f t="array" ref="Q14">(G14*1+H14*2+I14*3+J14*4)/E14</f>
        <v>0.611111111111111</v>
      </c>
      <c r="R14" s="13" cm="1">
        <f t="array" ref="R14">(F14+N14)/(D14-AA14)</f>
        <v>0.421052631578947</v>
      </c>
      <c r="S14" s="15" cm="1">
        <f t="array" ref="S14">R14+Q14</f>
        <v>1.03216374269006</v>
      </c>
      <c r="T14" s="153" cm="1">
        <f t="array" ref="T14">O14/(D14-(F14+N14))</f>
        <v>0.181818181818182</v>
      </c>
      <c r="U14" s="17" cm="1">
        <f t="array" ref="U14">RANK(R14,$R$4:$R$26)</f>
        <v>12</v>
      </c>
      <c r="V14" s="18" cm="1">
        <f t="array" ref="V14">RANK(S14,$S$4:$S$26)</f>
        <v>8</v>
      </c>
      <c r="W14" s="154" cm="1">
        <f t="array" ref="W14">RANK(C14,$C$4:$C$26)</f>
        <v>10</v>
      </c>
      <c r="X14" s="212"/>
      <c r="Y14" s="48">
        <v>1</v>
      </c>
      <c r="Z14" s="48">
        <v>0</v>
      </c>
      <c r="AA14" s="158"/>
      <c r="AB14" s="48">
        <v>1</v>
      </c>
      <c r="AC14" s="158"/>
    </row>
    <row r="15" ht="17.25" customHeight="1">
      <c r="A15" t="s" s="8">
        <v>35</v>
      </c>
      <c r="B15" s="10">
        <v>7</v>
      </c>
      <c r="C15" s="206" cm="1">
        <f t="array" ref="C15">F15/E15</f>
        <v>0.571428571428571</v>
      </c>
      <c r="D15" s="10">
        <v>8</v>
      </c>
      <c r="E15" s="10">
        <v>7</v>
      </c>
      <c r="F15" s="10">
        <v>4</v>
      </c>
      <c r="G15" s="10" cm="1">
        <f t="array" ref="G15">F15-(H15+I15+J15)</f>
        <v>4</v>
      </c>
      <c r="H15" s="10">
        <v>0</v>
      </c>
      <c r="I15" s="10">
        <v>0</v>
      </c>
      <c r="J15" s="10">
        <v>0</v>
      </c>
      <c r="K15" s="10">
        <v>4</v>
      </c>
      <c r="L15" s="10">
        <v>3</v>
      </c>
      <c r="M15" s="10">
        <v>5</v>
      </c>
      <c r="N15" s="10" cm="1">
        <f t="array" ref="N15">Y15+Z15</f>
        <v>1</v>
      </c>
      <c r="O15" s="10">
        <v>0</v>
      </c>
      <c r="P15" s="12" cm="1">
        <f t="array" ref="P15">O15/D15</f>
        <v>0</v>
      </c>
      <c r="Q15" s="13" cm="1">
        <f t="array" ref="Q15">(G15*1+H15*2+I15*3+J15*4)/E15</f>
        <v>0.571428571428571</v>
      </c>
      <c r="R15" s="13" cm="1">
        <f t="array" ref="R15">(F15+N15)/(D15-AA15)</f>
        <v>0.625</v>
      </c>
      <c r="S15" s="15" cm="1">
        <f t="array" ref="S15">R15+Q15</f>
        <v>1.19642857142857</v>
      </c>
      <c r="T15" s="153" cm="1">
        <f t="array" ref="T15">O15/(D15-(F15+N15))</f>
        <v>0</v>
      </c>
      <c r="U15" s="17" cm="1">
        <f t="array" ref="U15">RANK(R15,$R$4:$R$26)</f>
        <v>6</v>
      </c>
      <c r="V15" s="18" cm="1">
        <f t="array" ref="V15">RANK(S15,$S$4:$S$26)</f>
        <v>7</v>
      </c>
      <c r="W15" s="154" cm="1">
        <f t="array" ref="W15">RANK(C15,$C$4:$C$26)</f>
        <v>5</v>
      </c>
      <c r="X15" s="212"/>
      <c r="Y15" s="48">
        <v>1</v>
      </c>
      <c r="Z15" s="48">
        <v>0</v>
      </c>
      <c r="AA15" s="158"/>
      <c r="AB15" s="158"/>
      <c r="AC15" s="158"/>
    </row>
    <row r="16" ht="17.25" customHeight="1">
      <c r="A16" t="s" s="8">
        <v>36</v>
      </c>
      <c r="B16" s="208"/>
      <c r="C16" s="206"/>
      <c r="D16" s="208"/>
      <c r="E16" s="208"/>
      <c r="F16" s="208"/>
      <c r="G16" s="10" cm="1">
        <f t="array" ref="G16">F16-(H16+I16+J16)</f>
        <v>0</v>
      </c>
      <c r="H16" s="208"/>
      <c r="I16" s="208"/>
      <c r="J16" s="208"/>
      <c r="K16" s="208"/>
      <c r="L16" s="208"/>
      <c r="M16" s="208"/>
      <c r="N16" s="10" cm="1">
        <f t="array" ref="N16">Y16+Z16</f>
        <v>0</v>
      </c>
      <c r="O16" s="208"/>
      <c r="P16" s="12"/>
      <c r="Q16" s="13"/>
      <c r="R16" s="13"/>
      <c r="S16" s="15"/>
      <c r="T16" s="153"/>
      <c r="U16" s="159"/>
      <c r="V16" s="160"/>
      <c r="W16" s="213"/>
      <c r="X16" s="212"/>
      <c r="Y16" s="158"/>
      <c r="Z16" s="158"/>
      <c r="AA16" s="158"/>
      <c r="AB16" s="158"/>
      <c r="AC16" s="158"/>
    </row>
    <row r="17" ht="17.25" customHeight="1">
      <c r="A17" t="s" s="8">
        <v>37</v>
      </c>
      <c r="B17" s="10">
        <v>6</v>
      </c>
      <c r="C17" s="206" cm="1">
        <f t="array" ref="C17">F17/E17</f>
        <v>0.6</v>
      </c>
      <c r="D17" s="10">
        <v>13</v>
      </c>
      <c r="E17" s="10">
        <v>10</v>
      </c>
      <c r="F17" s="10">
        <v>6</v>
      </c>
      <c r="G17" s="10" cm="1">
        <f t="array" ref="G17">F17-(H17+I17+J17)</f>
        <v>4</v>
      </c>
      <c r="H17" s="10">
        <v>2</v>
      </c>
      <c r="I17" s="10">
        <v>0</v>
      </c>
      <c r="J17" s="10">
        <v>0</v>
      </c>
      <c r="K17" s="10">
        <v>6</v>
      </c>
      <c r="L17" s="10">
        <v>3</v>
      </c>
      <c r="M17" s="10">
        <v>7</v>
      </c>
      <c r="N17" s="10" cm="1">
        <f t="array" ref="N17">Y17+Z17</f>
        <v>3</v>
      </c>
      <c r="O17" s="10">
        <v>3</v>
      </c>
      <c r="P17" s="12" cm="1">
        <f t="array" ref="P17">O17/D17</f>
        <v>0.230769230769231</v>
      </c>
      <c r="Q17" s="13" cm="1">
        <f t="array" ref="Q17">(G17*1+H17*2+I17*3+J17*4)/E17</f>
        <v>0.8</v>
      </c>
      <c r="R17" s="13" cm="1">
        <f t="array" ref="R17">(F17+N17)/(D17-AA17)</f>
        <v>0.692307692307692</v>
      </c>
      <c r="S17" s="15" cm="1">
        <f t="array" ref="S17">R17+Q17</f>
        <v>1.49230769230769</v>
      </c>
      <c r="T17" s="153" cm="1">
        <f t="array" ref="T17">O17/(D17-(F17+N17))</f>
        <v>0.75</v>
      </c>
      <c r="U17" s="17" cm="1">
        <f t="array" ref="U17">RANK(R17,$R$4:$R$26)</f>
        <v>3</v>
      </c>
      <c r="V17" s="18" cm="1">
        <f t="array" ref="V17">RANK(S17,$S$4:$S$26)</f>
        <v>4</v>
      </c>
      <c r="W17" s="154" cm="1">
        <f t="array" ref="W17">RANK(C17,$C$4:$C$26)</f>
        <v>4</v>
      </c>
      <c r="X17" s="212"/>
      <c r="Y17" s="48">
        <v>2</v>
      </c>
      <c r="Z17" s="48">
        <v>1</v>
      </c>
      <c r="AA17" s="158"/>
      <c r="AB17" s="48">
        <v>2</v>
      </c>
      <c r="AC17" s="158"/>
    </row>
    <row r="18" ht="17.25" customHeight="1">
      <c r="A18" t="s" s="8">
        <v>38</v>
      </c>
      <c r="B18" s="10">
        <v>6</v>
      </c>
      <c r="C18" s="206" cm="1">
        <f t="array" ref="C18">F18/E18</f>
        <v>0.428571428571429</v>
      </c>
      <c r="D18" s="10">
        <v>11</v>
      </c>
      <c r="E18" s="10">
        <v>7</v>
      </c>
      <c r="F18" s="10">
        <v>3</v>
      </c>
      <c r="G18" s="10" cm="1">
        <f t="array" ref="G18">F18-(H18+I18+J18)</f>
        <v>2</v>
      </c>
      <c r="H18" s="10">
        <v>1</v>
      </c>
      <c r="I18" s="10">
        <v>0</v>
      </c>
      <c r="J18" s="10">
        <v>0</v>
      </c>
      <c r="K18" s="10">
        <v>4</v>
      </c>
      <c r="L18" s="10">
        <v>2</v>
      </c>
      <c r="M18" s="10">
        <v>1</v>
      </c>
      <c r="N18" s="10" cm="1">
        <f t="array" ref="N18">Y18+Z18</f>
        <v>4</v>
      </c>
      <c r="O18" s="10">
        <v>0</v>
      </c>
      <c r="P18" s="12" cm="1">
        <f t="array" ref="P18">O18/D18</f>
        <v>0</v>
      </c>
      <c r="Q18" s="13" cm="1">
        <f t="array" ref="Q18">(G18*1+H18*2+I18*3+J18*4)/E18</f>
        <v>0.571428571428571</v>
      </c>
      <c r="R18" s="13" cm="1">
        <f t="array" ref="R18">(F18+N18)/(D18-AA18)</f>
        <v>0.636363636363636</v>
      </c>
      <c r="S18" s="15" cm="1">
        <f t="array" ref="S18">R18+Q18</f>
        <v>1.20779220779221</v>
      </c>
      <c r="T18" s="153"/>
      <c r="U18" s="17" cm="1">
        <f t="array" ref="U18">RANK(R18,$R$4:$R$26)</f>
        <v>5</v>
      </c>
      <c r="V18" s="18" cm="1">
        <f t="array" ref="V18">RANK(S18,$S$4:$S$26)</f>
        <v>6</v>
      </c>
      <c r="W18" s="154" cm="1">
        <f t="array" ref="W18">RANK(C18,$C$4:$C$26)</f>
        <v>8</v>
      </c>
      <c r="X18" s="212"/>
      <c r="Y18" s="48">
        <v>3</v>
      </c>
      <c r="Z18" s="48">
        <v>1</v>
      </c>
      <c r="AA18" s="158"/>
      <c r="AB18" s="158"/>
      <c r="AC18" s="158"/>
    </row>
    <row r="19" ht="17.25" customHeight="1">
      <c r="A19" t="s" s="8">
        <v>39</v>
      </c>
      <c r="B19" s="10">
        <v>6</v>
      </c>
      <c r="C19" s="206" cm="1">
        <f t="array" ref="C19">F19/E19</f>
        <v>0.307692307692308</v>
      </c>
      <c r="D19" s="10">
        <v>15</v>
      </c>
      <c r="E19" s="10">
        <v>13</v>
      </c>
      <c r="F19" s="10">
        <v>4</v>
      </c>
      <c r="G19" s="10" cm="1">
        <f t="array" ref="G19">F19-(H19+I19+J19)</f>
        <v>4</v>
      </c>
      <c r="H19" s="10">
        <v>0</v>
      </c>
      <c r="I19" s="10">
        <v>0</v>
      </c>
      <c r="J19" s="10">
        <v>0</v>
      </c>
      <c r="K19" s="10">
        <v>2</v>
      </c>
      <c r="L19" s="10">
        <v>4</v>
      </c>
      <c r="M19" s="10">
        <v>0</v>
      </c>
      <c r="N19" s="10" cm="1">
        <f t="array" ref="N19">Y19+Z19</f>
        <v>1</v>
      </c>
      <c r="O19" s="10">
        <v>1</v>
      </c>
      <c r="P19" s="12" cm="1">
        <f t="array" ref="P19">O19/D19</f>
        <v>0.06666666666666669</v>
      </c>
      <c r="Q19" s="13" cm="1">
        <f t="array" ref="Q19">(G19*1+H19*2+I19*3+J19*4)/E19</f>
        <v>0.307692307692308</v>
      </c>
      <c r="R19" s="13" cm="1">
        <f t="array" ref="R19">(F19+N19)/(D19-AA19)</f>
        <v>0.333333333333333</v>
      </c>
      <c r="S19" s="15" cm="1">
        <f t="array" ref="S19">R19+Q19</f>
        <v>0.641025641025641</v>
      </c>
      <c r="T19" s="153" cm="1">
        <f t="array" ref="T19">O19/(D19-(F19+N19))</f>
        <v>0.1</v>
      </c>
      <c r="U19" s="17" cm="1">
        <f t="array" ref="U19">RANK(R19,$R$4:$R$26)</f>
        <v>15</v>
      </c>
      <c r="V19" s="18" cm="1">
        <f t="array" ref="V19">RANK(S19,$S$4:$S$26)</f>
        <v>16</v>
      </c>
      <c r="W19" s="213"/>
      <c r="X19" s="212"/>
      <c r="Y19" s="48">
        <v>0</v>
      </c>
      <c r="Z19" s="48">
        <v>1</v>
      </c>
      <c r="AA19" s="158"/>
      <c r="AB19" s="158"/>
      <c r="AC19" s="158"/>
    </row>
    <row r="20" ht="17.25" customHeight="1">
      <c r="A20" t="s" s="8">
        <v>70</v>
      </c>
      <c r="B20" s="10">
        <v>4</v>
      </c>
      <c r="C20" s="206" cm="1">
        <f t="array" ref="C20">F20/E20</f>
        <v>0.4</v>
      </c>
      <c r="D20" s="10">
        <v>13</v>
      </c>
      <c r="E20" s="10">
        <v>10</v>
      </c>
      <c r="F20" s="10">
        <v>4</v>
      </c>
      <c r="G20" s="10" cm="1">
        <f t="array" ref="G20">F20-(H20+I20+J20)</f>
        <v>4</v>
      </c>
      <c r="H20" s="10">
        <v>0</v>
      </c>
      <c r="I20" s="10">
        <v>0</v>
      </c>
      <c r="J20" s="10">
        <v>0</v>
      </c>
      <c r="K20" s="10">
        <v>4</v>
      </c>
      <c r="L20" s="10">
        <v>4</v>
      </c>
      <c r="M20" s="10">
        <v>2</v>
      </c>
      <c r="N20" s="10" cm="1">
        <f t="array" ref="N20">Y20+Z20</f>
        <v>3</v>
      </c>
      <c r="O20" s="10">
        <v>0</v>
      </c>
      <c r="P20" s="12" cm="1">
        <f t="array" ref="P20">O20/D20</f>
        <v>0</v>
      </c>
      <c r="Q20" s="13" cm="1">
        <f t="array" ref="Q20">(G20*1+H20*2+I20*3+J20*4)/E20</f>
        <v>0.4</v>
      </c>
      <c r="R20" s="13" cm="1">
        <f t="array" ref="R20">(F20+N20)/(D20-AA20)</f>
        <v>0.538461538461538</v>
      </c>
      <c r="S20" s="15" cm="1">
        <f t="array" ref="S20">R20+Q20</f>
        <v>0.938461538461538</v>
      </c>
      <c r="T20" s="153" cm="1">
        <f t="array" ref="T20">O20/(D20-(F20+N20))</f>
        <v>0</v>
      </c>
      <c r="U20" s="17" cm="1">
        <f t="array" ref="U20">RANK(R20,$R$4:$R$26)</f>
        <v>7</v>
      </c>
      <c r="V20" s="18" cm="1">
        <f t="array" ref="V20">RANK(S20,$S$4:$S$26)</f>
        <v>11</v>
      </c>
      <c r="W20" s="154" cm="1">
        <f t="array" ref="W20">RANK(C20,$C$4:$C$26)</f>
        <v>9</v>
      </c>
      <c r="X20" s="212"/>
      <c r="Y20" s="48">
        <v>1</v>
      </c>
      <c r="Z20" s="48">
        <v>2</v>
      </c>
      <c r="AA20" s="158"/>
      <c r="AB20" s="158"/>
      <c r="AC20" s="158"/>
    </row>
    <row r="21" ht="17.25" customHeight="1">
      <c r="A21" t="s" s="8">
        <v>40</v>
      </c>
      <c r="B21" s="10">
        <v>2</v>
      </c>
      <c r="C21" s="206" cm="1">
        <f t="array" ref="C21">F21/E21</f>
        <v>0</v>
      </c>
      <c r="D21" s="10">
        <v>3</v>
      </c>
      <c r="E21" s="10">
        <v>2</v>
      </c>
      <c r="F21" s="10">
        <v>0</v>
      </c>
      <c r="G21" s="10" cm="1">
        <f t="array" ref="G21">F21-(H21+I21+J21)</f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 cm="1">
        <f t="array" ref="N21">Y21+Z21</f>
        <v>1</v>
      </c>
      <c r="O21" s="10">
        <v>1</v>
      </c>
      <c r="P21" s="12" cm="1">
        <f t="array" ref="P21">O21/D21</f>
        <v>0.333333333333333</v>
      </c>
      <c r="Q21" s="13" cm="1">
        <f t="array" ref="Q21">(G21*1+H21*2+I21*3+J21*4)/E21</f>
        <v>0</v>
      </c>
      <c r="R21" s="13" cm="1">
        <f t="array" ref="R21">(F21+N21)/(D21-AA21)</f>
        <v>0.333333333333333</v>
      </c>
      <c r="S21" s="15" cm="1">
        <f t="array" ref="S21">R21+Q21</f>
        <v>0.333333333333333</v>
      </c>
      <c r="T21" s="153" cm="1">
        <f t="array" ref="T21">O21/(D21-(F21+N21))</f>
        <v>0.5</v>
      </c>
      <c r="U21" s="17" cm="1">
        <f t="array" ref="U21">RANK(R21,$R$4:$R$26)</f>
        <v>15</v>
      </c>
      <c r="V21" s="18" cm="1">
        <f t="array" ref="V21">RANK(S21,$S$4:$S$26)</f>
        <v>18</v>
      </c>
      <c r="W21" s="154" cm="1">
        <f t="array" ref="W21">RANK(C21,$C$4:$C$26)</f>
        <v>18</v>
      </c>
      <c r="X21" s="212"/>
      <c r="Y21" s="48">
        <v>1</v>
      </c>
      <c r="Z21" s="48">
        <v>0</v>
      </c>
      <c r="AA21" s="158"/>
      <c r="AB21" s="158"/>
      <c r="AC21" s="158"/>
    </row>
    <row r="22" ht="17.25" customHeight="1">
      <c r="A22" t="s" s="8">
        <v>41</v>
      </c>
      <c r="B22" s="10">
        <v>1</v>
      </c>
      <c r="C22" s="206" cm="1">
        <f t="array" ref="C22">F22/E22</f>
        <v>0</v>
      </c>
      <c r="D22" s="10">
        <v>2</v>
      </c>
      <c r="E22" s="10">
        <v>2</v>
      </c>
      <c r="F22" s="10">
        <v>0</v>
      </c>
      <c r="G22" s="10" cm="1">
        <f t="array" ref="G22">F22-(H22+I22+J22)</f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1</v>
      </c>
      <c r="N22" s="10" cm="1">
        <f t="array" ref="N22">Y22+Z22</f>
        <v>0</v>
      </c>
      <c r="O22" s="10">
        <v>0</v>
      </c>
      <c r="P22" s="12" cm="1">
        <f t="array" ref="P22">O22/D22</f>
        <v>0</v>
      </c>
      <c r="Q22" s="13" cm="1">
        <f t="array" ref="Q22">(G22*1+H22*2+I22*3+J22*4)/E22</f>
        <v>0</v>
      </c>
      <c r="R22" s="13" cm="1">
        <f t="array" ref="R22">(F22+N22)/(D22-AA22)</f>
        <v>0</v>
      </c>
      <c r="S22" s="15" cm="1">
        <f t="array" ref="S22">R22+Q22</f>
        <v>0</v>
      </c>
      <c r="T22" s="153" cm="1">
        <f t="array" ref="T22">O22/(D22-(F22+N22))</f>
        <v>0</v>
      </c>
      <c r="U22" s="17" cm="1">
        <f t="array" ref="U22">RANK(R22,$R$4:$R$26)</f>
        <v>19</v>
      </c>
      <c r="V22" s="18" cm="1">
        <f t="array" ref="V22">RANK(S22,$S$4:$S$26)</f>
        <v>19</v>
      </c>
      <c r="W22" s="154" cm="1">
        <f t="array" ref="W22">RANK(C22,$C$4:$C$26)</f>
        <v>18</v>
      </c>
      <c r="X22" s="212"/>
      <c r="Y22" s="158"/>
      <c r="Z22" s="158"/>
      <c r="AA22" s="158"/>
      <c r="AB22" s="158"/>
      <c r="AC22" s="158"/>
    </row>
    <row r="23" ht="17.25" customHeight="1">
      <c r="A23" t="s" s="8">
        <v>42</v>
      </c>
      <c r="B23" s="10">
        <v>2</v>
      </c>
      <c r="C23" s="206" cm="1">
        <f t="array" ref="C23">F23/E23</f>
        <v>0</v>
      </c>
      <c r="D23" s="10">
        <v>3</v>
      </c>
      <c r="E23" s="10">
        <v>3</v>
      </c>
      <c r="F23" s="10">
        <v>0</v>
      </c>
      <c r="G23" s="10" cm="1">
        <f t="array" ref="G23">F23-(H23+I23+J23)</f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 cm="1">
        <f t="array" ref="N23">Y23+Z23</f>
        <v>0</v>
      </c>
      <c r="O23" s="10">
        <v>1</v>
      </c>
      <c r="P23" s="12" cm="1">
        <f t="array" ref="P23">O23/D23</f>
        <v>0.333333333333333</v>
      </c>
      <c r="Q23" s="13" cm="1">
        <f t="array" ref="Q23">(G23*1+H23*2+I23*3+J23*4)/E23</f>
        <v>0</v>
      </c>
      <c r="R23" s="13" cm="1">
        <f t="array" ref="R23">(F23+N23)/(D23-AA23)</f>
        <v>0</v>
      </c>
      <c r="S23" s="15" cm="1">
        <f t="array" ref="S23">R23+Q23</f>
        <v>0</v>
      </c>
      <c r="T23" s="153" cm="1">
        <f t="array" ref="T23">O23/(D23-(F23+N23))</f>
        <v>0.333333333333333</v>
      </c>
      <c r="U23" s="17" cm="1">
        <f t="array" ref="U23">RANK(R23,$R$4:$R$26)</f>
        <v>19</v>
      </c>
      <c r="V23" s="18" cm="1">
        <f t="array" ref="V23">RANK(S23,$S$4:$S$26)</f>
        <v>19</v>
      </c>
      <c r="W23" s="154" cm="1">
        <f t="array" ref="W23">RANK(C23,$C$4:$C$26)</f>
        <v>18</v>
      </c>
      <c r="X23" s="212"/>
      <c r="Y23" s="48">
        <v>0</v>
      </c>
      <c r="Z23" s="48">
        <v>0</v>
      </c>
      <c r="AA23" s="158"/>
      <c r="AB23" s="158"/>
      <c r="AC23" s="158"/>
    </row>
    <row r="24" ht="17.25" customHeight="1">
      <c r="A24" t="s" s="8">
        <v>43</v>
      </c>
      <c r="B24" s="10">
        <v>8</v>
      </c>
      <c r="C24" s="206" cm="1">
        <f t="array" ref="C24">F24/E24</f>
        <v>0.3</v>
      </c>
      <c r="D24" s="10">
        <v>23</v>
      </c>
      <c r="E24" s="10">
        <v>20</v>
      </c>
      <c r="F24" s="10">
        <v>6</v>
      </c>
      <c r="G24" s="10" cm="1">
        <f t="array" ref="G24">F24-(H24+I24+J24)</f>
        <v>3</v>
      </c>
      <c r="H24" s="10">
        <v>3</v>
      </c>
      <c r="I24" s="10">
        <v>0</v>
      </c>
      <c r="J24" s="10">
        <v>0</v>
      </c>
      <c r="K24" s="10">
        <v>6</v>
      </c>
      <c r="L24" s="10">
        <v>8</v>
      </c>
      <c r="M24" s="10">
        <v>4</v>
      </c>
      <c r="N24" s="10" cm="1">
        <f t="array" ref="N24">Y24+Z24</f>
        <v>3</v>
      </c>
      <c r="O24" s="10">
        <v>2</v>
      </c>
      <c r="P24" s="12" cm="1">
        <f t="array" ref="P24">O24/D24</f>
        <v>0.0869565217391304</v>
      </c>
      <c r="Q24" s="13" cm="1">
        <f t="array" ref="Q24">(G24*1+H24*2+I24*3+J24*4)/E24</f>
        <v>0.45</v>
      </c>
      <c r="R24" s="13" cm="1">
        <f t="array" ref="R24">(F24+N24)/(D24-AA24)</f>
        <v>0.391304347826087</v>
      </c>
      <c r="S24" s="15" cm="1">
        <f t="array" ref="S24">R24+Q24</f>
        <v>0.841304347826087</v>
      </c>
      <c r="T24" s="153" cm="1">
        <f t="array" ref="T24">O24/(D24-(F24+N24))</f>
        <v>0.142857142857143</v>
      </c>
      <c r="U24" s="17" cm="1">
        <f t="array" ref="U24">RANK(R24,$R$4:$R$26)</f>
        <v>13</v>
      </c>
      <c r="V24" s="18" cm="1">
        <f t="array" ref="V24">RANK(S24,$S$4:$S$26)</f>
        <v>14</v>
      </c>
      <c r="W24" s="154" cm="1">
        <f t="array" ref="W24">RANK(C24,$C$4:$C$26)</f>
        <v>15</v>
      </c>
      <c r="X24" s="212"/>
      <c r="Y24" s="48">
        <v>3</v>
      </c>
      <c r="Z24" s="48">
        <v>0</v>
      </c>
      <c r="AA24" s="158"/>
      <c r="AB24" s="158"/>
      <c r="AC24" s="158"/>
    </row>
    <row r="25" ht="17.25" customHeight="1">
      <c r="A25" t="s" s="8">
        <v>71</v>
      </c>
      <c r="B25" s="10">
        <v>8</v>
      </c>
      <c r="C25" s="206" cm="1">
        <f t="array" ref="C25">F25/E25</f>
        <v>0.3</v>
      </c>
      <c r="D25" s="10">
        <v>25</v>
      </c>
      <c r="E25" s="10">
        <v>20</v>
      </c>
      <c r="F25" s="10">
        <v>6</v>
      </c>
      <c r="G25" s="10" cm="1">
        <f t="array" ref="G25">F25-(H25+I25+J25)</f>
        <v>3</v>
      </c>
      <c r="H25" s="10">
        <v>1</v>
      </c>
      <c r="I25" s="10">
        <v>1</v>
      </c>
      <c r="J25" s="10">
        <v>1</v>
      </c>
      <c r="K25" s="10">
        <v>7</v>
      </c>
      <c r="L25" s="10">
        <v>10</v>
      </c>
      <c r="M25" s="10">
        <v>5</v>
      </c>
      <c r="N25" s="10" cm="1">
        <f t="array" ref="N25">Y25+Z25</f>
        <v>3</v>
      </c>
      <c r="O25" s="10">
        <v>3</v>
      </c>
      <c r="P25" s="12" cm="1">
        <f t="array" ref="P25">O25/D25</f>
        <v>0.12</v>
      </c>
      <c r="Q25" s="13" cm="1">
        <f t="array" ref="Q25">(G25*1+H25*2+I25*3+J25*4)/E25</f>
        <v>0.6</v>
      </c>
      <c r="R25" s="13" cm="1">
        <f t="array" ref="R25">(F25+N25)/(D25-AA25)</f>
        <v>0.36</v>
      </c>
      <c r="S25" s="15" cm="1">
        <f t="array" ref="S25">R25+Q25</f>
        <v>0.96</v>
      </c>
      <c r="T25" s="153" cm="1">
        <f t="array" ref="T25">O25/(D25-(F25+N25))</f>
        <v>0.1875</v>
      </c>
      <c r="U25" s="17" cm="1">
        <f t="array" ref="U25">RANK(R25,$R$4:$R$26)</f>
        <v>14</v>
      </c>
      <c r="V25" s="18" cm="1">
        <f t="array" ref="V25">RANK(S25,$S$4:$S$26)</f>
        <v>10</v>
      </c>
      <c r="W25" s="154" cm="1">
        <f t="array" ref="W25">RANK(C25,$C$4:$C$26)</f>
        <v>15</v>
      </c>
      <c r="X25" s="212"/>
      <c r="Y25" s="48">
        <v>3</v>
      </c>
      <c r="Z25" s="48">
        <v>0</v>
      </c>
      <c r="AA25" s="158"/>
      <c r="AB25" s="158"/>
      <c r="AC25" s="158"/>
    </row>
    <row r="26" ht="17.25" customHeight="1">
      <c r="A26" t="s" s="8">
        <v>44</v>
      </c>
      <c r="B26" s="10">
        <v>5</v>
      </c>
      <c r="C26" s="206" cm="1">
        <f t="array" ref="C26">F26/E26</f>
        <v>0.363636363636364</v>
      </c>
      <c r="D26" s="10">
        <v>13</v>
      </c>
      <c r="E26" s="10">
        <v>11</v>
      </c>
      <c r="F26" s="10">
        <v>4</v>
      </c>
      <c r="G26" s="10" cm="1">
        <f t="array" ref="G26">F26-(H26+I26+J26)</f>
        <v>3</v>
      </c>
      <c r="H26" s="10">
        <v>1</v>
      </c>
      <c r="I26" s="10">
        <v>0</v>
      </c>
      <c r="J26" s="10">
        <v>0</v>
      </c>
      <c r="K26" s="10">
        <v>6</v>
      </c>
      <c r="L26" s="10">
        <v>3</v>
      </c>
      <c r="M26" s="10">
        <v>3</v>
      </c>
      <c r="N26" s="10" cm="1">
        <f t="array" ref="N26">Y26+Z26</f>
        <v>2</v>
      </c>
      <c r="O26" s="10">
        <v>4</v>
      </c>
      <c r="P26" s="12" cm="1">
        <f t="array" ref="P26">O26/D26</f>
        <v>0.307692307692308</v>
      </c>
      <c r="Q26" s="13" cm="1">
        <f t="array" ref="Q26">(G26*1+H26*2+I26*3+J26*4)/E26</f>
        <v>0.454545454545455</v>
      </c>
      <c r="R26" s="13" cm="1">
        <f t="array" ref="R26">(F26+N26)/(D26-AA26)</f>
        <v>0.461538461538462</v>
      </c>
      <c r="S26" s="15" cm="1">
        <f t="array" ref="S26">R26+Q26</f>
        <v>0.916083916083917</v>
      </c>
      <c r="T26" s="153" cm="1">
        <f t="array" ref="T26">O26/(D26-(F26+N26))</f>
        <v>0.571428571428571</v>
      </c>
      <c r="U26" s="17" cm="1">
        <f t="array" ref="U26">RANK(R26,$R$4:$R$26)</f>
        <v>11</v>
      </c>
      <c r="V26" s="18" cm="1">
        <f t="array" ref="V26">RANK(S26,$S$4:$S$26)</f>
        <v>12</v>
      </c>
      <c r="W26" s="154" cm="1">
        <f t="array" ref="W26">RANK(C26,$C$4:$C$26)</f>
        <v>12</v>
      </c>
      <c r="X26" s="212"/>
      <c r="Y26" s="48">
        <v>2</v>
      </c>
      <c r="Z26" s="48">
        <v>0</v>
      </c>
      <c r="AA26" s="158"/>
      <c r="AB26" s="158"/>
      <c r="AC26" s="48">
        <v>1</v>
      </c>
    </row>
    <row r="27" ht="17.25" customHeight="1">
      <c r="A27" t="s" s="29">
        <v>45</v>
      </c>
      <c r="B27" s="124"/>
      <c r="C27" s="127" cm="1">
        <f t="array" ref="C27">F27/E27</f>
        <v>0.420091324200913</v>
      </c>
      <c r="D27" s="49" cm="1">
        <f t="array" ref="D27">SUM(D4:D26)</f>
        <v>271</v>
      </c>
      <c r="E27" s="49" cm="1">
        <f t="array" ref="E27">SUM(E4:E26)</f>
        <v>219</v>
      </c>
      <c r="F27" s="49" cm="1">
        <f t="array" ref="F27">SUM(F4:F26)</f>
        <v>92</v>
      </c>
      <c r="G27" s="49" cm="1">
        <f t="array" ref="G27">SUM(G4:G26)</f>
        <v>63</v>
      </c>
      <c r="H27" s="49" cm="1">
        <f t="array" ref="H27">SUM(H4:H26)</f>
        <v>22</v>
      </c>
      <c r="I27" s="49" cm="1">
        <f t="array" ref="I27">SUM(I4:I26)</f>
        <v>5</v>
      </c>
      <c r="J27" s="49" cm="1">
        <f t="array" ref="J27">SUM(J4:J26)</f>
        <v>4</v>
      </c>
      <c r="K27" s="49" cm="1">
        <f t="array" ref="K27">SUM(K4:K26)</f>
        <v>106</v>
      </c>
      <c r="L27" s="49" cm="1">
        <f t="array" ref="L27">SUM(L4:L26)</f>
        <v>87</v>
      </c>
      <c r="M27" s="49" cm="1">
        <f t="array" ref="M27">SUM(M4:M26)</f>
        <v>68</v>
      </c>
      <c r="N27" s="49" cm="1">
        <f t="array" ref="N27">SUM(N4:N26)</f>
        <v>44</v>
      </c>
      <c r="O27" s="49" cm="1">
        <f t="array" ref="O27">SUM(O4:O26)</f>
        <v>28</v>
      </c>
      <c r="P27" s="33" cm="1">
        <f t="array" ref="P27">O27/D27</f>
        <v>0.103321033210332</v>
      </c>
      <c r="Q27" s="127"/>
      <c r="R27" s="127"/>
      <c r="S27" s="121"/>
      <c r="T27" s="31"/>
      <c r="U27" s="31"/>
      <c r="V27" s="31"/>
      <c r="W27" s="31"/>
      <c r="X27" s="61"/>
      <c r="Y27" s="161" cm="1">
        <f t="array" ref="Y27">SUM(Y4:Y26)</f>
        <v>32</v>
      </c>
      <c r="Z27" s="161" cm="1">
        <f t="array" ref="Z27">SUM(Z4:Z26)</f>
        <v>12</v>
      </c>
      <c r="AA27" s="161" cm="1">
        <f t="array" ref="AA27">SUM(AA4:AA26)</f>
        <v>1</v>
      </c>
      <c r="AB27" s="161" cm="1">
        <f t="array" ref="AB27">SUM(AB4:AB26)</f>
        <v>3</v>
      </c>
      <c r="AC27" s="161" cm="1">
        <f t="array" ref="AC27">SUM(AC4:AC26)</f>
        <v>1</v>
      </c>
    </row>
    <row r="28" ht="17.25" customHeight="1">
      <c r="A28" s="135"/>
      <c r="B28" s="136"/>
      <c r="C28" s="137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7"/>
      <c r="R28" s="137"/>
      <c r="S28" s="138"/>
      <c r="T28" s="34"/>
      <c r="U28" s="34"/>
      <c r="V28" s="34"/>
      <c r="W28" s="34"/>
      <c r="X28" s="3"/>
      <c r="Y28" s="34"/>
      <c r="Z28" s="34"/>
      <c r="AA28" s="34"/>
      <c r="AB28" s="34"/>
      <c r="AC28" s="34"/>
    </row>
    <row r="29" ht="17.25" customHeight="1">
      <c r="A29" t="s" s="139">
        <v>46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6"/>
      <c r="T29" s="6"/>
      <c r="U29" s="6"/>
      <c r="V29" s="6"/>
      <c r="W29" s="6"/>
      <c r="X29" s="3"/>
      <c r="Y29" s="6"/>
      <c r="Z29" s="6"/>
      <c r="AA29" s="3"/>
      <c r="AB29" s="3"/>
      <c r="AC29" s="3"/>
    </row>
    <row r="30" ht="34.5" customHeight="1">
      <c r="A30" t="s" s="8">
        <v>2</v>
      </c>
      <c r="B30" t="s" s="8">
        <v>3</v>
      </c>
      <c r="C30" t="s" s="8">
        <v>47</v>
      </c>
      <c r="D30" t="s" s="8">
        <v>48</v>
      </c>
      <c r="E30" t="s" s="8">
        <v>49</v>
      </c>
      <c r="F30" t="s" s="8">
        <v>50</v>
      </c>
      <c r="G30" t="s" s="8">
        <v>6</v>
      </c>
      <c r="H30" t="s" s="8">
        <v>51</v>
      </c>
      <c r="I30" t="s" s="8">
        <v>52</v>
      </c>
      <c r="J30" t="s" s="8">
        <v>53</v>
      </c>
      <c r="K30" t="s" s="8">
        <v>54</v>
      </c>
      <c r="L30" t="s" s="8">
        <v>55</v>
      </c>
      <c r="M30" t="s" s="8">
        <v>56</v>
      </c>
      <c r="N30" t="s" s="8">
        <v>57</v>
      </c>
      <c r="O30" t="s" s="8">
        <v>58</v>
      </c>
      <c r="P30" t="s" s="8">
        <v>59</v>
      </c>
      <c r="Q30" t="s" s="8">
        <v>60</v>
      </c>
      <c r="R30" t="s" s="8">
        <v>61</v>
      </c>
      <c r="S30" t="s" s="8">
        <v>116</v>
      </c>
      <c r="T30" t="s" s="8">
        <v>63</v>
      </c>
      <c r="U30" t="s" s="8">
        <v>167</v>
      </c>
      <c r="V30" t="s" s="8">
        <v>65</v>
      </c>
      <c r="W30" t="s" s="8">
        <v>117</v>
      </c>
      <c r="X30" s="61"/>
      <c r="Y30" t="s" s="8">
        <v>118</v>
      </c>
      <c r="Z30" t="s" s="8">
        <v>119</v>
      </c>
      <c r="AA30" s="9"/>
      <c r="AB30" s="3"/>
      <c r="AC30" s="3"/>
    </row>
    <row r="31" ht="17.25" customHeight="1">
      <c r="A31" t="s" s="8">
        <v>24</v>
      </c>
      <c r="B31" s="208"/>
      <c r="C31" s="208"/>
      <c r="D31" s="208"/>
      <c r="E31" s="208"/>
      <c r="F31" s="208"/>
      <c r="G31" s="208"/>
      <c r="H31" s="39"/>
      <c r="I31" s="208"/>
      <c r="J31" s="208"/>
      <c r="K31" s="208"/>
      <c r="L31" s="208"/>
      <c r="M31" s="208"/>
      <c r="N31" s="208"/>
      <c r="O31" s="208"/>
      <c r="P31" s="40" cm="1">
        <f t="array" ref="P31">O31*9/H31</f>
      </c>
      <c r="Q31" s="41" cm="1">
        <f t="array" ref="Q31">(K31+L31)/H31</f>
      </c>
      <c r="R31" s="42" cm="1">
        <f t="array" ref="R31">I31/H31</f>
      </c>
      <c r="S31" s="42" cm="1">
        <f t="array" ref="S31">H31/B31</f>
      </c>
      <c r="T31" s="41" cm="1">
        <f t="array" ref="T31">M31/H31</f>
      </c>
      <c r="U31" s="44" cm="1">
        <f t="array" ref="U31">O31/N31</f>
      </c>
      <c r="V31" s="41" cm="1">
        <f t="array" ref="V31">(I31+K31+L31)/H31</f>
      </c>
      <c r="W31" s="170" cm="1">
        <f t="array" ref="W31">(L31+K31)/F31*100</f>
      </c>
      <c r="X31" s="216"/>
      <c r="Y31" s="217"/>
      <c r="Z31" s="217"/>
      <c r="AA31" s="9"/>
      <c r="AB31" s="3"/>
      <c r="AC31" s="3"/>
    </row>
    <row r="32" ht="17.25" customHeight="1">
      <c r="A32" t="s" s="8">
        <v>27</v>
      </c>
      <c r="B32" s="208"/>
      <c r="C32" s="208"/>
      <c r="D32" s="208"/>
      <c r="E32" s="208"/>
      <c r="F32" s="208"/>
      <c r="G32" s="208"/>
      <c r="H32" s="39"/>
      <c r="I32" s="208"/>
      <c r="J32" s="208"/>
      <c r="K32" s="208"/>
      <c r="L32" s="208"/>
      <c r="M32" s="208"/>
      <c r="N32" s="208"/>
      <c r="O32" s="208"/>
      <c r="P32" s="40" cm="1">
        <f t="array" ref="P32">O32*9/H32</f>
      </c>
      <c r="Q32" s="41" cm="1">
        <f t="array" ref="Q32">(K32+L32)/H32</f>
      </c>
      <c r="R32" s="42" cm="1">
        <f t="array" ref="R32">I32/H32</f>
      </c>
      <c r="S32" s="42" cm="1">
        <f t="array" ref="S32">H32/B32</f>
      </c>
      <c r="T32" s="41" cm="1">
        <f t="array" ref="T32">M32/H32</f>
      </c>
      <c r="U32" s="44" cm="1">
        <f t="array" ref="U32">O32/N32</f>
      </c>
      <c r="V32" s="41" cm="1">
        <f t="array" ref="V32">(I32+K32+L32)/H32</f>
      </c>
      <c r="W32" s="170" cm="1">
        <f t="array" ref="W32">(L32+K32)/F32*100</f>
      </c>
      <c r="X32" s="216"/>
      <c r="Y32" s="217"/>
      <c r="Z32" s="217"/>
      <c r="AA32" s="9"/>
      <c r="AB32" s="3"/>
      <c r="AC32" s="3"/>
    </row>
    <row r="33" ht="17.25" customHeight="1">
      <c r="A33" t="s" s="8">
        <v>29</v>
      </c>
      <c r="B33" s="10">
        <v>6</v>
      </c>
      <c r="C33" s="10">
        <v>1</v>
      </c>
      <c r="D33" s="10">
        <v>0</v>
      </c>
      <c r="E33" s="10">
        <v>0</v>
      </c>
      <c r="F33" s="10">
        <v>83</v>
      </c>
      <c r="G33" s="10">
        <v>59</v>
      </c>
      <c r="H33" s="39">
        <v>10</v>
      </c>
      <c r="I33" s="10">
        <v>27</v>
      </c>
      <c r="J33" s="10">
        <v>1</v>
      </c>
      <c r="K33" s="10">
        <v>17</v>
      </c>
      <c r="L33" s="10">
        <v>7</v>
      </c>
      <c r="M33" s="10">
        <v>10</v>
      </c>
      <c r="N33" s="10">
        <v>34</v>
      </c>
      <c r="O33" s="10">
        <v>28</v>
      </c>
      <c r="P33" s="40" cm="1">
        <f t="array" ref="P33">O33*9/H33</f>
        <v>25.2</v>
      </c>
      <c r="Q33" s="41" cm="1">
        <f t="array" ref="Q33">(K33+L33)/H33</f>
        <v>2.4</v>
      </c>
      <c r="R33" s="42" cm="1">
        <f t="array" ref="R33">I33/H33</f>
        <v>2.7</v>
      </c>
      <c r="S33" s="42" cm="1">
        <f t="array" ref="S33">H33/B33</f>
        <v>1.66666666666667</v>
      </c>
      <c r="T33" s="41" cm="1">
        <f t="array" ref="T33">M33/H33</f>
        <v>1</v>
      </c>
      <c r="U33" s="44" cm="1">
        <f t="array" ref="U33">O33/N33</f>
        <v>0.823529411764706</v>
      </c>
      <c r="V33" s="41" cm="1">
        <f t="array" ref="V33">(I33+K33+L33)/H33</f>
        <v>5.1</v>
      </c>
      <c r="W33" s="170" cm="1">
        <f t="array" ref="W33">(L33+K33)/F33*100</f>
        <v>28.9156626506024</v>
      </c>
      <c r="X33" s="216"/>
      <c r="Y33" s="220">
        <v>1</v>
      </c>
      <c r="Z33" s="217"/>
      <c r="AA33" s="9"/>
      <c r="AB33" s="3"/>
      <c r="AC33" s="3"/>
    </row>
    <row r="34" ht="17.25" customHeight="1">
      <c r="A34" t="s" s="8">
        <v>33</v>
      </c>
      <c r="B34" s="10">
        <v>6</v>
      </c>
      <c r="C34" s="10">
        <v>4</v>
      </c>
      <c r="D34" s="10">
        <v>1</v>
      </c>
      <c r="E34" s="10">
        <v>0</v>
      </c>
      <c r="F34" s="10">
        <v>82</v>
      </c>
      <c r="G34" s="10">
        <v>74</v>
      </c>
      <c r="H34" s="39">
        <v>20</v>
      </c>
      <c r="I34" s="10">
        <v>14</v>
      </c>
      <c r="J34" s="10">
        <v>0</v>
      </c>
      <c r="K34" s="10">
        <v>7</v>
      </c>
      <c r="L34" s="10">
        <v>1</v>
      </c>
      <c r="M34" s="10">
        <v>26</v>
      </c>
      <c r="N34" s="10">
        <v>9</v>
      </c>
      <c r="O34" s="10">
        <v>1</v>
      </c>
      <c r="P34" s="40" cm="1">
        <f t="array" ref="P34">O34*9/H34</f>
        <v>0.45</v>
      </c>
      <c r="Q34" s="41" cm="1">
        <f t="array" ref="Q34">(K34+L34)/H34</f>
        <v>0.4</v>
      </c>
      <c r="R34" s="42" cm="1">
        <f t="array" ref="R34">I34/H34</f>
        <v>0.7</v>
      </c>
      <c r="S34" s="42" cm="1">
        <f t="array" ref="S34">H34/B34</f>
        <v>3.33333333333333</v>
      </c>
      <c r="T34" s="41" cm="1">
        <f t="array" ref="T34">M34/H34</f>
        <v>1.3</v>
      </c>
      <c r="U34" s="44" cm="1">
        <f t="array" ref="U34">O34/N34</f>
        <v>0.111111111111111</v>
      </c>
      <c r="V34" s="41" cm="1">
        <f t="array" ref="V34">(I34+K34+L34)/H34</f>
        <v>1.1</v>
      </c>
      <c r="W34" s="170" cm="1">
        <f t="array" ref="W34">(L34+K34)/F34*100</f>
        <v>9.75609756097561</v>
      </c>
      <c r="X34" s="216"/>
      <c r="Y34" s="217"/>
      <c r="Z34" s="217"/>
      <c r="AA34" s="9"/>
      <c r="AB34" s="3"/>
      <c r="AC34" s="3"/>
    </row>
    <row r="35" ht="17.25" customHeight="1">
      <c r="A35" t="s" s="8">
        <v>35</v>
      </c>
      <c r="B35" s="208"/>
      <c r="C35" s="208"/>
      <c r="D35" s="208"/>
      <c r="E35" s="208"/>
      <c r="F35" s="208"/>
      <c r="G35" s="208"/>
      <c r="H35" s="39"/>
      <c r="I35" s="208"/>
      <c r="J35" s="208"/>
      <c r="K35" s="208"/>
      <c r="L35" s="208"/>
      <c r="M35" s="208"/>
      <c r="N35" s="208"/>
      <c r="O35" s="208"/>
      <c r="P35" s="40" cm="1">
        <f t="array" ref="P35">O35*9/H35</f>
      </c>
      <c r="Q35" s="41" cm="1">
        <f t="array" ref="Q35">(K35+L35)/H35</f>
      </c>
      <c r="R35" s="42" cm="1">
        <f t="array" ref="R35">I35/H35</f>
      </c>
      <c r="S35" s="42" cm="1">
        <f t="array" ref="S35">H35/B35</f>
      </c>
      <c r="T35" s="41" cm="1">
        <f t="array" ref="T35">M35/H35</f>
      </c>
      <c r="U35" s="44" cm="1">
        <f t="array" ref="U35">O35/N35</f>
      </c>
      <c r="V35" s="41" cm="1">
        <f t="array" ref="V35">(I35+K35+L35)/H35</f>
      </c>
      <c r="W35" s="170" cm="1">
        <f t="array" ref="W35">(L35+K35)/F35*100</f>
      </c>
      <c r="X35" s="216"/>
      <c r="Y35" s="217"/>
      <c r="Z35" s="217"/>
      <c r="AA35" s="9"/>
      <c r="AB35" s="3"/>
      <c r="AC35" s="3"/>
    </row>
    <row r="36" ht="17.25" customHeight="1">
      <c r="A36" t="s" s="8">
        <v>36</v>
      </c>
      <c r="B36" s="10">
        <v>2</v>
      </c>
      <c r="C36" s="10">
        <v>0</v>
      </c>
      <c r="D36" s="10">
        <v>0</v>
      </c>
      <c r="E36" s="10">
        <v>0</v>
      </c>
      <c r="F36" s="10">
        <v>12</v>
      </c>
      <c r="G36" s="10">
        <v>5</v>
      </c>
      <c r="H36" s="39">
        <v>0.6666666</v>
      </c>
      <c r="I36" s="10">
        <v>3</v>
      </c>
      <c r="J36" s="10">
        <v>1</v>
      </c>
      <c r="K36" s="10">
        <v>5</v>
      </c>
      <c r="L36" s="10">
        <v>2</v>
      </c>
      <c r="M36" s="10">
        <v>1</v>
      </c>
      <c r="N36" s="10">
        <v>8</v>
      </c>
      <c r="O36" s="10">
        <v>5</v>
      </c>
      <c r="P36" s="40" cm="1">
        <f t="array" ref="P36">O36*9/H36</f>
        <v>67.50000675000069</v>
      </c>
      <c r="Q36" s="41" cm="1">
        <f t="array" ref="Q36">(K36+L36)/H36</f>
        <v>10.5000010500001</v>
      </c>
      <c r="R36" s="42" cm="1">
        <f t="array" ref="R36">I36/H36</f>
        <v>4.50000045000005</v>
      </c>
      <c r="S36" s="42" cm="1">
        <f t="array" ref="S36">H36/B36</f>
        <v>0.3333333</v>
      </c>
      <c r="T36" s="41" cm="1">
        <f t="array" ref="T36">M36/H36</f>
        <v>1.50000015000002</v>
      </c>
      <c r="U36" s="44" cm="1">
        <f t="array" ref="U36">O36/N36</f>
        <v>0.625</v>
      </c>
      <c r="V36" s="41" cm="1">
        <f t="array" ref="V36">(I36+K36+L36)/H36</f>
        <v>15.0000015000002</v>
      </c>
      <c r="W36" s="170" cm="1">
        <f t="array" ref="W36">(L36+K36)/F36*100</f>
        <v>58.3333333333333</v>
      </c>
      <c r="X36" s="216"/>
      <c r="Y36" s="217"/>
      <c r="Z36" s="217"/>
      <c r="AA36" s="9"/>
      <c r="AB36" s="3"/>
      <c r="AC36" s="3"/>
    </row>
    <row r="37" ht="17.25" customHeight="1">
      <c r="A37" t="s" s="8">
        <v>37</v>
      </c>
      <c r="B37" s="10">
        <v>2</v>
      </c>
      <c r="C37" s="10">
        <v>0</v>
      </c>
      <c r="D37" s="10">
        <v>0</v>
      </c>
      <c r="E37" s="10">
        <v>0</v>
      </c>
      <c r="F37" s="10">
        <v>14</v>
      </c>
      <c r="G37" s="10">
        <v>9</v>
      </c>
      <c r="H37" s="39">
        <v>2</v>
      </c>
      <c r="I37" s="10">
        <v>3</v>
      </c>
      <c r="J37" s="10">
        <v>0</v>
      </c>
      <c r="K37" s="10">
        <v>4</v>
      </c>
      <c r="L37" s="10">
        <v>1</v>
      </c>
      <c r="M37" s="10">
        <v>0</v>
      </c>
      <c r="N37" s="10">
        <v>4</v>
      </c>
      <c r="O37" s="10">
        <v>4</v>
      </c>
      <c r="P37" s="40" cm="1">
        <f t="array" ref="P37">O37*9/H37</f>
        <v>18</v>
      </c>
      <c r="Q37" s="41" cm="1">
        <f t="array" ref="Q37">(K37+L37)/H37</f>
        <v>2.5</v>
      </c>
      <c r="R37" s="42" cm="1">
        <f t="array" ref="R37">I37/H37</f>
        <v>1.5</v>
      </c>
      <c r="S37" s="42" cm="1">
        <f t="array" ref="S37">H37/B37</f>
        <v>1</v>
      </c>
      <c r="T37" s="41" cm="1">
        <f t="array" ref="T37">M37/H37</f>
        <v>0</v>
      </c>
      <c r="U37" s="44" cm="1">
        <f t="array" ref="U37">O37/N37</f>
        <v>1</v>
      </c>
      <c r="V37" s="41" cm="1">
        <f t="array" ref="V37">(I37+K37+L37)/H37</f>
        <v>4</v>
      </c>
      <c r="W37" s="170" cm="1">
        <f t="array" ref="W37">(L37+K37)/F37*100</f>
        <v>35.7142857142857</v>
      </c>
      <c r="X37" s="216"/>
      <c r="Y37" s="217"/>
      <c r="Z37" s="217"/>
      <c r="AA37" s="9"/>
      <c r="AB37" s="3"/>
      <c r="AC37" s="3"/>
    </row>
    <row r="38" ht="17.25" customHeight="1">
      <c r="A38" t="s" s="8">
        <v>40</v>
      </c>
      <c r="B38" s="10">
        <v>2</v>
      </c>
      <c r="C38" s="10">
        <v>1</v>
      </c>
      <c r="D38" s="10">
        <v>0</v>
      </c>
      <c r="E38" s="10">
        <v>0</v>
      </c>
      <c r="F38" s="10">
        <v>10</v>
      </c>
      <c r="G38" s="10">
        <v>6</v>
      </c>
      <c r="H38" s="39">
        <v>1.666666</v>
      </c>
      <c r="I38" s="10">
        <v>1</v>
      </c>
      <c r="J38" s="10">
        <v>0</v>
      </c>
      <c r="K38" s="10">
        <v>3</v>
      </c>
      <c r="L38" s="10">
        <v>1</v>
      </c>
      <c r="M38" s="10">
        <v>1</v>
      </c>
      <c r="N38" s="10">
        <v>3</v>
      </c>
      <c r="O38" s="10">
        <v>3</v>
      </c>
      <c r="P38" s="40" cm="1">
        <f t="array" ref="P38">O38*9/H38</f>
        <v>16.2000064800026</v>
      </c>
      <c r="Q38" s="41" cm="1">
        <f t="array" ref="Q38">(K38+L38)/H38</f>
        <v>2.40000096000038</v>
      </c>
      <c r="R38" s="42" cm="1">
        <f t="array" ref="R38">I38/H38</f>
        <v>0.600000240000096</v>
      </c>
      <c r="S38" s="42" cm="1">
        <f t="array" ref="S38">H38/B38</f>
        <v>0.833333</v>
      </c>
      <c r="T38" s="41" cm="1">
        <f t="array" ref="T38">M38/H38</f>
        <v>0.600000240000096</v>
      </c>
      <c r="U38" s="44" cm="1">
        <f t="array" ref="U38">O38/N38</f>
        <v>1</v>
      </c>
      <c r="V38" s="41" cm="1">
        <f t="array" ref="V38">(I38+K38+L38)/H38</f>
        <v>3.00000120000048</v>
      </c>
      <c r="W38" s="170" cm="1">
        <f t="array" ref="W38">(L38+K38)/F38*100</f>
        <v>40</v>
      </c>
      <c r="X38" s="216"/>
      <c r="Y38" s="217"/>
      <c r="Z38" s="217"/>
      <c r="AA38" s="9"/>
      <c r="AB38" s="3"/>
      <c r="AC38" s="3"/>
    </row>
    <row r="39" ht="17.25" customHeight="1">
      <c r="A39" t="s" s="8">
        <v>41</v>
      </c>
      <c r="B39" s="208"/>
      <c r="C39" s="208"/>
      <c r="D39" s="208"/>
      <c r="E39" s="208"/>
      <c r="F39" s="208"/>
      <c r="G39" s="208"/>
      <c r="H39" s="39"/>
      <c r="I39" s="208"/>
      <c r="J39" s="208"/>
      <c r="K39" s="208"/>
      <c r="L39" s="208"/>
      <c r="M39" s="208"/>
      <c r="N39" s="208"/>
      <c r="O39" s="208"/>
      <c r="P39" s="40" cm="1">
        <f t="array" ref="P39">O39*9/H39</f>
      </c>
      <c r="Q39" s="41" cm="1">
        <f t="array" ref="Q39">(K39+L39)/H39</f>
      </c>
      <c r="R39" s="42" cm="1">
        <f t="array" ref="R39">I39/H39</f>
      </c>
      <c r="S39" s="42" cm="1">
        <f t="array" ref="S39">H39/B39</f>
      </c>
      <c r="T39" s="41" cm="1">
        <f t="array" ref="T39">M39/H39</f>
      </c>
      <c r="U39" s="44" cm="1">
        <f t="array" ref="U39">O39/N39</f>
      </c>
      <c r="V39" s="41" cm="1">
        <f t="array" ref="V39">(I39+K39+L39)/H39</f>
      </c>
      <c r="W39" s="170" cm="1">
        <f t="array" ref="W39">(L39+K39)/F39*100</f>
      </c>
      <c r="X39" s="216"/>
      <c r="Y39" s="217"/>
      <c r="Z39" s="217"/>
      <c r="AA39" s="9"/>
      <c r="AB39" s="3"/>
      <c r="AC39" s="3"/>
    </row>
    <row r="40" ht="17.25" customHeight="1">
      <c r="A40" t="s" s="8">
        <v>42</v>
      </c>
      <c r="B40" s="208"/>
      <c r="C40" s="208"/>
      <c r="D40" s="208"/>
      <c r="E40" s="208"/>
      <c r="F40" s="208"/>
      <c r="G40" s="208"/>
      <c r="H40" s="39"/>
      <c r="I40" s="208"/>
      <c r="J40" s="208"/>
      <c r="K40" s="208"/>
      <c r="L40" s="208"/>
      <c r="M40" s="208"/>
      <c r="N40" s="208"/>
      <c r="O40" s="208"/>
      <c r="P40" s="40" cm="1">
        <f t="array" ref="P40">O40*9/H40</f>
      </c>
      <c r="Q40" s="41" cm="1">
        <f t="array" ref="Q40">(K40+L40)/H40</f>
      </c>
      <c r="R40" s="42" cm="1">
        <f t="array" ref="R40">I40/H40</f>
      </c>
      <c r="S40" s="42" cm="1">
        <f t="array" ref="S40">H40/B40</f>
      </c>
      <c r="T40" s="41" cm="1">
        <f t="array" ref="T40">M40/H40</f>
      </c>
      <c r="U40" s="44" cm="1">
        <f t="array" ref="U40">O40/N40</f>
      </c>
      <c r="V40" s="41" cm="1">
        <f t="array" ref="V40">(I40+K40+L40)/H40</f>
      </c>
      <c r="W40" s="170" cm="1">
        <f t="array" ref="W40">(L40+K40)/F40*100</f>
      </c>
      <c r="X40" s="216"/>
      <c r="Y40" s="217"/>
      <c r="Z40" s="217"/>
      <c r="AA40" s="9"/>
      <c r="AB40" s="3"/>
      <c r="AC40" s="3"/>
    </row>
    <row r="41" ht="17.25" customHeight="1">
      <c r="A41" t="s" s="8">
        <v>43</v>
      </c>
      <c r="B41" s="10">
        <v>6</v>
      </c>
      <c r="C41" s="10">
        <v>1</v>
      </c>
      <c r="D41" s="10">
        <v>2</v>
      </c>
      <c r="E41" s="10">
        <v>0</v>
      </c>
      <c r="F41" s="10">
        <v>64</v>
      </c>
      <c r="G41" s="10">
        <v>48</v>
      </c>
      <c r="H41" s="39">
        <v>9.666666666666661</v>
      </c>
      <c r="I41" s="10">
        <v>16</v>
      </c>
      <c r="J41" s="10">
        <v>1</v>
      </c>
      <c r="K41" s="10">
        <v>11</v>
      </c>
      <c r="L41" s="10">
        <v>4</v>
      </c>
      <c r="M41" s="10">
        <v>11</v>
      </c>
      <c r="N41" s="10">
        <v>22</v>
      </c>
      <c r="O41" s="10">
        <v>15</v>
      </c>
      <c r="P41" s="40" cm="1">
        <f t="array" ref="P41">O41*9/H41</f>
        <v>13.9655172413793</v>
      </c>
      <c r="Q41" s="41" cm="1">
        <f t="array" ref="Q41">(K41+L41)/H41</f>
        <v>1.55172413793104</v>
      </c>
      <c r="R41" s="42" cm="1">
        <f t="array" ref="R41">I41/H41</f>
        <v>1.6551724137931</v>
      </c>
      <c r="S41" s="42" cm="1">
        <f t="array" ref="S41">H41/B41</f>
        <v>1.61111111111111</v>
      </c>
      <c r="T41" s="41" cm="1">
        <f t="array" ref="T41">M41/H41</f>
        <v>1.13793103448276</v>
      </c>
      <c r="U41" s="44" cm="1">
        <f t="array" ref="U41">O41/N41</f>
        <v>0.681818181818182</v>
      </c>
      <c r="V41" s="41" cm="1">
        <f t="array" ref="V41">(I41+K41+L41)/H41</f>
        <v>3.20689655172414</v>
      </c>
      <c r="W41" s="170" cm="1">
        <f t="array" ref="W41">(L41+K41)/F41*100</f>
        <v>23.4375</v>
      </c>
      <c r="X41" s="216"/>
      <c r="Y41" s="220">
        <v>4</v>
      </c>
      <c r="Z41" s="217"/>
      <c r="AA41" s="9"/>
      <c r="AB41" s="3"/>
      <c r="AC41" s="3"/>
    </row>
    <row r="42" ht="17.25" customHeight="1">
      <c r="A42" t="s" s="29">
        <v>45</v>
      </c>
      <c r="B42" s="124"/>
      <c r="C42" s="49" cm="1">
        <f t="array" ref="C42">SUM(C31:C41)</f>
        <v>7</v>
      </c>
      <c r="D42" s="49" cm="1">
        <f t="array" ref="D42">SUM(D31:D41)</f>
        <v>3</v>
      </c>
      <c r="E42" s="49" cm="1">
        <f t="array" ref="E42">SUM(E31:E41)</f>
        <v>0</v>
      </c>
      <c r="F42" s="49" cm="1">
        <f t="array" ref="F42">SUM(F31:F41)</f>
        <v>265</v>
      </c>
      <c r="G42" s="49" cm="1">
        <f t="array" ref="G42">SUM(G31:G41)</f>
        <v>201</v>
      </c>
      <c r="H42" s="50" cm="1">
        <f t="array" ref="H42">SUM(H31:H41)</f>
        <v>43.9999992666667</v>
      </c>
      <c r="I42" s="49" cm="1">
        <f t="array" ref="I42">SUM(I31:I41)</f>
        <v>64</v>
      </c>
      <c r="J42" s="49" cm="1">
        <f t="array" ref="J42">SUM(J31:J41)</f>
        <v>3</v>
      </c>
      <c r="K42" s="49" cm="1">
        <f t="array" ref="K42">SUM(K31:K41)</f>
        <v>47</v>
      </c>
      <c r="L42" s="49" cm="1">
        <f t="array" ref="L42">SUM(L31:L41)</f>
        <v>16</v>
      </c>
      <c r="M42" s="49" cm="1">
        <f t="array" ref="M42">SUM(M31:M41)</f>
        <v>49</v>
      </c>
      <c r="N42" s="49" cm="1">
        <f t="array" ref="N42">SUM(N31:N41)</f>
        <v>80</v>
      </c>
      <c r="O42" s="49" cm="1">
        <f t="array" ref="O42">SUM(O31:O41)</f>
        <v>56</v>
      </c>
      <c r="P42" s="51" cm="1">
        <f t="array" ref="P42">O42*9/H42</f>
        <v>11.4545456454545</v>
      </c>
      <c r="Q42" s="52" cm="1">
        <f t="array" ref="Q42">(K42+L42)/H42</f>
        <v>1.43181820568182</v>
      </c>
      <c r="R42" s="53" cm="1">
        <f t="array" ref="R42">I42/H42</f>
        <v>1.45454547878788</v>
      </c>
      <c r="S42" s="53" cm="1">
        <f t="array" ref="S42">H42/B42</f>
      </c>
      <c r="T42" s="52" cm="1">
        <f t="array" ref="T42">M42/H42</f>
        <v>1.11363638219697</v>
      </c>
      <c r="U42" s="55" cm="1">
        <f t="array" ref="U42">O42/N42</f>
        <v>0.7</v>
      </c>
      <c r="V42" s="52" cm="1">
        <f t="array" ref="V42">(I42+K42+L42)/H42</f>
        <v>2.8863636844697</v>
      </c>
      <c r="W42" s="52"/>
      <c r="X42" s="216"/>
      <c r="Y42" s="49" cm="1">
        <f t="array" ref="Y42">SUM(Y31:Y41)</f>
        <v>5</v>
      </c>
      <c r="Z42" s="49" cm="1">
        <f t="array" ref="Z42">SUM(Z31:Z41)</f>
        <v>0</v>
      </c>
      <c r="AA42" s="9"/>
      <c r="AB42" s="3"/>
      <c r="AC42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dimension ref="A1:AC42"/>
  <sheetViews>
    <sheetView workbookViewId="0" showGridLines="0" defaultGridColor="1"/>
  </sheetViews>
  <sheetFormatPr defaultColWidth="9" defaultRowHeight="16.5" customHeight="1" outlineLevelRow="0" outlineLevelCol="0"/>
  <cols>
    <col min="1" max="2" width="8.17188" style="222" customWidth="1"/>
    <col min="3" max="3" width="9.67188" style="222" customWidth="1"/>
    <col min="4" max="15" width="8.17188" style="222" customWidth="1"/>
    <col min="16" max="16" width="10.1719" style="222" customWidth="1"/>
    <col min="17" max="18" width="8.17188" style="222" customWidth="1"/>
    <col min="19" max="19" width="10.8516" style="222" customWidth="1"/>
    <col min="20" max="20" width="10.1719" style="222" customWidth="1"/>
    <col min="21" max="22" width="9" style="222" customWidth="1"/>
    <col min="23" max="23" width="11.3516" style="222" customWidth="1"/>
    <col min="24" max="24" width="2.67188" style="222" customWidth="1"/>
    <col min="25" max="26" width="9" style="222" customWidth="1"/>
    <col min="27" max="27" width="10.1719" style="222" customWidth="1"/>
    <col min="28" max="29" width="9" style="222" customWidth="1"/>
    <col min="30" max="16384" width="9" style="222" customWidth="1"/>
  </cols>
  <sheetData>
    <row r="1" ht="26.25" customHeight="1">
      <c r="A1" t="s" s="2">
        <v>172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3"/>
      <c r="Y2" s="6"/>
      <c r="Z2" s="6"/>
      <c r="AA2" s="6"/>
      <c r="AB2" s="6"/>
      <c r="AC2" s="6"/>
    </row>
    <row r="3" ht="34.5" customHeight="1">
      <c r="A3" t="s" s="8">
        <v>101</v>
      </c>
      <c r="B3" t="s" s="8">
        <v>102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21</v>
      </c>
      <c r="U3" t="s" s="8">
        <v>22</v>
      </c>
      <c r="V3" t="s" s="8">
        <v>23</v>
      </c>
      <c r="W3" t="s" s="8">
        <v>111</v>
      </c>
      <c r="X3" s="61"/>
      <c r="Y3" t="s" s="8">
        <v>112</v>
      </c>
      <c r="Z3" t="s" s="8">
        <v>55</v>
      </c>
      <c r="AA3" t="s" s="8">
        <v>113</v>
      </c>
      <c r="AB3" t="s" s="8">
        <v>171</v>
      </c>
      <c r="AC3" t="s" s="8">
        <v>115</v>
      </c>
    </row>
    <row r="4" ht="17.25" customHeight="1">
      <c r="A4" t="s" s="8">
        <v>24</v>
      </c>
      <c r="B4" s="208"/>
      <c r="C4" s="206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12" cm="1">
        <f t="array" ref="P4">O4/D4</f>
      </c>
      <c r="Q4" s="13" cm="1">
        <f t="array" ref="Q4">(G4*1+H4*2+I4*3+J4*4)/E4</f>
      </c>
      <c r="R4" s="13" cm="1">
        <f t="array" ref="R4">(F4+N4)/(D4-AA4)</f>
      </c>
      <c r="S4" s="15" cm="1">
        <f t="array" ref="S4">R4+Q4</f>
      </c>
      <c r="T4" s="153" cm="1">
        <f t="array" ref="T4">O4/(D4-(F4+N4))</f>
      </c>
      <c r="U4" s="159" cm="1">
        <f t="array" ref="U4">RANK(R4,$R$4:$R$26)</f>
      </c>
      <c r="V4" s="160" cm="1">
        <f t="array" ref="V4">RANK(S4,$S$4:$S$26)</f>
      </c>
      <c r="W4" s="213" cm="1">
        <f t="array" ref="W4">RANK(C4,$C$4:$C$26)</f>
      </c>
      <c r="X4" s="212"/>
      <c r="Y4" s="48">
        <v>0</v>
      </c>
      <c r="Z4" s="48">
        <v>0</v>
      </c>
      <c r="AA4" s="158"/>
      <c r="AB4" s="158"/>
      <c r="AC4" s="158"/>
    </row>
    <row r="5" ht="17.25" customHeight="1">
      <c r="A5" t="s" s="8">
        <v>25</v>
      </c>
      <c r="B5" s="208"/>
      <c r="C5" s="206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12"/>
      <c r="Q5" s="13"/>
      <c r="R5" s="13"/>
      <c r="S5" s="15"/>
      <c r="T5" s="153"/>
      <c r="U5" s="159"/>
      <c r="V5" s="160"/>
      <c r="W5" s="213"/>
      <c r="X5" s="212"/>
      <c r="Y5" s="158"/>
      <c r="Z5" s="158"/>
      <c r="AA5" s="158"/>
      <c r="AB5" s="158"/>
      <c r="AC5" s="158"/>
    </row>
    <row r="6" ht="17.25" customHeight="1">
      <c r="A6" t="s" s="8">
        <v>26</v>
      </c>
      <c r="B6" s="208"/>
      <c r="C6" s="206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12" cm="1">
        <f t="array" ref="P6">O6/D6</f>
      </c>
      <c r="Q6" s="13" cm="1">
        <f t="array" ref="Q6">(G6*1+H6*2+I6*3+J6*4)/E6</f>
      </c>
      <c r="R6" s="13" cm="1">
        <f t="array" ref="R6">(F6+N6)/(D6-AA6)</f>
      </c>
      <c r="S6" s="15" cm="1">
        <f t="array" ref="S6">R6+Q6</f>
      </c>
      <c r="T6" s="153" cm="1">
        <f t="array" ref="T6">O6/(D6-(F6+N6))</f>
      </c>
      <c r="U6" s="159" cm="1">
        <f t="array" ref="U6">RANK(R6,$R$4:$R$26)</f>
      </c>
      <c r="V6" s="160" cm="1">
        <f t="array" ref="V6">RANK(S6,$S$4:$S$26)</f>
      </c>
      <c r="W6" s="213" cm="1">
        <f t="array" ref="W6">RANK(C6,$C$4:$C$26)</f>
      </c>
      <c r="X6" s="212"/>
      <c r="Y6" s="48">
        <v>2</v>
      </c>
      <c r="Z6" s="48">
        <v>3</v>
      </c>
      <c r="AA6" s="158"/>
      <c r="AB6" s="158"/>
      <c r="AC6" s="158"/>
    </row>
    <row r="7" ht="17.25" customHeight="1">
      <c r="A7" t="s" s="8">
        <v>27</v>
      </c>
      <c r="B7" s="208"/>
      <c r="C7" s="206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12"/>
      <c r="Q7" s="13"/>
      <c r="R7" s="13"/>
      <c r="S7" s="15"/>
      <c r="T7" s="153"/>
      <c r="U7" s="159"/>
      <c r="V7" s="160"/>
      <c r="W7" s="213"/>
      <c r="X7" s="212"/>
      <c r="Y7" s="158"/>
      <c r="Z7" s="158"/>
      <c r="AA7" s="158"/>
      <c r="AB7" s="158"/>
      <c r="AC7" s="158"/>
    </row>
    <row r="8" ht="17.25" customHeight="1">
      <c r="A8" t="s" s="8">
        <v>28</v>
      </c>
      <c r="B8" s="208"/>
      <c r="C8" s="206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12" cm="1">
        <f t="array" ref="P8">O8/D8</f>
      </c>
      <c r="Q8" s="13" cm="1">
        <f t="array" ref="Q8">(G8*1+H8*2+I8*3+J8*4)/E8</f>
      </c>
      <c r="R8" s="13" cm="1">
        <f t="array" ref="R8">(F8+N8)/(D8-AA8)</f>
        <v>0</v>
      </c>
      <c r="S8" s="15" cm="1">
        <f t="array" ref="S8">R8+Q8</f>
      </c>
      <c r="T8" s="153" cm="1">
        <f t="array" ref="T8">O8/(D8-(F8+N8))</f>
      </c>
      <c r="U8" s="17" cm="1">
        <f t="array" ref="U8">RANK(R8,$R$4:$R$26)</f>
        <v>2</v>
      </c>
      <c r="V8" s="160" cm="1">
        <f t="array" ref="V8">RANK(S8,$S$4:$S$26)</f>
      </c>
      <c r="W8" s="213" cm="1">
        <f t="array" ref="W8">RANK(C8,$C$4:$C$26)</f>
      </c>
      <c r="X8" s="212"/>
      <c r="Y8" s="48">
        <v>4</v>
      </c>
      <c r="Z8" s="48">
        <v>3</v>
      </c>
      <c r="AA8" s="48">
        <v>1</v>
      </c>
      <c r="AB8" s="158"/>
      <c r="AC8" s="158"/>
    </row>
    <row r="9" ht="17.25" customHeight="1">
      <c r="A9" t="s" s="8">
        <v>29</v>
      </c>
      <c r="B9" s="208"/>
      <c r="C9" s="206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12" cm="1">
        <f t="array" ref="P9">O9/D9</f>
      </c>
      <c r="Q9" s="13" cm="1">
        <f t="array" ref="Q9">(G9*1+H9*2+I9*3+J9*4)/E9</f>
      </c>
      <c r="R9" s="13" cm="1">
        <f t="array" ref="R9">(F9+N9)/(D9-AA9)</f>
      </c>
      <c r="S9" s="15" cm="1">
        <f t="array" ref="S9">R9+Q9</f>
      </c>
      <c r="T9" s="153" cm="1">
        <f t="array" ref="T9">O9/(D9-(F9+N9))</f>
      </c>
      <c r="U9" s="159" cm="1">
        <f t="array" ref="U9">RANK(R9,$R$4:$R$26)</f>
      </c>
      <c r="V9" s="160" cm="1">
        <f t="array" ref="V9">RANK(S9,$S$4:$S$26)</f>
      </c>
      <c r="W9" s="213" cm="1">
        <f t="array" ref="W9">RANK(C9,$C$4:$C$26)</f>
      </c>
      <c r="X9" s="212"/>
      <c r="Y9" s="158"/>
      <c r="Z9" s="158"/>
      <c r="AA9" s="158"/>
      <c r="AB9" s="158"/>
      <c r="AC9" s="158"/>
    </row>
    <row r="10" ht="17.25" customHeight="1">
      <c r="A10" t="s" s="8">
        <v>69</v>
      </c>
      <c r="B10" s="208"/>
      <c r="C10" s="206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12" cm="1">
        <f t="array" ref="P10">O10/D10</f>
      </c>
      <c r="Q10" s="13" cm="1">
        <f t="array" ref="Q10">(G10*1+H10*2+I10*3+J10*4)/E10</f>
      </c>
      <c r="R10" s="13" cm="1">
        <f t="array" ref="R10">(F10+N10)/(D10-AA10)</f>
      </c>
      <c r="S10" s="15" cm="1">
        <f t="array" ref="S10">R10+Q10</f>
      </c>
      <c r="T10" s="153" cm="1">
        <f t="array" ref="T10">O10/(D10-(F10+N10))</f>
      </c>
      <c r="U10" s="159" cm="1">
        <f t="array" ref="U10">RANK(R10,$R$4:$R$26)</f>
      </c>
      <c r="V10" s="160" cm="1">
        <f t="array" ref="V10">RANK(S10,$S$4:$S$26)</f>
      </c>
      <c r="W10" s="213" cm="1">
        <f t="array" ref="W10">RANK(C10,$C$4:$C$26)</f>
      </c>
      <c r="X10" s="212"/>
      <c r="Y10" s="158"/>
      <c r="Z10" s="158"/>
      <c r="AA10" s="158"/>
      <c r="AB10" s="158"/>
      <c r="AC10" s="158"/>
    </row>
    <row r="11" ht="17.25" customHeight="1">
      <c r="A11" t="s" s="8">
        <v>30</v>
      </c>
      <c r="B11" s="208"/>
      <c r="C11" s="206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12" cm="1">
        <f t="array" ref="P11">O11/D11</f>
      </c>
      <c r="Q11" s="13" cm="1">
        <f t="array" ref="Q11">(G11*1+H11*2+I11*3+J11*4)/E11</f>
      </c>
      <c r="R11" s="13" cm="1">
        <f t="array" ref="R11">(F11+N11)/(D11-AA11)</f>
      </c>
      <c r="S11" s="15" cm="1">
        <f t="array" ref="S11">R11+Q11</f>
      </c>
      <c r="T11" s="153" cm="1">
        <f t="array" ref="T11">O11/(D11-(F11+N11))</f>
      </c>
      <c r="U11" s="159" cm="1">
        <f t="array" ref="U11">RANK(R11,$R$4:$R$26)</f>
      </c>
      <c r="V11" s="160" cm="1">
        <f t="array" ref="V11">RANK(S11,$S$4:$S$26)</f>
      </c>
      <c r="W11" s="213" cm="1">
        <f t="array" ref="W11">RANK(C11,$C$4:$C$26)</f>
      </c>
      <c r="X11" s="212"/>
      <c r="Y11" s="48">
        <v>3</v>
      </c>
      <c r="Z11" s="48">
        <v>0</v>
      </c>
      <c r="AA11" s="158"/>
      <c r="AB11" s="158"/>
      <c r="AC11" s="158"/>
    </row>
    <row r="12" ht="17.25" customHeight="1">
      <c r="A12" t="s" s="8">
        <v>31</v>
      </c>
      <c r="B12" s="208"/>
      <c r="C12" s="206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12" cm="1">
        <f t="array" ref="P12">O12/D12</f>
      </c>
      <c r="Q12" s="13" cm="1">
        <f t="array" ref="Q12">(G12*1+H12*2+I12*3+J12*4)/E12</f>
      </c>
      <c r="R12" s="13" cm="1">
        <f t="array" ref="R12">(F12+N12)/(D12-AA12)</f>
      </c>
      <c r="S12" s="15" cm="1">
        <f t="array" ref="S12">R12+Q12</f>
      </c>
      <c r="T12" s="153" cm="1">
        <f t="array" ref="T12">O12/(D12-(F12+N12))</f>
      </c>
      <c r="U12" s="159" cm="1">
        <f t="array" ref="U12">RANK(R12,$R$4:$R$26)</f>
      </c>
      <c r="V12" s="160" cm="1">
        <f t="array" ref="V12">RANK(S12,$S$4:$S$26)</f>
      </c>
      <c r="W12" s="213" cm="1">
        <f t="array" ref="W12">RANK(C12,$C$4:$C$26)</f>
      </c>
      <c r="X12" s="212"/>
      <c r="Y12" s="48">
        <v>5</v>
      </c>
      <c r="Z12" s="48">
        <v>0</v>
      </c>
      <c r="AA12" s="158"/>
      <c r="AB12" s="158"/>
      <c r="AC12" s="158"/>
    </row>
    <row r="13" ht="17.25" customHeight="1">
      <c r="A13" t="s" s="8">
        <v>32</v>
      </c>
      <c r="B13" s="208"/>
      <c r="C13" s="206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12" cm="1">
        <f t="array" ref="P13">O13/D13</f>
      </c>
      <c r="Q13" s="13" cm="1">
        <f t="array" ref="Q13">(G13*1+H13*2+I13*3+J13*4)/E13</f>
      </c>
      <c r="R13" s="13" cm="1">
        <f t="array" ref="R13">(F13+N13)/(D13-AA13)</f>
      </c>
      <c r="S13" s="15" cm="1">
        <f t="array" ref="S13">R13+Q13</f>
      </c>
      <c r="T13" s="153" cm="1">
        <f t="array" ref="T13">O13/(D13-(F13+N13))</f>
      </c>
      <c r="U13" s="159" cm="1">
        <f t="array" ref="U13">RANK(R13,$R$4:$R$26)</f>
      </c>
      <c r="V13" s="160" cm="1">
        <f t="array" ref="V13">RANK(S13,$S$4:$S$26)</f>
      </c>
      <c r="W13" s="213" cm="1">
        <f t="array" ref="W13">RANK(C13,$C$4:$C$26)</f>
      </c>
      <c r="X13" s="212"/>
      <c r="Y13" s="48">
        <v>0</v>
      </c>
      <c r="Z13" s="48">
        <v>0</v>
      </c>
      <c r="AA13" s="158"/>
      <c r="AB13" s="158"/>
      <c r="AC13" s="158"/>
    </row>
    <row r="14" ht="17.25" customHeight="1">
      <c r="A14" t="s" s="8">
        <v>33</v>
      </c>
      <c r="B14" s="208"/>
      <c r="C14" s="206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12" cm="1">
        <f t="array" ref="P14">O14/D14</f>
      </c>
      <c r="Q14" s="13" cm="1">
        <f t="array" ref="Q14">(G14*1+H14*2+I14*3+J14*4)/E14</f>
      </c>
      <c r="R14" s="13" cm="1">
        <f t="array" ref="R14">(F14+N14)/(D14-AA14)</f>
      </c>
      <c r="S14" s="15" cm="1">
        <f t="array" ref="S14">R14+Q14</f>
      </c>
      <c r="T14" s="153" cm="1">
        <f t="array" ref="T14">O14/(D14-(F14+N14))</f>
      </c>
      <c r="U14" s="159" cm="1">
        <f t="array" ref="U14">RANK(R14,$R$4:$R$26)</f>
      </c>
      <c r="V14" s="160" cm="1">
        <f t="array" ref="V14">RANK(S14,$S$4:$S$26)</f>
      </c>
      <c r="W14" s="213" cm="1">
        <f t="array" ref="W14">RANK(C14,$C$4:$C$26)</f>
      </c>
      <c r="X14" s="212"/>
      <c r="Y14" s="48">
        <v>1</v>
      </c>
      <c r="Z14" s="48">
        <v>0</v>
      </c>
      <c r="AA14" s="158"/>
      <c r="AB14" s="48">
        <v>1</v>
      </c>
      <c r="AC14" s="158"/>
    </row>
    <row r="15" ht="17.25" customHeight="1">
      <c r="A15" t="s" s="8">
        <v>35</v>
      </c>
      <c r="B15" s="208"/>
      <c r="C15" s="206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12" cm="1">
        <f t="array" ref="P15">O15/D15</f>
      </c>
      <c r="Q15" s="13" cm="1">
        <f t="array" ref="Q15">(G15*1+H15*2+I15*3+J15*4)/E15</f>
      </c>
      <c r="R15" s="13" cm="1">
        <f t="array" ref="R15">(F15+N15)/(D15-AA15)</f>
      </c>
      <c r="S15" s="15" cm="1">
        <f t="array" ref="S15">R15+Q15</f>
      </c>
      <c r="T15" s="153" cm="1">
        <f t="array" ref="T15">O15/(D15-(F15+N15))</f>
      </c>
      <c r="U15" s="159" cm="1">
        <f t="array" ref="U15">RANK(R15,$R$4:$R$26)</f>
      </c>
      <c r="V15" s="160" cm="1">
        <f t="array" ref="V15">RANK(S15,$S$4:$S$26)</f>
      </c>
      <c r="W15" s="213" cm="1">
        <f t="array" ref="W15">RANK(C15,$C$4:$C$26)</f>
      </c>
      <c r="X15" s="212"/>
      <c r="Y15" s="48">
        <v>1</v>
      </c>
      <c r="Z15" s="48">
        <v>0</v>
      </c>
      <c r="AA15" s="158"/>
      <c r="AB15" s="158"/>
      <c r="AC15" s="158"/>
    </row>
    <row r="16" ht="17.25" customHeight="1">
      <c r="A16" t="s" s="8">
        <v>36</v>
      </c>
      <c r="B16" s="208"/>
      <c r="C16" s="206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12"/>
      <c r="Q16" s="13"/>
      <c r="R16" s="13"/>
      <c r="S16" s="15"/>
      <c r="T16" s="153"/>
      <c r="U16" s="159"/>
      <c r="V16" s="160"/>
      <c r="W16" s="213"/>
      <c r="X16" s="212"/>
      <c r="Y16" s="158"/>
      <c r="Z16" s="158"/>
      <c r="AA16" s="158"/>
      <c r="AB16" s="158"/>
      <c r="AC16" s="158"/>
    </row>
    <row r="17" ht="17.25" customHeight="1">
      <c r="A17" t="s" s="8">
        <v>37</v>
      </c>
      <c r="B17" s="208"/>
      <c r="C17" s="206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12" cm="1">
        <f t="array" ref="P17">O17/D17</f>
      </c>
      <c r="Q17" s="13" cm="1">
        <f t="array" ref="Q17">(G17*1+H17*2+I17*3+J17*4)/E17</f>
      </c>
      <c r="R17" s="13" cm="1">
        <f t="array" ref="R17">(F17+N17)/(D17-AA17)</f>
      </c>
      <c r="S17" s="15" cm="1">
        <f t="array" ref="S17">R17+Q17</f>
      </c>
      <c r="T17" s="153" cm="1">
        <f t="array" ref="T17">O17/(D17-(F17+N17))</f>
      </c>
      <c r="U17" s="159" cm="1">
        <f t="array" ref="U17">RANK(R17,$R$4:$R$26)</f>
      </c>
      <c r="V17" s="160" cm="1">
        <f t="array" ref="V17">RANK(S17,$S$4:$S$26)</f>
      </c>
      <c r="W17" s="213" cm="1">
        <f t="array" ref="W17">RANK(C17,$C$4:$C$26)</f>
      </c>
      <c r="X17" s="212"/>
      <c r="Y17" s="48">
        <v>2</v>
      </c>
      <c r="Z17" s="48">
        <v>1</v>
      </c>
      <c r="AA17" s="158"/>
      <c r="AB17" s="48">
        <v>2</v>
      </c>
      <c r="AC17" s="158"/>
    </row>
    <row r="18" ht="17.25" customHeight="1">
      <c r="A18" t="s" s="8">
        <v>38</v>
      </c>
      <c r="B18" s="208"/>
      <c r="C18" s="206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12" cm="1">
        <f t="array" ref="P18">O18/D18</f>
      </c>
      <c r="Q18" s="13" cm="1">
        <f t="array" ref="Q18">(G18*1+H18*2+I18*3+J18*4)/E18</f>
      </c>
      <c r="R18" s="13" cm="1">
        <f t="array" ref="R18">(F18+N18)/(D18-AA18)</f>
      </c>
      <c r="S18" s="15" cm="1">
        <f t="array" ref="S18">R18+Q18</f>
      </c>
      <c r="T18" s="153"/>
      <c r="U18" s="159" cm="1">
        <f t="array" ref="U18">RANK(R18,$R$4:$R$26)</f>
      </c>
      <c r="V18" s="160" cm="1">
        <f t="array" ref="V18">RANK(S18,$S$4:$S$26)</f>
      </c>
      <c r="W18" s="213" cm="1">
        <f t="array" ref="W18">RANK(C18,$C$4:$C$26)</f>
      </c>
      <c r="X18" s="212"/>
      <c r="Y18" s="48">
        <v>3</v>
      </c>
      <c r="Z18" s="48">
        <v>1</v>
      </c>
      <c r="AA18" s="158"/>
      <c r="AB18" s="158"/>
      <c r="AC18" s="158"/>
    </row>
    <row r="19" ht="17.25" customHeight="1">
      <c r="A19" t="s" s="8">
        <v>39</v>
      </c>
      <c r="B19" s="208"/>
      <c r="C19" s="206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12" cm="1">
        <f t="array" ref="P19">O19/D19</f>
      </c>
      <c r="Q19" s="13" cm="1">
        <f t="array" ref="Q19">(G19*1+H19*2+I19*3+J19*4)/E19</f>
      </c>
      <c r="R19" s="13" cm="1">
        <f t="array" ref="R19">(F19+N19)/(D19-AA19)</f>
      </c>
      <c r="S19" s="15" cm="1">
        <f t="array" ref="S19">R19+Q19</f>
      </c>
      <c r="T19" s="153" cm="1">
        <f t="array" ref="T19">O19/(D19-(F19+N19))</f>
      </c>
      <c r="U19" s="159" cm="1">
        <f t="array" ref="U19">RANK(R19,$R$4:$R$26)</f>
      </c>
      <c r="V19" s="160" cm="1">
        <f t="array" ref="V19">RANK(S19,$S$4:$S$26)</f>
      </c>
      <c r="W19" s="213"/>
      <c r="X19" s="212"/>
      <c r="Y19" s="48">
        <v>0</v>
      </c>
      <c r="Z19" s="48">
        <v>1</v>
      </c>
      <c r="AA19" s="158"/>
      <c r="AB19" s="158"/>
      <c r="AC19" s="158"/>
    </row>
    <row r="20" ht="17.25" customHeight="1">
      <c r="A20" t="s" s="8">
        <v>70</v>
      </c>
      <c r="B20" s="208"/>
      <c r="C20" s="206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12" cm="1">
        <f t="array" ref="P20">O20/D20</f>
      </c>
      <c r="Q20" s="13" cm="1">
        <f t="array" ref="Q20">(G20*1+H20*2+I20*3+J20*4)/E20</f>
      </c>
      <c r="R20" s="13" cm="1">
        <f t="array" ref="R20">(F20+N20)/(D20-AA20)</f>
      </c>
      <c r="S20" s="15" cm="1">
        <f t="array" ref="S20">R20+Q20</f>
      </c>
      <c r="T20" s="153" cm="1">
        <f t="array" ref="T20">O20/(D20-(F20+N20))</f>
      </c>
      <c r="U20" s="159" cm="1">
        <f t="array" ref="U20">RANK(R20,$R$4:$R$26)</f>
      </c>
      <c r="V20" s="160" cm="1">
        <f t="array" ref="V20">RANK(S20,$S$4:$S$26)</f>
      </c>
      <c r="W20" s="213" cm="1">
        <f t="array" ref="W20">RANK(C20,$C$4:$C$26)</f>
      </c>
      <c r="X20" s="212"/>
      <c r="Y20" s="48">
        <v>1</v>
      </c>
      <c r="Z20" s="48">
        <v>2</v>
      </c>
      <c r="AA20" s="158"/>
      <c r="AB20" s="158"/>
      <c r="AC20" s="158"/>
    </row>
    <row r="21" ht="17.25" customHeight="1">
      <c r="A21" t="s" s="8">
        <v>40</v>
      </c>
      <c r="B21" s="208"/>
      <c r="C21" s="206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12" cm="1">
        <f t="array" ref="P21">O21/D21</f>
      </c>
      <c r="Q21" s="13" cm="1">
        <f t="array" ref="Q21">(G21*1+H21*2+I21*3+J21*4)/E21</f>
      </c>
      <c r="R21" s="13" cm="1">
        <f t="array" ref="R21">(F21+N21)/(D21-AA21)</f>
      </c>
      <c r="S21" s="15" cm="1">
        <f t="array" ref="S21">R21+Q21</f>
      </c>
      <c r="T21" s="153" cm="1">
        <f t="array" ref="T21">O21/(D21-(F21+N21))</f>
      </c>
      <c r="U21" s="159" cm="1">
        <f t="array" ref="U21">RANK(R21,$R$4:$R$26)</f>
      </c>
      <c r="V21" s="160" cm="1">
        <f t="array" ref="V21">RANK(S21,$S$4:$S$26)</f>
      </c>
      <c r="W21" s="213" cm="1">
        <f t="array" ref="W21">RANK(C21,$C$4:$C$26)</f>
      </c>
      <c r="X21" s="212"/>
      <c r="Y21" s="48">
        <v>1</v>
      </c>
      <c r="Z21" s="48">
        <v>0</v>
      </c>
      <c r="AA21" s="158"/>
      <c r="AB21" s="158"/>
      <c r="AC21" s="158"/>
    </row>
    <row r="22" ht="17.25" customHeight="1">
      <c r="A22" t="s" s="8">
        <v>41</v>
      </c>
      <c r="B22" s="208"/>
      <c r="C22" s="206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12"/>
      <c r="Q22" s="13"/>
      <c r="R22" s="13"/>
      <c r="S22" s="15"/>
      <c r="T22" s="153"/>
      <c r="U22" s="159"/>
      <c r="V22" s="160"/>
      <c r="W22" s="213"/>
      <c r="X22" s="212"/>
      <c r="Y22" s="158"/>
      <c r="Z22" s="158"/>
      <c r="AA22" s="158"/>
      <c r="AB22" s="158"/>
      <c r="AC22" s="158"/>
    </row>
    <row r="23" ht="17.25" customHeight="1">
      <c r="A23" t="s" s="8">
        <v>42</v>
      </c>
      <c r="B23" s="208"/>
      <c r="C23" s="206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12" cm="1">
        <f t="array" ref="P23">O23/D23</f>
      </c>
      <c r="Q23" s="13" cm="1">
        <f t="array" ref="Q23">(G23*1+H23*2+I23*3+J23*4)/E23</f>
      </c>
      <c r="R23" s="13" cm="1">
        <f t="array" ref="R23">(F23+N23)/(D23-AA23)</f>
      </c>
      <c r="S23" s="15" cm="1">
        <f t="array" ref="S23">R23+Q23</f>
      </c>
      <c r="T23" s="153" cm="1">
        <f t="array" ref="T23">O23/(D23-(F23+N23))</f>
      </c>
      <c r="U23" s="159" cm="1">
        <f t="array" ref="U23">RANK(R23,$R$4:$R$26)</f>
      </c>
      <c r="V23" s="160" cm="1">
        <f t="array" ref="V23">RANK(S23,$S$4:$S$26)</f>
      </c>
      <c r="W23" s="213" cm="1">
        <f t="array" ref="W23">RANK(C23,$C$4:$C$26)</f>
      </c>
      <c r="X23" s="212"/>
      <c r="Y23" s="48">
        <v>0</v>
      </c>
      <c r="Z23" s="48">
        <v>0</v>
      </c>
      <c r="AA23" s="158"/>
      <c r="AB23" s="158"/>
      <c r="AC23" s="158"/>
    </row>
    <row r="24" ht="17.25" customHeight="1">
      <c r="A24" t="s" s="8">
        <v>43</v>
      </c>
      <c r="B24" s="208"/>
      <c r="C24" s="206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12" cm="1">
        <f t="array" ref="P24">O24/D24</f>
      </c>
      <c r="Q24" s="13" cm="1">
        <f t="array" ref="Q24">(G24*1+H24*2+I24*3+J24*4)/E24</f>
      </c>
      <c r="R24" s="13" cm="1">
        <f t="array" ref="R24">(F24+N24)/(D24-AA24)</f>
      </c>
      <c r="S24" s="15" cm="1">
        <f t="array" ref="S24">R24+Q24</f>
      </c>
      <c r="T24" s="153" cm="1">
        <f t="array" ref="T24">O24/(D24-(F24+N24))</f>
      </c>
      <c r="U24" s="159" cm="1">
        <f t="array" ref="U24">RANK(R24,$R$4:$R$26)</f>
      </c>
      <c r="V24" s="160" cm="1">
        <f t="array" ref="V24">RANK(S24,$S$4:$S$26)</f>
      </c>
      <c r="W24" s="213" cm="1">
        <f t="array" ref="W24">RANK(C24,$C$4:$C$26)</f>
      </c>
      <c r="X24" s="212"/>
      <c r="Y24" s="48">
        <v>3</v>
      </c>
      <c r="Z24" s="48">
        <v>0</v>
      </c>
      <c r="AA24" s="158"/>
      <c r="AB24" s="158"/>
      <c r="AC24" s="158"/>
    </row>
    <row r="25" ht="17.25" customHeight="1">
      <c r="A25" t="s" s="8">
        <v>71</v>
      </c>
      <c r="B25" s="10">
        <v>1</v>
      </c>
      <c r="C25" s="206"/>
      <c r="D25" s="10">
        <v>2</v>
      </c>
      <c r="E25" s="10">
        <v>2</v>
      </c>
      <c r="F25" s="10">
        <v>1</v>
      </c>
      <c r="G25" s="10" cm="1">
        <f t="array" ref="G25">F25-(H25+I25+J25)</f>
        <v>1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208"/>
      <c r="N25" s="208"/>
      <c r="O25" s="208"/>
      <c r="P25" s="12" cm="1">
        <f t="array" ref="P25">O25/D25</f>
        <v>0</v>
      </c>
      <c r="Q25" s="13" cm="1">
        <f t="array" ref="Q25">(G25*1+H25*2+I25*3+J25*4)/E25</f>
        <v>0.5</v>
      </c>
      <c r="R25" s="13" cm="1">
        <f t="array" ref="R25">(F25+N25)/(D25-AA25)</f>
        <v>0.5</v>
      </c>
      <c r="S25" s="15" cm="1">
        <f t="array" ref="S25">R25+Q25</f>
        <v>1</v>
      </c>
      <c r="T25" s="153" cm="1">
        <f t="array" ref="T25">O25/(D25-(F25+N25))</f>
        <v>0</v>
      </c>
      <c r="U25" s="17" cm="1">
        <f t="array" ref="U25">RANK(R25,$R$4:$R$26)</f>
        <v>1</v>
      </c>
      <c r="V25" s="18" cm="1">
        <f t="array" ref="V25">RANK(S25,$S$4:$S$26)</f>
        <v>1</v>
      </c>
      <c r="W25" s="213" cm="1">
        <f t="array" ref="W25">RANK(C25,$C$4:$C$26)</f>
      </c>
      <c r="X25" s="212"/>
      <c r="Y25" s="48">
        <v>3</v>
      </c>
      <c r="Z25" s="48">
        <v>0</v>
      </c>
      <c r="AA25" s="158"/>
      <c r="AB25" s="158"/>
      <c r="AC25" s="158"/>
    </row>
    <row r="26" ht="17.25" customHeight="1">
      <c r="A26" t="s" s="8">
        <v>44</v>
      </c>
      <c r="B26" s="208"/>
      <c r="C26" s="206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12" cm="1">
        <f t="array" ref="P26">O26/D26</f>
      </c>
      <c r="Q26" s="13" cm="1">
        <f t="array" ref="Q26">(G26*1+H26*2+I26*3+J26*4)/E26</f>
      </c>
      <c r="R26" s="13" cm="1">
        <f t="array" ref="R26">(F26+N26)/(D26-AA26)</f>
      </c>
      <c r="S26" s="15" cm="1">
        <f t="array" ref="S26">R26+Q26</f>
      </c>
      <c r="T26" s="153" cm="1">
        <f t="array" ref="T26">O26/(D26-(F26+N26))</f>
      </c>
      <c r="U26" s="159" cm="1">
        <f t="array" ref="U26">RANK(R26,$R$4:$R$26)</f>
      </c>
      <c r="V26" s="160" cm="1">
        <f t="array" ref="V26">RANK(S26,$S$4:$S$26)</f>
      </c>
      <c r="W26" s="213" cm="1">
        <f t="array" ref="W26">RANK(C26,$C$4:$C$26)</f>
      </c>
      <c r="X26" s="212"/>
      <c r="Y26" s="48">
        <v>1</v>
      </c>
      <c r="Z26" s="48">
        <v>0</v>
      </c>
      <c r="AA26" s="158"/>
      <c r="AB26" s="158"/>
      <c r="AC26" s="48">
        <v>1</v>
      </c>
    </row>
    <row r="27" ht="17.25" customHeight="1">
      <c r="A27" t="s" s="29">
        <v>45</v>
      </c>
      <c r="B27" s="124"/>
      <c r="C27" s="127" cm="1">
        <f t="array" ref="C27">F27/E27</f>
        <v>0.5</v>
      </c>
      <c r="D27" s="49" cm="1">
        <f t="array" ref="D27">SUM(D4:D26)</f>
        <v>2</v>
      </c>
      <c r="E27" s="49" cm="1">
        <f t="array" ref="E27">SUM(E4:E26)</f>
        <v>2</v>
      </c>
      <c r="F27" s="49" cm="1">
        <f t="array" ref="F27">SUM(F4:F26)</f>
        <v>1</v>
      </c>
      <c r="G27" s="49" cm="1">
        <f t="array" ref="G27">SUM(G4:G26)</f>
        <v>1</v>
      </c>
      <c r="H27" s="49" cm="1">
        <f t="array" ref="H27">SUM(H4:H26)</f>
        <v>0</v>
      </c>
      <c r="I27" s="49" cm="1">
        <f t="array" ref="I27">SUM(I4:I26)</f>
        <v>0</v>
      </c>
      <c r="J27" s="49" cm="1">
        <f t="array" ref="J27">SUM(J4:J26)</f>
        <v>0</v>
      </c>
      <c r="K27" s="49" cm="1">
        <f t="array" ref="K27">SUM(K4:K26)</f>
        <v>0</v>
      </c>
      <c r="L27" s="49" cm="1">
        <f t="array" ref="L27">SUM(L4:L26)</f>
        <v>0</v>
      </c>
      <c r="M27" s="49" cm="1">
        <f t="array" ref="M27">SUM(M4:M26)</f>
        <v>0</v>
      </c>
      <c r="N27" s="49" cm="1">
        <f t="array" ref="N27">SUM(N4:N26)</f>
        <v>0</v>
      </c>
      <c r="O27" s="49" cm="1">
        <f t="array" ref="O27">SUM(O4:O26)</f>
        <v>0</v>
      </c>
      <c r="P27" s="33" cm="1">
        <f t="array" ref="P27">O27/D27</f>
        <v>0</v>
      </c>
      <c r="Q27" s="127"/>
      <c r="R27" s="127"/>
      <c r="S27" s="121"/>
      <c r="T27" s="31"/>
      <c r="U27" s="31"/>
      <c r="V27" s="31"/>
      <c r="W27" s="31"/>
      <c r="X27" s="61"/>
      <c r="Y27" s="161" cm="1">
        <f t="array" ref="Y27">SUM(Y4:Y26)</f>
        <v>30</v>
      </c>
      <c r="Z27" s="161" cm="1">
        <f t="array" ref="Z27">SUM(Z4:Z26)</f>
        <v>11</v>
      </c>
      <c r="AA27" s="161" cm="1">
        <f t="array" ref="AA27">SUM(AA4:AA26)</f>
        <v>1</v>
      </c>
      <c r="AB27" s="161" cm="1">
        <f t="array" ref="AB27">SUM(AB4:AB26)</f>
        <v>3</v>
      </c>
      <c r="AC27" s="161" cm="1">
        <f t="array" ref="AC27">SUM(AC4:AC26)</f>
        <v>1</v>
      </c>
    </row>
    <row r="28" ht="17.25" customHeight="1">
      <c r="A28" s="135"/>
      <c r="B28" s="136"/>
      <c r="C28" s="137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7"/>
      <c r="R28" s="137"/>
      <c r="S28" s="138"/>
      <c r="T28" s="34"/>
      <c r="U28" s="34"/>
      <c r="V28" s="34"/>
      <c r="W28" s="34"/>
      <c r="X28" s="3"/>
      <c r="Y28" s="34"/>
      <c r="Z28" s="34"/>
      <c r="AA28" s="34"/>
      <c r="AB28" s="34"/>
      <c r="AC28" s="34"/>
    </row>
    <row r="29" ht="17.25" customHeight="1">
      <c r="A29" t="s" s="139">
        <v>46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6"/>
      <c r="T29" s="6"/>
      <c r="U29" s="6"/>
      <c r="V29" s="6"/>
      <c r="W29" s="6"/>
      <c r="X29" s="3"/>
      <c r="Y29" s="6"/>
      <c r="Z29" s="6"/>
      <c r="AA29" s="3"/>
      <c r="AB29" s="3"/>
      <c r="AC29" s="3"/>
    </row>
    <row r="30" ht="34.5" customHeight="1">
      <c r="A30" t="s" s="8">
        <v>2</v>
      </c>
      <c r="B30" t="s" s="8">
        <v>3</v>
      </c>
      <c r="C30" t="s" s="8">
        <v>47</v>
      </c>
      <c r="D30" t="s" s="8">
        <v>48</v>
      </c>
      <c r="E30" t="s" s="8">
        <v>49</v>
      </c>
      <c r="F30" t="s" s="8">
        <v>50</v>
      </c>
      <c r="G30" t="s" s="8">
        <v>6</v>
      </c>
      <c r="H30" t="s" s="8">
        <v>51</v>
      </c>
      <c r="I30" t="s" s="8">
        <v>52</v>
      </c>
      <c r="J30" t="s" s="8">
        <v>53</v>
      </c>
      <c r="K30" t="s" s="8">
        <v>54</v>
      </c>
      <c r="L30" t="s" s="8">
        <v>55</v>
      </c>
      <c r="M30" t="s" s="8">
        <v>56</v>
      </c>
      <c r="N30" t="s" s="8">
        <v>57</v>
      </c>
      <c r="O30" t="s" s="8">
        <v>58</v>
      </c>
      <c r="P30" t="s" s="8">
        <v>59</v>
      </c>
      <c r="Q30" t="s" s="8">
        <v>60</v>
      </c>
      <c r="R30" t="s" s="8">
        <v>61</v>
      </c>
      <c r="S30" t="s" s="8">
        <v>116</v>
      </c>
      <c r="T30" t="s" s="8">
        <v>63</v>
      </c>
      <c r="U30" t="s" s="8">
        <v>167</v>
      </c>
      <c r="V30" t="s" s="8">
        <v>65</v>
      </c>
      <c r="W30" t="s" s="8">
        <v>117</v>
      </c>
      <c r="X30" s="61"/>
      <c r="Y30" t="s" s="8">
        <v>118</v>
      </c>
      <c r="Z30" t="s" s="8">
        <v>119</v>
      </c>
      <c r="AA30" s="9"/>
      <c r="AB30" s="3"/>
      <c r="AC30" s="3"/>
    </row>
    <row r="31" ht="17.25" customHeight="1">
      <c r="A31" t="s" s="8">
        <v>24</v>
      </c>
      <c r="B31" s="208"/>
      <c r="C31" s="208"/>
      <c r="D31" s="208"/>
      <c r="E31" s="208"/>
      <c r="F31" s="208"/>
      <c r="G31" s="208"/>
      <c r="H31" s="39"/>
      <c r="I31" s="208"/>
      <c r="J31" s="208"/>
      <c r="K31" s="208"/>
      <c r="L31" s="208"/>
      <c r="M31" s="208"/>
      <c r="N31" s="208"/>
      <c r="O31" s="208"/>
      <c r="P31" s="40" cm="1">
        <f t="array" ref="P31">O31*9/H31</f>
      </c>
      <c r="Q31" s="41" cm="1">
        <f t="array" ref="Q31">(K31+L31)/H31</f>
      </c>
      <c r="R31" s="42" cm="1">
        <f t="array" ref="R31">I31/H31</f>
      </c>
      <c r="S31" s="42" cm="1">
        <f t="array" ref="S31">H31/B31</f>
      </c>
      <c r="T31" s="41" cm="1">
        <f t="array" ref="T31">M31/H31</f>
      </c>
      <c r="U31" s="44" cm="1">
        <f t="array" ref="U31">O31/N31</f>
      </c>
      <c r="V31" s="41" cm="1">
        <f t="array" ref="V31">(I31+K31+L31)/H31</f>
      </c>
      <c r="W31" s="170" cm="1">
        <f t="array" ref="W31">(L31+K31)/F31*100</f>
      </c>
      <c r="X31" s="216"/>
      <c r="Y31" s="217"/>
      <c r="Z31" s="217"/>
      <c r="AA31" s="9"/>
      <c r="AB31" s="3"/>
      <c r="AC31" s="3"/>
    </row>
    <row r="32" ht="17.25" customHeight="1">
      <c r="A32" t="s" s="8">
        <v>27</v>
      </c>
      <c r="B32" s="208"/>
      <c r="C32" s="208"/>
      <c r="D32" s="208"/>
      <c r="E32" s="208"/>
      <c r="F32" s="208"/>
      <c r="G32" s="208"/>
      <c r="H32" s="39"/>
      <c r="I32" s="208"/>
      <c r="J32" s="208"/>
      <c r="K32" s="208"/>
      <c r="L32" s="208"/>
      <c r="M32" s="208"/>
      <c r="N32" s="208"/>
      <c r="O32" s="208"/>
      <c r="P32" s="40" cm="1">
        <f t="array" ref="P32">O32*9/H32</f>
      </c>
      <c r="Q32" s="41" cm="1">
        <f t="array" ref="Q32">(K32+L32)/H32</f>
      </c>
      <c r="R32" s="42" cm="1">
        <f t="array" ref="R32">I32/H32</f>
      </c>
      <c r="S32" s="42" cm="1">
        <f t="array" ref="S32">H32/B32</f>
      </c>
      <c r="T32" s="41" cm="1">
        <f t="array" ref="T32">M32/H32</f>
      </c>
      <c r="U32" s="44" cm="1">
        <f t="array" ref="U32">O32/N32</f>
      </c>
      <c r="V32" s="41" cm="1">
        <f t="array" ref="V32">(I32+K32+L32)/H32</f>
      </c>
      <c r="W32" s="170" cm="1">
        <f t="array" ref="W32">(L32+K32)/F32*100</f>
      </c>
      <c r="X32" s="216"/>
      <c r="Y32" s="217"/>
      <c r="Z32" s="217"/>
      <c r="AA32" s="9"/>
      <c r="AB32" s="3"/>
      <c r="AC32" s="3"/>
    </row>
    <row r="33" ht="17.25" customHeight="1">
      <c r="A33" t="s" s="8">
        <v>29</v>
      </c>
      <c r="B33" s="208"/>
      <c r="C33" s="208"/>
      <c r="D33" s="208"/>
      <c r="E33" s="208"/>
      <c r="F33" s="208"/>
      <c r="G33" s="208"/>
      <c r="H33" s="39"/>
      <c r="I33" s="208"/>
      <c r="J33" s="208"/>
      <c r="K33" s="208"/>
      <c r="L33" s="208"/>
      <c r="M33" s="208"/>
      <c r="N33" s="208"/>
      <c r="O33" s="208"/>
      <c r="P33" s="40" cm="1">
        <f t="array" ref="P33">O33*9/H33</f>
      </c>
      <c r="Q33" s="41" cm="1">
        <f t="array" ref="Q33">(K33+L33)/H33</f>
      </c>
      <c r="R33" s="42" cm="1">
        <f t="array" ref="R33">I33/H33</f>
      </c>
      <c r="S33" s="42" cm="1">
        <f t="array" ref="S33">H33/B33</f>
      </c>
      <c r="T33" s="41" cm="1">
        <f t="array" ref="T33">M33/H33</f>
      </c>
      <c r="U33" s="44" cm="1">
        <f t="array" ref="U33">O33/N33</f>
      </c>
      <c r="V33" s="41" cm="1">
        <f t="array" ref="V33">(I33+K33+L33)/H33</f>
      </c>
      <c r="W33" s="170" cm="1">
        <f t="array" ref="W33">(L33+K33)/F33*100</f>
      </c>
      <c r="X33" s="216"/>
      <c r="Y33" s="217"/>
      <c r="Z33" s="217"/>
      <c r="AA33" s="9"/>
      <c r="AB33" s="3"/>
      <c r="AC33" s="3"/>
    </row>
    <row r="34" ht="17.25" customHeight="1">
      <c r="A34" t="s" s="8">
        <v>33</v>
      </c>
      <c r="B34" s="208"/>
      <c r="C34" s="208"/>
      <c r="D34" s="208"/>
      <c r="E34" s="208"/>
      <c r="F34" s="208"/>
      <c r="G34" s="208"/>
      <c r="H34" s="39"/>
      <c r="I34" s="208"/>
      <c r="J34" s="208"/>
      <c r="K34" s="208"/>
      <c r="L34" s="208"/>
      <c r="M34" s="208"/>
      <c r="N34" s="208"/>
      <c r="O34" s="208"/>
      <c r="P34" s="40" cm="1">
        <f t="array" ref="P34">O34*9/H34</f>
      </c>
      <c r="Q34" s="41" cm="1">
        <f t="array" ref="Q34">(K34+L34)/H34</f>
      </c>
      <c r="R34" s="42" cm="1">
        <f t="array" ref="R34">I34/H34</f>
      </c>
      <c r="S34" s="42" cm="1">
        <f t="array" ref="S34">H34/B34</f>
      </c>
      <c r="T34" s="41" cm="1">
        <f t="array" ref="T34">M34/H34</f>
      </c>
      <c r="U34" s="44" cm="1">
        <f t="array" ref="U34">O34/N34</f>
      </c>
      <c r="V34" s="41" cm="1">
        <f t="array" ref="V34">(I34+K34+L34)/H34</f>
      </c>
      <c r="W34" s="170" cm="1">
        <f t="array" ref="W34">(L34+K34)/F34*100</f>
      </c>
      <c r="X34" s="216"/>
      <c r="Y34" s="217"/>
      <c r="Z34" s="217"/>
      <c r="AA34" s="9"/>
      <c r="AB34" s="3"/>
      <c r="AC34" s="3"/>
    </row>
    <row r="35" ht="17.25" customHeight="1">
      <c r="A35" t="s" s="8">
        <v>35</v>
      </c>
      <c r="B35" s="208"/>
      <c r="C35" s="208"/>
      <c r="D35" s="208"/>
      <c r="E35" s="208"/>
      <c r="F35" s="208"/>
      <c r="G35" s="208"/>
      <c r="H35" s="39"/>
      <c r="I35" s="208"/>
      <c r="J35" s="208"/>
      <c r="K35" s="208"/>
      <c r="L35" s="208"/>
      <c r="M35" s="208"/>
      <c r="N35" s="208"/>
      <c r="O35" s="208"/>
      <c r="P35" s="40" cm="1">
        <f t="array" ref="P35">O35*9/H35</f>
      </c>
      <c r="Q35" s="41" cm="1">
        <f t="array" ref="Q35">(K35+L35)/H35</f>
      </c>
      <c r="R35" s="42" cm="1">
        <f t="array" ref="R35">I35/H35</f>
      </c>
      <c r="S35" s="42" cm="1">
        <f t="array" ref="S35">H35/B35</f>
      </c>
      <c r="T35" s="41" cm="1">
        <f t="array" ref="T35">M35/H35</f>
      </c>
      <c r="U35" s="44" cm="1">
        <f t="array" ref="U35">O35/N35</f>
      </c>
      <c r="V35" s="41" cm="1">
        <f t="array" ref="V35">(I35+K35+L35)/H35</f>
      </c>
      <c r="W35" s="170" cm="1">
        <f t="array" ref="W35">(L35+K35)/F35*100</f>
      </c>
      <c r="X35" s="216"/>
      <c r="Y35" s="217"/>
      <c r="Z35" s="217"/>
      <c r="AA35" s="9"/>
      <c r="AB35" s="3"/>
      <c r="AC35" s="3"/>
    </row>
    <row r="36" ht="17.25" customHeight="1">
      <c r="A36" t="s" s="8">
        <v>36</v>
      </c>
      <c r="B36" s="208"/>
      <c r="C36" s="208"/>
      <c r="D36" s="208"/>
      <c r="E36" s="208"/>
      <c r="F36" s="208"/>
      <c r="G36" s="208"/>
      <c r="H36" s="39"/>
      <c r="I36" s="208"/>
      <c r="J36" s="208"/>
      <c r="K36" s="208"/>
      <c r="L36" s="208"/>
      <c r="M36" s="208"/>
      <c r="N36" s="208"/>
      <c r="O36" s="208"/>
      <c r="P36" s="40" cm="1">
        <f t="array" ref="P36">O36*9/H36</f>
      </c>
      <c r="Q36" s="41" cm="1">
        <f t="array" ref="Q36">(K36+L36)/H36</f>
      </c>
      <c r="R36" s="42" cm="1">
        <f t="array" ref="R36">I36/H36</f>
      </c>
      <c r="S36" s="42" cm="1">
        <f t="array" ref="S36">H36/B36</f>
      </c>
      <c r="T36" s="41" cm="1">
        <f t="array" ref="T36">M36/H36</f>
      </c>
      <c r="U36" s="44" cm="1">
        <f t="array" ref="U36">O36/N36</f>
      </c>
      <c r="V36" s="41" cm="1">
        <f t="array" ref="V36">(I36+K36+L36)/H36</f>
      </c>
      <c r="W36" s="170" cm="1">
        <f t="array" ref="W36">(L36+K36)/F36*100</f>
      </c>
      <c r="X36" s="216"/>
      <c r="Y36" s="217"/>
      <c r="Z36" s="217"/>
      <c r="AA36" s="9"/>
      <c r="AB36" s="3"/>
      <c r="AC36" s="3"/>
    </row>
    <row r="37" ht="17.25" customHeight="1">
      <c r="A37" t="s" s="8">
        <v>37</v>
      </c>
      <c r="B37" s="208"/>
      <c r="C37" s="208"/>
      <c r="D37" s="208"/>
      <c r="E37" s="208"/>
      <c r="F37" s="208"/>
      <c r="G37" s="208"/>
      <c r="H37" s="39"/>
      <c r="I37" s="208"/>
      <c r="J37" s="208"/>
      <c r="K37" s="208"/>
      <c r="L37" s="208"/>
      <c r="M37" s="208"/>
      <c r="N37" s="208"/>
      <c r="O37" s="208"/>
      <c r="P37" s="40" cm="1">
        <f t="array" ref="P37">O37*9/H37</f>
      </c>
      <c r="Q37" s="41" cm="1">
        <f t="array" ref="Q37">(K37+L37)/H37</f>
      </c>
      <c r="R37" s="42" cm="1">
        <f t="array" ref="R37">I37/H37</f>
      </c>
      <c r="S37" s="42" cm="1">
        <f t="array" ref="S37">H37/B37</f>
      </c>
      <c r="T37" s="41" cm="1">
        <f t="array" ref="T37">M37/H37</f>
      </c>
      <c r="U37" s="44" cm="1">
        <f t="array" ref="U37">O37/N37</f>
      </c>
      <c r="V37" s="41" cm="1">
        <f t="array" ref="V37">(I37+K37+L37)/H37</f>
      </c>
      <c r="W37" s="170" cm="1">
        <f t="array" ref="W37">(L37+K37)/F37*100</f>
      </c>
      <c r="X37" s="216"/>
      <c r="Y37" s="217"/>
      <c r="Z37" s="217"/>
      <c r="AA37" s="9"/>
      <c r="AB37" s="3"/>
      <c r="AC37" s="3"/>
    </row>
    <row r="38" ht="17.25" customHeight="1">
      <c r="A38" t="s" s="8">
        <v>40</v>
      </c>
      <c r="B38" s="208"/>
      <c r="C38" s="208"/>
      <c r="D38" s="208"/>
      <c r="E38" s="208"/>
      <c r="F38" s="208"/>
      <c r="G38" s="208"/>
      <c r="H38" s="39"/>
      <c r="I38" s="208"/>
      <c r="J38" s="208"/>
      <c r="K38" s="208"/>
      <c r="L38" s="208"/>
      <c r="M38" s="208"/>
      <c r="N38" s="208"/>
      <c r="O38" s="208"/>
      <c r="P38" s="40" cm="1">
        <f t="array" ref="P38">O38*9/H38</f>
      </c>
      <c r="Q38" s="41" cm="1">
        <f t="array" ref="Q38">(K38+L38)/H38</f>
      </c>
      <c r="R38" s="42" cm="1">
        <f t="array" ref="R38">I38/H38</f>
      </c>
      <c r="S38" s="42" cm="1">
        <f t="array" ref="S38">H38/B38</f>
      </c>
      <c r="T38" s="41" cm="1">
        <f t="array" ref="T38">M38/H38</f>
      </c>
      <c r="U38" s="44" cm="1">
        <f t="array" ref="U38">O38/N38</f>
      </c>
      <c r="V38" s="41" cm="1">
        <f t="array" ref="V38">(I38+K38+L38)/H38</f>
      </c>
      <c r="W38" s="170" cm="1">
        <f t="array" ref="W38">(L38+K38)/F38*100</f>
      </c>
      <c r="X38" s="216"/>
      <c r="Y38" s="217"/>
      <c r="Z38" s="217"/>
      <c r="AA38" s="9"/>
      <c r="AB38" s="3"/>
      <c r="AC38" s="3"/>
    </row>
    <row r="39" ht="17.25" customHeight="1">
      <c r="A39" t="s" s="8">
        <v>41</v>
      </c>
      <c r="B39" s="208"/>
      <c r="C39" s="208"/>
      <c r="D39" s="208"/>
      <c r="E39" s="208"/>
      <c r="F39" s="208"/>
      <c r="G39" s="208"/>
      <c r="H39" s="39"/>
      <c r="I39" s="208"/>
      <c r="J39" s="208"/>
      <c r="K39" s="208"/>
      <c r="L39" s="208"/>
      <c r="M39" s="208"/>
      <c r="N39" s="208"/>
      <c r="O39" s="208"/>
      <c r="P39" s="40" cm="1">
        <f t="array" ref="P39">O39*9/H39</f>
      </c>
      <c r="Q39" s="41" cm="1">
        <f t="array" ref="Q39">(K39+L39)/H39</f>
      </c>
      <c r="R39" s="42" cm="1">
        <f t="array" ref="R39">I39/H39</f>
      </c>
      <c r="S39" s="42" cm="1">
        <f t="array" ref="S39">H39/B39</f>
      </c>
      <c r="T39" s="41" cm="1">
        <f t="array" ref="T39">M39/H39</f>
      </c>
      <c r="U39" s="44" cm="1">
        <f t="array" ref="U39">O39/N39</f>
      </c>
      <c r="V39" s="41" cm="1">
        <f t="array" ref="V39">(I39+K39+L39)/H39</f>
      </c>
      <c r="W39" s="170" cm="1">
        <f t="array" ref="W39">(L39+K39)/F39*100</f>
      </c>
      <c r="X39" s="216"/>
      <c r="Y39" s="217"/>
      <c r="Z39" s="217"/>
      <c r="AA39" s="9"/>
      <c r="AB39" s="3"/>
      <c r="AC39" s="3"/>
    </row>
    <row r="40" ht="17.25" customHeight="1">
      <c r="A40" t="s" s="8">
        <v>42</v>
      </c>
      <c r="B40" s="208"/>
      <c r="C40" s="208"/>
      <c r="D40" s="208"/>
      <c r="E40" s="208"/>
      <c r="F40" s="208"/>
      <c r="G40" s="208"/>
      <c r="H40" s="39"/>
      <c r="I40" s="208"/>
      <c r="J40" s="208"/>
      <c r="K40" s="208"/>
      <c r="L40" s="208"/>
      <c r="M40" s="208"/>
      <c r="N40" s="208"/>
      <c r="O40" s="208"/>
      <c r="P40" s="40" cm="1">
        <f t="array" ref="P40">O40*9/H40</f>
      </c>
      <c r="Q40" s="41" cm="1">
        <f t="array" ref="Q40">(K40+L40)/H40</f>
      </c>
      <c r="R40" s="42" cm="1">
        <f t="array" ref="R40">I40/H40</f>
      </c>
      <c r="S40" s="42" cm="1">
        <f t="array" ref="S40">H40/B40</f>
      </c>
      <c r="T40" s="41" cm="1">
        <f t="array" ref="T40">M40/H40</f>
      </c>
      <c r="U40" s="44" cm="1">
        <f t="array" ref="U40">O40/N40</f>
      </c>
      <c r="V40" s="41" cm="1">
        <f t="array" ref="V40">(I40+K40+L40)/H40</f>
      </c>
      <c r="W40" s="170" cm="1">
        <f t="array" ref="W40">(L40+K40)/F40*100</f>
      </c>
      <c r="X40" s="216"/>
      <c r="Y40" s="217"/>
      <c r="Z40" s="217"/>
      <c r="AA40" s="9"/>
      <c r="AB40" s="3"/>
      <c r="AC40" s="3"/>
    </row>
    <row r="41" ht="17.25" customHeight="1">
      <c r="A41" t="s" s="8">
        <v>43</v>
      </c>
      <c r="B41" s="208"/>
      <c r="C41" s="208"/>
      <c r="D41" s="208"/>
      <c r="E41" s="208"/>
      <c r="F41" s="208"/>
      <c r="G41" s="208"/>
      <c r="H41" s="39"/>
      <c r="I41" s="208"/>
      <c r="J41" s="208"/>
      <c r="K41" s="208"/>
      <c r="L41" s="208"/>
      <c r="M41" s="208"/>
      <c r="N41" s="208"/>
      <c r="O41" s="208"/>
      <c r="P41" s="40" cm="1">
        <f t="array" ref="P41">O41*9/H41</f>
      </c>
      <c r="Q41" s="41" cm="1">
        <f t="array" ref="Q41">(K41+L41)/H41</f>
      </c>
      <c r="R41" s="42" cm="1">
        <f t="array" ref="R41">I41/H41</f>
      </c>
      <c r="S41" s="42" cm="1">
        <f t="array" ref="S41">H41/B41</f>
      </c>
      <c r="T41" s="41" cm="1">
        <f t="array" ref="T41">M41/H41</f>
      </c>
      <c r="U41" s="44" cm="1">
        <f t="array" ref="U41">O41/N41</f>
      </c>
      <c r="V41" s="41" cm="1">
        <f t="array" ref="V41">(I41+K41+L41)/H41</f>
      </c>
      <c r="W41" s="170" cm="1">
        <f t="array" ref="W41">(L41+K41)/F41*100</f>
      </c>
      <c r="X41" s="216"/>
      <c r="Y41" s="220">
        <v>2</v>
      </c>
      <c r="Z41" s="217"/>
      <c r="AA41" s="9"/>
      <c r="AB41" s="3"/>
      <c r="AC41" s="3"/>
    </row>
    <row r="42" ht="17.25" customHeight="1">
      <c r="A42" t="s" s="29">
        <v>45</v>
      </c>
      <c r="B42" s="124"/>
      <c r="C42" s="49" cm="1">
        <f t="array" ref="C42">SUM(C31:C41)</f>
        <v>0</v>
      </c>
      <c r="D42" s="49" cm="1">
        <f t="array" ref="D42">SUM(D31:D41)</f>
        <v>0</v>
      </c>
      <c r="E42" s="49" cm="1">
        <f t="array" ref="E42">SUM(E31:E41)</f>
        <v>0</v>
      </c>
      <c r="F42" s="49" cm="1">
        <f t="array" ref="F42">SUM(F31:F41)</f>
        <v>0</v>
      </c>
      <c r="G42" s="49" cm="1">
        <f t="array" ref="G42">SUM(G31:G41)</f>
        <v>0</v>
      </c>
      <c r="H42" s="50" cm="1">
        <f t="array" ref="H42">SUM(H31:H41)</f>
        <v>0</v>
      </c>
      <c r="I42" s="49" cm="1">
        <f t="array" ref="I42">SUM(I31:I41)</f>
        <v>0</v>
      </c>
      <c r="J42" s="49" cm="1">
        <f t="array" ref="J42">SUM(J31:J41)</f>
        <v>0</v>
      </c>
      <c r="K42" s="49" cm="1">
        <f t="array" ref="K42">SUM(K31:K41)</f>
        <v>0</v>
      </c>
      <c r="L42" s="49" cm="1">
        <f t="array" ref="L42">SUM(L31:L41)</f>
        <v>0</v>
      </c>
      <c r="M42" s="49" cm="1">
        <f t="array" ref="M42">SUM(M31:M41)</f>
        <v>0</v>
      </c>
      <c r="N42" s="49" cm="1">
        <f t="array" ref="N42">SUM(N31:N41)</f>
        <v>0</v>
      </c>
      <c r="O42" s="49" cm="1">
        <f t="array" ref="O42">SUM(O31:O41)</f>
        <v>0</v>
      </c>
      <c r="P42" s="51" cm="1">
        <f t="array" ref="P42">O42*9/H42</f>
      </c>
      <c r="Q42" s="52" cm="1">
        <f t="array" ref="Q42">(K42+L42)/H42</f>
      </c>
      <c r="R42" s="53" cm="1">
        <f t="array" ref="R42">I42/H42</f>
      </c>
      <c r="S42" s="53" cm="1">
        <f t="array" ref="S42">H42/B42</f>
      </c>
      <c r="T42" s="52" cm="1">
        <f t="array" ref="T42">M42/H42</f>
      </c>
      <c r="U42" s="55" cm="1">
        <f t="array" ref="U42">O42/N42</f>
      </c>
      <c r="V42" s="52" cm="1">
        <f t="array" ref="V42">(I42+K42+L42)/H42</f>
      </c>
      <c r="W42" s="52"/>
      <c r="X42" s="216"/>
      <c r="Y42" s="49" cm="1">
        <f t="array" ref="Y42">SUM(Y31:Y41)</f>
        <v>2</v>
      </c>
      <c r="Z42" s="49" cm="1">
        <f t="array" ref="Z42">SUM(Z31:Z41)</f>
        <v>0</v>
      </c>
      <c r="AA42" s="9"/>
      <c r="AB42" s="3"/>
      <c r="AC42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dimension ref="A1:X37"/>
  <sheetViews>
    <sheetView workbookViewId="0" showGridLines="0" defaultGridColor="1"/>
  </sheetViews>
  <sheetFormatPr defaultColWidth="9" defaultRowHeight="16.5" customHeight="1" outlineLevelRow="0" outlineLevelCol="0"/>
  <cols>
    <col min="1" max="13" width="8.17188" style="223" customWidth="1"/>
    <col min="14" max="24" width="9" style="223" customWidth="1"/>
    <col min="25" max="16384" width="9" style="223" customWidth="1"/>
  </cols>
  <sheetData>
    <row r="1" ht="26.25" customHeight="1">
      <c r="A1" t="s" s="2">
        <v>173</v>
      </c>
      <c r="B1" s="118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3"/>
      <c r="V2" s="3"/>
      <c r="W2" s="3"/>
      <c r="X2" s="3"/>
    </row>
    <row r="3" ht="34.5" customHeight="1">
      <c r="A3" t="s" s="8">
        <v>2</v>
      </c>
      <c r="B3" t="s" s="8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18</v>
      </c>
      <c r="Q3" t="s" s="8">
        <v>19</v>
      </c>
      <c r="R3" t="s" s="8">
        <v>20</v>
      </c>
      <c r="S3" t="s" s="8">
        <v>23</v>
      </c>
      <c r="T3" t="s" s="8">
        <v>22</v>
      </c>
      <c r="U3" s="9"/>
      <c r="V3" s="3"/>
      <c r="W3" s="3"/>
      <c r="X3" s="3"/>
    </row>
    <row r="4" ht="17.25" customHeight="1">
      <c r="A4" t="s" s="8">
        <v>24</v>
      </c>
      <c r="B4" s="10">
        <v>2</v>
      </c>
      <c r="C4" s="119" cm="1">
        <f t="array" ref="C4">F4/E4</f>
        <v>0</v>
      </c>
      <c r="D4" s="10">
        <v>1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3" cm="1">
        <f t="array" ref="P4">(G4*1+H4*2+I4*3+J4*4)/E4</f>
        <v>0</v>
      </c>
      <c r="Q4" s="13">
        <v>0</v>
      </c>
      <c r="R4" s="15" cm="1">
        <f t="array" ref="R4">Q4+P4</f>
        <v>0</v>
      </c>
      <c r="S4" s="18" cm="1">
        <f t="array" ref="S4">RANK(R4,$R$4:$R$24)</f>
        <v>15</v>
      </c>
      <c r="T4" s="224" cm="1">
        <f t="array" ref="T4">RANK(C4,$C$4:$C$24)</f>
        <v>14</v>
      </c>
      <c r="U4" s="9"/>
      <c r="V4" s="3"/>
      <c r="W4" s="3"/>
      <c r="X4" s="3"/>
    </row>
    <row r="5" ht="17.25" customHeight="1">
      <c r="A5" t="s" s="8">
        <v>25</v>
      </c>
      <c r="B5" s="10">
        <v>6</v>
      </c>
      <c r="C5" s="119" cm="1">
        <f t="array" ref="C5">F5/E5</f>
        <v>0</v>
      </c>
      <c r="D5" s="10">
        <v>11</v>
      </c>
      <c r="E5" s="10">
        <v>3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2</v>
      </c>
      <c r="L5" s="10">
        <v>1</v>
      </c>
      <c r="M5" s="10">
        <v>2</v>
      </c>
      <c r="N5" s="10">
        <v>8</v>
      </c>
      <c r="O5" s="10">
        <v>3</v>
      </c>
      <c r="P5" s="13" cm="1">
        <f t="array" ref="P5">(G5*1+H5*2+I5*3+J5*4)/E5</f>
        <v>0</v>
      </c>
      <c r="Q5" s="13" cm="1">
        <f t="array" ref="Q5">(F5+N5)/D5</f>
        <v>0.727272727272727</v>
      </c>
      <c r="R5" s="15" cm="1">
        <f t="array" ref="R5">Q5+P5</f>
        <v>0.727272727272727</v>
      </c>
      <c r="S5" s="18" cm="1">
        <f t="array" ref="S5">RANK(R5,$R$4:$R$24)</f>
        <v>14</v>
      </c>
      <c r="T5" s="224" cm="1">
        <f t="array" ref="T5">RANK(C5,$C$4:$C$24)</f>
        <v>14</v>
      </c>
      <c r="U5" s="9"/>
      <c r="V5" s="3"/>
      <c r="W5" s="3"/>
      <c r="X5" s="3"/>
    </row>
    <row r="6" ht="17.25" customHeight="1">
      <c r="A6" t="s" s="8">
        <v>26</v>
      </c>
      <c r="B6" s="10">
        <v>9</v>
      </c>
      <c r="C6" s="119" cm="1">
        <f t="array" ref="C6">F6/E6</f>
        <v>0.75</v>
      </c>
      <c r="D6" s="10">
        <v>28</v>
      </c>
      <c r="E6" s="10">
        <v>20</v>
      </c>
      <c r="F6" s="10">
        <v>15</v>
      </c>
      <c r="G6" s="10">
        <v>10</v>
      </c>
      <c r="H6" s="10">
        <v>4</v>
      </c>
      <c r="I6" s="10">
        <v>1</v>
      </c>
      <c r="J6" s="10">
        <v>0</v>
      </c>
      <c r="K6" s="10">
        <v>14</v>
      </c>
      <c r="L6" s="10">
        <v>11</v>
      </c>
      <c r="M6" s="10">
        <v>11</v>
      </c>
      <c r="N6" s="10">
        <v>8</v>
      </c>
      <c r="O6" s="10">
        <v>1</v>
      </c>
      <c r="P6" s="13" cm="1">
        <f t="array" ref="P6">(G6*1+H6*2+I6*3+J6*4)/E6</f>
        <v>1.05</v>
      </c>
      <c r="Q6" s="13" cm="1">
        <f t="array" ref="Q6">(F6+N6)/D6</f>
        <v>0.821428571428571</v>
      </c>
      <c r="R6" s="15" cm="1">
        <f t="array" ref="R6">Q6+P6</f>
        <v>1.87142857142857</v>
      </c>
      <c r="S6" s="18" cm="1">
        <f t="array" ref="S6">RANK(R6,$R$4:$R$24)</f>
        <v>1</v>
      </c>
      <c r="T6" s="224" cm="1">
        <f t="array" ref="T6">RANK(C6,$C$4:$C$24)</f>
        <v>1</v>
      </c>
      <c r="U6" s="9"/>
      <c r="V6" s="3"/>
      <c r="W6" s="3"/>
      <c r="X6" s="3"/>
    </row>
    <row r="7" ht="17.25" customHeight="1">
      <c r="A7" t="s" s="8">
        <v>27</v>
      </c>
      <c r="B7" s="10">
        <v>0</v>
      </c>
      <c r="C7" s="119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3">
        <v>0</v>
      </c>
      <c r="Q7" s="13">
        <v>0</v>
      </c>
      <c r="R7" s="15" cm="1">
        <f t="array" ref="R7">Q7+P7</f>
        <v>0</v>
      </c>
      <c r="S7" s="18" cm="1">
        <f t="array" ref="S7">RANK(R7,$R$4:$R$24)</f>
        <v>15</v>
      </c>
      <c r="T7" s="224" cm="1">
        <f t="array" ref="T7">RANK(C7,$C$4:$C$24)</f>
        <v>14</v>
      </c>
      <c r="U7" s="9"/>
      <c r="V7" s="3"/>
      <c r="W7" s="3"/>
      <c r="X7" s="3"/>
    </row>
    <row r="8" ht="17.25" customHeight="1">
      <c r="A8" t="s" s="8">
        <v>28</v>
      </c>
      <c r="B8" s="10">
        <v>9</v>
      </c>
      <c r="C8" s="119" cm="1">
        <f t="array" ref="C8">F8/E8</f>
        <v>0.45</v>
      </c>
      <c r="D8" s="10">
        <v>22</v>
      </c>
      <c r="E8" s="10">
        <v>20</v>
      </c>
      <c r="F8" s="10">
        <v>9</v>
      </c>
      <c r="G8" s="10">
        <v>6</v>
      </c>
      <c r="H8" s="10">
        <v>3</v>
      </c>
      <c r="I8" s="10">
        <v>0</v>
      </c>
      <c r="J8" s="10">
        <v>0</v>
      </c>
      <c r="K8" s="10">
        <v>8</v>
      </c>
      <c r="L8" s="10">
        <v>9</v>
      </c>
      <c r="M8" s="10">
        <v>6</v>
      </c>
      <c r="N8" s="10">
        <v>2</v>
      </c>
      <c r="O8" s="10">
        <v>4</v>
      </c>
      <c r="P8" s="13" cm="1">
        <f t="array" ref="P8">(G8*1+H8*2+I8*3+J8*4)/E8</f>
        <v>0.6</v>
      </c>
      <c r="Q8" s="13" cm="1">
        <f t="array" ref="Q8">(F8+N8)/D8</f>
        <v>0.5</v>
      </c>
      <c r="R8" s="15" cm="1">
        <f t="array" ref="R8">Q8+P8</f>
        <v>1.1</v>
      </c>
      <c r="S8" s="18" cm="1">
        <f t="array" ref="S8">RANK(R8,$R$4:$R$24)</f>
        <v>6</v>
      </c>
      <c r="T8" s="224" cm="1">
        <f t="array" ref="T8">RANK(C8,$C$4:$C$24)</f>
        <v>4</v>
      </c>
      <c r="U8" s="9"/>
      <c r="V8" s="3"/>
      <c r="W8" s="3"/>
      <c r="X8" s="3"/>
    </row>
    <row r="9" ht="17.25" customHeight="1">
      <c r="A9" t="s" s="8">
        <v>29</v>
      </c>
      <c r="B9" s="10">
        <v>5</v>
      </c>
      <c r="C9" s="119" cm="1">
        <f t="array" ref="C9">F9/E9</f>
        <v>0.333333333333333</v>
      </c>
      <c r="D9" s="10">
        <v>13</v>
      </c>
      <c r="E9" s="10">
        <v>12</v>
      </c>
      <c r="F9" s="10">
        <v>4</v>
      </c>
      <c r="G9" s="10">
        <v>3</v>
      </c>
      <c r="H9" s="10">
        <v>1</v>
      </c>
      <c r="I9" s="10">
        <v>0</v>
      </c>
      <c r="J9" s="10">
        <v>0</v>
      </c>
      <c r="K9" s="10">
        <v>2</v>
      </c>
      <c r="L9" s="10">
        <v>1</v>
      </c>
      <c r="M9" s="10">
        <v>2</v>
      </c>
      <c r="N9" s="10">
        <v>1</v>
      </c>
      <c r="O9" s="10">
        <v>4</v>
      </c>
      <c r="P9" s="13" cm="1">
        <f t="array" ref="P9">(G9*1+H9*2+I9*3+J9*4)/E9</f>
        <v>0.416666666666667</v>
      </c>
      <c r="Q9" s="13" cm="1">
        <f t="array" ref="Q9">(F9+N9)/D9</f>
        <v>0.384615384615385</v>
      </c>
      <c r="R9" s="15" cm="1">
        <f t="array" ref="R9">Q9+P9</f>
        <v>0.801282051282052</v>
      </c>
      <c r="S9" s="18" cm="1">
        <f t="array" ref="S9">RANK(R9,$R$4:$R$24)</f>
        <v>12</v>
      </c>
      <c r="T9" s="224" cm="1">
        <f t="array" ref="T9">RANK(C9,$C$4:$C$24)</f>
        <v>9</v>
      </c>
      <c r="U9" s="9"/>
      <c r="V9" s="3"/>
      <c r="W9" s="3"/>
      <c r="X9" s="3"/>
    </row>
    <row r="10" ht="17.25" customHeight="1">
      <c r="A10" t="s" s="8">
        <v>30</v>
      </c>
      <c r="B10" s="10">
        <v>9</v>
      </c>
      <c r="C10" s="119" cm="1">
        <f t="array" ref="C10">F10/E10</f>
        <v>0.357142857142857</v>
      </c>
      <c r="D10" s="10">
        <v>31</v>
      </c>
      <c r="E10" s="10">
        <v>28</v>
      </c>
      <c r="F10" s="10">
        <v>10</v>
      </c>
      <c r="G10" s="10">
        <v>6</v>
      </c>
      <c r="H10" s="10">
        <v>3</v>
      </c>
      <c r="I10" s="10">
        <v>1</v>
      </c>
      <c r="J10" s="10">
        <v>0</v>
      </c>
      <c r="K10" s="10">
        <v>7</v>
      </c>
      <c r="L10" s="10">
        <v>8</v>
      </c>
      <c r="M10" s="10">
        <v>5</v>
      </c>
      <c r="N10" s="10">
        <v>3</v>
      </c>
      <c r="O10" s="10">
        <v>5</v>
      </c>
      <c r="P10" s="13" cm="1">
        <f t="array" ref="P10">(G10*1+H10*2+I10*3+J10*4)/E10</f>
        <v>0.535714285714286</v>
      </c>
      <c r="Q10" s="13" cm="1">
        <f t="array" ref="Q10">(F10+N10)/D10</f>
        <v>0.419354838709677</v>
      </c>
      <c r="R10" s="15" cm="1">
        <f t="array" ref="R10">Q10+P10</f>
        <v>0.955069124423963</v>
      </c>
      <c r="S10" s="18" cm="1">
        <f t="array" ref="S10">RANK(R10,$R$4:$R$24)</f>
        <v>8</v>
      </c>
      <c r="T10" s="224" cm="1">
        <f t="array" ref="T10">RANK(C10,$C$4:$C$24)</f>
        <v>8</v>
      </c>
      <c r="U10" s="9"/>
      <c r="V10" s="3"/>
      <c r="W10" s="3"/>
      <c r="X10" s="3"/>
    </row>
    <row r="11" ht="17.25" customHeight="1">
      <c r="A11" t="s" s="8">
        <v>31</v>
      </c>
      <c r="B11" s="10">
        <v>5</v>
      </c>
      <c r="C11" s="119" cm="1">
        <f t="array" ref="C11">F11/E11</f>
        <v>0.363636363636364</v>
      </c>
      <c r="D11" s="10">
        <v>13</v>
      </c>
      <c r="E11" s="10">
        <v>11</v>
      </c>
      <c r="F11" s="10">
        <v>4</v>
      </c>
      <c r="G11" s="10">
        <v>4</v>
      </c>
      <c r="H11" s="10">
        <v>0</v>
      </c>
      <c r="I11" s="10">
        <v>0</v>
      </c>
      <c r="J11" s="10">
        <v>0</v>
      </c>
      <c r="K11" s="10">
        <v>4</v>
      </c>
      <c r="L11" s="10">
        <v>5</v>
      </c>
      <c r="M11" s="10">
        <v>3</v>
      </c>
      <c r="N11" s="10">
        <v>2</v>
      </c>
      <c r="O11" s="10">
        <v>4</v>
      </c>
      <c r="P11" s="13" cm="1">
        <f t="array" ref="P11">(G11*1+H11*2+I11*3+J11*4)/E11</f>
        <v>0.363636363636364</v>
      </c>
      <c r="Q11" s="13" cm="1">
        <f t="array" ref="Q11">(F11+N11)/D11</f>
        <v>0.461538461538462</v>
      </c>
      <c r="R11" s="15" cm="1">
        <f t="array" ref="R11">Q11+P11</f>
        <v>0.825174825174826</v>
      </c>
      <c r="S11" s="18" cm="1">
        <f t="array" ref="S11">RANK(R11,$R$4:$R$24)</f>
        <v>11</v>
      </c>
      <c r="T11" s="224" cm="1">
        <f t="array" ref="T11">RANK(C11,$C$4:$C$24)</f>
        <v>7</v>
      </c>
      <c r="U11" s="9"/>
      <c r="V11" s="3"/>
      <c r="W11" s="3"/>
      <c r="X11" s="3"/>
    </row>
    <row r="12" ht="17.25" customHeight="1">
      <c r="A12" t="s" s="8">
        <v>32</v>
      </c>
      <c r="B12" s="10">
        <v>0</v>
      </c>
      <c r="C12" s="119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3">
        <v>0</v>
      </c>
      <c r="Q12" s="13">
        <v>0</v>
      </c>
      <c r="R12" s="15" cm="1">
        <f t="array" ref="R12">Q12+P12</f>
        <v>0</v>
      </c>
      <c r="S12" s="18" cm="1">
        <f t="array" ref="S12">RANK(R12,$R$4:$R$24)</f>
        <v>15</v>
      </c>
      <c r="T12" s="224" cm="1">
        <f t="array" ref="T12">RANK(C12,$C$4:$C$24)</f>
        <v>14</v>
      </c>
      <c r="U12" s="9"/>
      <c r="V12" s="3"/>
      <c r="W12" s="3"/>
      <c r="X12" s="3"/>
    </row>
    <row r="13" ht="17.25" customHeight="1">
      <c r="A13" t="s" s="8">
        <v>33</v>
      </c>
      <c r="B13" s="10">
        <v>4</v>
      </c>
      <c r="C13" s="119" cm="1">
        <f t="array" ref="C13">F13/E13</f>
        <v>0.25</v>
      </c>
      <c r="D13" s="10">
        <v>6</v>
      </c>
      <c r="E13" s="10">
        <v>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>
        <v>3</v>
      </c>
      <c r="M13" s="10">
        <v>0</v>
      </c>
      <c r="N13" s="10">
        <v>2</v>
      </c>
      <c r="O13" s="10">
        <v>1</v>
      </c>
      <c r="P13" s="13" cm="1">
        <f t="array" ref="P13">(G13*1+H13*2+I13*3+J13*4)/E13</f>
        <v>1</v>
      </c>
      <c r="Q13" s="13" cm="1">
        <f t="array" ref="Q13">(F13+N13)/D13</f>
        <v>0.5</v>
      </c>
      <c r="R13" s="15" cm="1">
        <f t="array" ref="R13">Q13+P13</f>
        <v>1.5</v>
      </c>
      <c r="S13" s="18" cm="1">
        <f t="array" ref="S13">RANK(R13,$R$4:$R$24)</f>
        <v>2</v>
      </c>
      <c r="T13" s="224" cm="1">
        <f t="array" ref="T13">RANK(C13,$C$4:$C$24)</f>
        <v>12</v>
      </c>
      <c r="U13" s="9"/>
      <c r="V13" s="3"/>
      <c r="W13" s="3"/>
      <c r="X13" s="3"/>
    </row>
    <row r="14" ht="17.25" customHeight="1">
      <c r="A14" t="s" s="8">
        <v>34</v>
      </c>
      <c r="B14" s="10">
        <v>7</v>
      </c>
      <c r="C14" s="119" cm="1">
        <f t="array" ref="C14">F14/E14</f>
        <v>0.285714285714286</v>
      </c>
      <c r="D14" s="10">
        <v>17</v>
      </c>
      <c r="E14" s="10">
        <v>14</v>
      </c>
      <c r="F14" s="10">
        <v>4</v>
      </c>
      <c r="G14" s="10">
        <v>3</v>
      </c>
      <c r="H14" s="10">
        <v>0</v>
      </c>
      <c r="I14" s="10">
        <v>1</v>
      </c>
      <c r="J14" s="10">
        <v>0</v>
      </c>
      <c r="K14" s="10">
        <v>6</v>
      </c>
      <c r="L14" s="10">
        <v>1</v>
      </c>
      <c r="M14" s="10">
        <v>3</v>
      </c>
      <c r="N14" s="10">
        <v>3</v>
      </c>
      <c r="O14" s="10">
        <v>5</v>
      </c>
      <c r="P14" s="13" cm="1">
        <f t="array" ref="P14">(G14*1+H14*2+I14*3+J14*4)/E14</f>
        <v>0.428571428571429</v>
      </c>
      <c r="Q14" s="13" cm="1">
        <f t="array" ref="Q14">(F14+N14)/D14</f>
        <v>0.411764705882353</v>
      </c>
      <c r="R14" s="15" cm="1">
        <f t="array" ref="R14">Q14+P14</f>
        <v>0.840336134453782</v>
      </c>
      <c r="S14" s="18" cm="1">
        <f t="array" ref="S14">RANK(R14,$R$4:$R$24)</f>
        <v>10</v>
      </c>
      <c r="T14" s="224" cm="1">
        <f t="array" ref="T14">RANK(C14,$C$4:$C$24)</f>
        <v>11</v>
      </c>
      <c r="U14" s="9"/>
      <c r="V14" s="3"/>
      <c r="W14" s="3"/>
      <c r="X14" s="3"/>
    </row>
    <row r="15" ht="17.25" customHeight="1">
      <c r="A15" t="s" s="8">
        <v>35</v>
      </c>
      <c r="B15" s="10">
        <v>0</v>
      </c>
      <c r="C15" s="119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3">
        <v>0</v>
      </c>
      <c r="Q15" s="13">
        <v>0</v>
      </c>
      <c r="R15" s="15" cm="1">
        <f t="array" ref="R15">Q15+P15</f>
        <v>0</v>
      </c>
      <c r="S15" s="18" cm="1">
        <f t="array" ref="S15">RANK(R15,$R$4:$R$24)</f>
        <v>15</v>
      </c>
      <c r="T15" s="224" cm="1">
        <f t="array" ref="T15">RANK(C15,$C$4:$C$24)</f>
        <v>14</v>
      </c>
      <c r="U15" s="9"/>
      <c r="V15" s="3"/>
      <c r="W15" s="3"/>
      <c r="X15" s="3"/>
    </row>
    <row r="16" ht="17.25" customHeight="1">
      <c r="A16" t="s" s="8">
        <v>36</v>
      </c>
      <c r="B16" s="10">
        <v>6</v>
      </c>
      <c r="C16" s="119" cm="1">
        <f t="array" ref="C16">F16/E16</f>
        <v>0.428571428571429</v>
      </c>
      <c r="D16" s="10">
        <v>9</v>
      </c>
      <c r="E16" s="10">
        <v>7</v>
      </c>
      <c r="F16" s="10">
        <v>3</v>
      </c>
      <c r="G16" s="10">
        <v>2</v>
      </c>
      <c r="H16" s="10">
        <v>1</v>
      </c>
      <c r="I16" s="10">
        <v>0</v>
      </c>
      <c r="J16" s="10">
        <v>0</v>
      </c>
      <c r="K16" s="10">
        <v>1</v>
      </c>
      <c r="L16" s="10">
        <v>3</v>
      </c>
      <c r="M16" s="10">
        <v>2</v>
      </c>
      <c r="N16" s="10">
        <v>2</v>
      </c>
      <c r="O16" s="10">
        <v>1</v>
      </c>
      <c r="P16" s="13" cm="1">
        <f t="array" ref="P16">(G16*1+H16*2+I16*3+J16*4)/E16</f>
        <v>0.571428571428571</v>
      </c>
      <c r="Q16" s="13" cm="1">
        <f t="array" ref="Q16">(F16+N16)/D16</f>
        <v>0.555555555555556</v>
      </c>
      <c r="R16" s="15" cm="1">
        <f t="array" ref="R16">Q16+P16</f>
        <v>1.12698412698413</v>
      </c>
      <c r="S16" s="18" cm="1">
        <f t="array" ref="S16">RANK(R16,$R$4:$R$24)</f>
        <v>5</v>
      </c>
      <c r="T16" s="224" cm="1">
        <f t="array" ref="T16">RANK(C16,$C$4:$C$24)</f>
        <v>5</v>
      </c>
      <c r="U16" s="9"/>
      <c r="V16" s="3"/>
      <c r="W16" s="3"/>
      <c r="X16" s="3"/>
    </row>
    <row r="17" ht="17.25" customHeight="1">
      <c r="A17" t="s" s="8">
        <v>37</v>
      </c>
      <c r="B17" s="10">
        <v>0</v>
      </c>
      <c r="C17" s="119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3">
        <v>0</v>
      </c>
      <c r="Q17" s="13">
        <v>0</v>
      </c>
      <c r="R17" s="15" cm="1">
        <f t="array" ref="R17">Q17+P17</f>
        <v>0</v>
      </c>
      <c r="S17" s="18" cm="1">
        <f t="array" ref="S17">RANK(R17,$R$4:$R$24)</f>
        <v>15</v>
      </c>
      <c r="T17" s="224" cm="1">
        <f t="array" ref="T17">RANK(C17,$C$4:$C$24)</f>
        <v>14</v>
      </c>
      <c r="U17" s="9"/>
      <c r="V17" s="3"/>
      <c r="W17" s="3"/>
      <c r="X17" s="3"/>
    </row>
    <row r="18" ht="17.25" customHeight="1">
      <c r="A18" t="s" s="8">
        <v>38</v>
      </c>
      <c r="B18" s="10">
        <v>1</v>
      </c>
      <c r="C18" s="119" cm="1">
        <f t="array" ref="C18">F18/E18</f>
        <v>0</v>
      </c>
      <c r="D18" s="10">
        <v>1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3" cm="1">
        <f t="array" ref="P18">(G18*1+H18*2+I18*3+J18*4)/E18</f>
        <v>0</v>
      </c>
      <c r="Q18" s="13" cm="1">
        <f t="array" ref="Q18">(F18+N18)/D18</f>
        <v>0</v>
      </c>
      <c r="R18" s="15" cm="1">
        <f t="array" ref="R18">Q18+P18</f>
        <v>0</v>
      </c>
      <c r="S18" s="18" cm="1">
        <f t="array" ref="S18">RANK(R18,$R$4:$R$24)</f>
        <v>15</v>
      </c>
      <c r="T18" s="224" cm="1">
        <f t="array" ref="T18">RANK(C18,$C$4:$C$24)</f>
        <v>14</v>
      </c>
      <c r="U18" s="9"/>
      <c r="V18" s="3"/>
      <c r="W18" s="3"/>
      <c r="X18" s="3"/>
    </row>
    <row r="19" ht="17.25" customHeight="1">
      <c r="A19" t="s" s="8">
        <v>39</v>
      </c>
      <c r="B19" s="10">
        <v>7</v>
      </c>
      <c r="C19" s="119" cm="1">
        <f t="array" ref="C19">F19/E19</f>
        <v>0.428571428571429</v>
      </c>
      <c r="D19" s="10">
        <v>18</v>
      </c>
      <c r="E19" s="10">
        <v>14</v>
      </c>
      <c r="F19" s="10">
        <v>6</v>
      </c>
      <c r="G19" s="10">
        <v>6</v>
      </c>
      <c r="H19" s="10">
        <v>0</v>
      </c>
      <c r="I19" s="10">
        <v>0</v>
      </c>
      <c r="J19" s="10">
        <v>0</v>
      </c>
      <c r="K19" s="10">
        <v>7</v>
      </c>
      <c r="L19" s="10">
        <v>7</v>
      </c>
      <c r="M19" s="10">
        <v>3</v>
      </c>
      <c r="N19" s="10">
        <v>4</v>
      </c>
      <c r="O19" s="10">
        <v>2</v>
      </c>
      <c r="P19" s="13" cm="1">
        <f t="array" ref="P19">(G19*1+H19*2+I19*3+J19*4)/E19</f>
        <v>0.428571428571429</v>
      </c>
      <c r="Q19" s="13" cm="1">
        <f t="array" ref="Q19">(F19+N19)/D19</f>
        <v>0.555555555555556</v>
      </c>
      <c r="R19" s="15" cm="1">
        <f t="array" ref="R19">Q19+P19</f>
        <v>0.984126984126985</v>
      </c>
      <c r="S19" s="18" cm="1">
        <f t="array" ref="S19">RANK(R19,$R$4:$R$24)</f>
        <v>7</v>
      </c>
      <c r="T19" s="224" cm="1">
        <f t="array" ref="T19">RANK(C19,$C$4:$C$24)</f>
        <v>5</v>
      </c>
      <c r="U19" s="9"/>
      <c r="V19" s="3"/>
      <c r="W19" s="3"/>
      <c r="X19" s="3"/>
    </row>
    <row r="20" ht="17.25" customHeight="1">
      <c r="A20" t="s" s="8">
        <v>40</v>
      </c>
      <c r="B20" s="10">
        <v>8</v>
      </c>
      <c r="C20" s="119" cm="1">
        <f t="array" ref="C20">F20/E20</f>
        <v>0.333333333333333</v>
      </c>
      <c r="D20" s="10">
        <v>18</v>
      </c>
      <c r="E20" s="10">
        <v>15</v>
      </c>
      <c r="F20" s="10">
        <v>5</v>
      </c>
      <c r="G20" s="10">
        <v>3</v>
      </c>
      <c r="H20" s="10">
        <v>2</v>
      </c>
      <c r="I20" s="10">
        <v>0</v>
      </c>
      <c r="J20" s="10">
        <v>0</v>
      </c>
      <c r="K20" s="10">
        <v>4</v>
      </c>
      <c r="L20" s="10">
        <v>8</v>
      </c>
      <c r="M20" s="10">
        <v>6</v>
      </c>
      <c r="N20" s="10">
        <v>3</v>
      </c>
      <c r="O20" s="10">
        <v>2</v>
      </c>
      <c r="P20" s="13" cm="1">
        <f t="array" ref="P20">(G20*1+H20*2+I20*3+J20*4)/E20</f>
        <v>0.466666666666667</v>
      </c>
      <c r="Q20" s="13" cm="1">
        <f t="array" ref="Q20">(F20+N20)/D20</f>
        <v>0.444444444444444</v>
      </c>
      <c r="R20" s="15" cm="1">
        <f t="array" ref="R20">Q20+P20</f>
        <v>0.911111111111111</v>
      </c>
      <c r="S20" s="18" cm="1">
        <f t="array" ref="S20">RANK(R20,$R$4:$R$24)</f>
        <v>9</v>
      </c>
      <c r="T20" s="224" cm="1">
        <f t="array" ref="T20">RANK(C20,$C$4:$C$24)</f>
        <v>9</v>
      </c>
      <c r="U20" s="9"/>
      <c r="V20" s="3"/>
      <c r="W20" s="3"/>
      <c r="X20" s="3"/>
    </row>
    <row r="21" ht="17.25" customHeight="1">
      <c r="A21" t="s" s="8">
        <v>41</v>
      </c>
      <c r="B21" s="10">
        <v>9</v>
      </c>
      <c r="C21" s="119" cm="1">
        <f t="array" ref="C21">F21/E21</f>
        <v>0.5600000000000001</v>
      </c>
      <c r="D21" s="10">
        <v>27</v>
      </c>
      <c r="E21" s="10">
        <v>25</v>
      </c>
      <c r="F21" s="10">
        <v>14</v>
      </c>
      <c r="G21" s="10">
        <v>13</v>
      </c>
      <c r="H21" s="10">
        <v>1</v>
      </c>
      <c r="I21" s="10">
        <v>0</v>
      </c>
      <c r="J21" s="10">
        <v>0</v>
      </c>
      <c r="K21" s="10">
        <v>5</v>
      </c>
      <c r="L21" s="10">
        <v>9</v>
      </c>
      <c r="M21" s="10">
        <v>4</v>
      </c>
      <c r="N21" s="10">
        <v>2</v>
      </c>
      <c r="O21" s="10">
        <v>2</v>
      </c>
      <c r="P21" s="13" cm="1">
        <f t="array" ref="P21">(G21*1+H21*2+I21*3+J21*4)/E21</f>
        <v>0.6</v>
      </c>
      <c r="Q21" s="13" cm="1">
        <f t="array" ref="Q21">(F21+N21)/D21</f>
        <v>0.592592592592593</v>
      </c>
      <c r="R21" s="15" cm="1">
        <f t="array" ref="R21">Q21+P21</f>
        <v>1.19259259259259</v>
      </c>
      <c r="S21" s="18" cm="1">
        <f t="array" ref="S21">RANK(R21,$R$4:$R$24)</f>
        <v>4</v>
      </c>
      <c r="T21" s="224" cm="1">
        <f t="array" ref="T21">RANK(C21,$C$4:$C$24)</f>
        <v>2</v>
      </c>
      <c r="U21" s="9"/>
      <c r="V21" s="3"/>
      <c r="W21" s="3"/>
      <c r="X21" s="3"/>
    </row>
    <row r="22" ht="17.25" customHeight="1">
      <c r="A22" t="s" s="8">
        <v>42</v>
      </c>
      <c r="B22" s="10">
        <v>3</v>
      </c>
      <c r="C22" s="119" cm="1">
        <f t="array" ref="C22">F22/E22</f>
        <v>0.25</v>
      </c>
      <c r="D22" s="10">
        <v>6</v>
      </c>
      <c r="E22" s="10">
        <v>4</v>
      </c>
      <c r="F22" s="10">
        <v>1</v>
      </c>
      <c r="G22" s="10">
        <v>1</v>
      </c>
      <c r="H22" s="10">
        <v>0</v>
      </c>
      <c r="I22" s="10">
        <v>0</v>
      </c>
      <c r="J22" s="10">
        <v>0</v>
      </c>
      <c r="K22" s="10">
        <v>5</v>
      </c>
      <c r="L22" s="10">
        <v>1</v>
      </c>
      <c r="M22" s="10">
        <v>4</v>
      </c>
      <c r="N22" s="10">
        <v>2</v>
      </c>
      <c r="O22" s="10">
        <v>1</v>
      </c>
      <c r="P22" s="13" cm="1">
        <f t="array" ref="P22">(G22*1+H22*2+I22*3+J22*4)/E22</f>
        <v>0.25</v>
      </c>
      <c r="Q22" s="13" cm="1">
        <f t="array" ref="Q22">(F22+N22)/D22</f>
        <v>0.5</v>
      </c>
      <c r="R22" s="15" cm="1">
        <f t="array" ref="R22">Q22+P22</f>
        <v>0.75</v>
      </c>
      <c r="S22" s="18" cm="1">
        <f t="array" ref="S22">RANK(R22,$R$4:$R$24)</f>
        <v>13</v>
      </c>
      <c r="T22" s="224" cm="1">
        <f t="array" ref="T22">RANK(C22,$C$4:$C$24)</f>
        <v>12</v>
      </c>
      <c r="U22" s="9"/>
      <c r="V22" s="3"/>
      <c r="W22" s="3"/>
      <c r="X22" s="3"/>
    </row>
    <row r="23" ht="17.25" customHeight="1">
      <c r="A23" t="s" s="8">
        <v>43</v>
      </c>
      <c r="B23" s="10">
        <v>9</v>
      </c>
      <c r="C23" s="119" cm="1">
        <f t="array" ref="C23">F23/E23</f>
        <v>0.5</v>
      </c>
      <c r="D23" s="10">
        <v>24</v>
      </c>
      <c r="E23" s="10">
        <v>22</v>
      </c>
      <c r="F23" s="10">
        <v>11</v>
      </c>
      <c r="G23" s="10">
        <v>6</v>
      </c>
      <c r="H23" s="10">
        <v>4</v>
      </c>
      <c r="I23" s="10">
        <v>1</v>
      </c>
      <c r="J23" s="10">
        <v>0</v>
      </c>
      <c r="K23" s="10">
        <v>9</v>
      </c>
      <c r="L23" s="10">
        <v>6</v>
      </c>
      <c r="M23" s="10">
        <v>3</v>
      </c>
      <c r="N23" s="10">
        <v>2</v>
      </c>
      <c r="O23" s="10">
        <v>3</v>
      </c>
      <c r="P23" s="13" cm="1">
        <f t="array" ref="P23">(G23*1+H23*2+I23*3+J23*4)/E23</f>
        <v>0.772727272727273</v>
      </c>
      <c r="Q23" s="13" cm="1">
        <f t="array" ref="Q23">(F23+N23)/D23</f>
        <v>0.541666666666667</v>
      </c>
      <c r="R23" s="15" cm="1">
        <f t="array" ref="R23">Q23+P23</f>
        <v>1.31439393939394</v>
      </c>
      <c r="S23" s="18" cm="1">
        <f t="array" ref="S23">RANK(R23,$R$4:$R$24)</f>
        <v>3</v>
      </c>
      <c r="T23" s="224" cm="1">
        <f t="array" ref="T23">RANK(C23,$C$4:$C$24)</f>
        <v>3</v>
      </c>
      <c r="U23" s="9"/>
      <c r="V23" s="3"/>
      <c r="W23" s="3"/>
      <c r="X23" s="3"/>
    </row>
    <row r="24" ht="17.25" customHeight="1">
      <c r="A24" t="s" s="8">
        <v>44</v>
      </c>
      <c r="B24" s="10">
        <v>0</v>
      </c>
      <c r="C24" s="119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3">
        <v>0</v>
      </c>
      <c r="Q24" s="13">
        <v>0</v>
      </c>
      <c r="R24" s="15" cm="1">
        <f t="array" ref="R24">Q24+P24</f>
        <v>0</v>
      </c>
      <c r="S24" s="18" cm="1">
        <f t="array" ref="S24">RANK(R24,$R$4:$R$24)</f>
        <v>15</v>
      </c>
      <c r="T24" s="224" cm="1">
        <f t="array" ref="T24">RANK(C24,$C$4:$C$24)</f>
        <v>14</v>
      </c>
      <c r="U24" s="9"/>
      <c r="V24" s="3"/>
      <c r="W24" s="3"/>
      <c r="X24" s="3"/>
    </row>
    <row r="25" ht="17.25" customHeight="1">
      <c r="A25" t="s" s="29">
        <v>45</v>
      </c>
      <c r="B25" s="121"/>
      <c r="C25" s="31" cm="1">
        <f t="array" ref="C25">F25/E25</f>
        <v>0.432835820895522</v>
      </c>
      <c r="D25" s="32" cm="1">
        <f t="array" ref="D25">SUM(D4:D24)</f>
        <v>245</v>
      </c>
      <c r="E25" s="32" cm="1">
        <f t="array" ref="E25">SUM(E4:E24)</f>
        <v>201</v>
      </c>
      <c r="F25" s="32" cm="1">
        <f t="array" ref="F25">SUM(F4:F24)</f>
        <v>87</v>
      </c>
      <c r="G25" s="32" cm="1">
        <f t="array" ref="G25">SUM(G4:G24)</f>
        <v>63</v>
      </c>
      <c r="H25" s="32" cm="1">
        <f t="array" ref="H25">SUM(H4:H24)</f>
        <v>19</v>
      </c>
      <c r="I25" s="32" cm="1">
        <f t="array" ref="I25">SUM(I4:I24)</f>
        <v>4</v>
      </c>
      <c r="J25" s="32" cm="1">
        <f t="array" ref="J25">SUM(J4:J24)</f>
        <v>1</v>
      </c>
      <c r="K25" s="32" cm="1">
        <f t="array" ref="K25">SUM(K4:K23)</f>
        <v>76</v>
      </c>
      <c r="L25" s="32" cm="1">
        <f t="array" ref="L25">SUM(L4:L23)</f>
        <v>73</v>
      </c>
      <c r="M25" s="32" cm="1">
        <f t="array" ref="M25">SUM(M4:M23)</f>
        <v>54</v>
      </c>
      <c r="N25" s="32" cm="1">
        <f t="array" ref="N25">SUM(N4:N23)</f>
        <v>44</v>
      </c>
      <c r="O25" s="32" cm="1">
        <f t="array" ref="O25">SUM(O4:O23)</f>
        <v>40</v>
      </c>
      <c r="P25" s="30"/>
      <c r="Q25" s="30"/>
      <c r="R25" s="121"/>
      <c r="S25" s="31"/>
      <c r="T25" s="31"/>
      <c r="U25" s="9"/>
      <c r="V25" s="3"/>
      <c r="W25" s="3"/>
      <c r="X25" s="3"/>
    </row>
    <row r="26" ht="16.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"/>
      <c r="V26" s="3"/>
      <c r="W26" s="3"/>
      <c r="X26" s="3"/>
    </row>
    <row r="27" ht="17.25" customHeight="1">
      <c r="A27" t="s" s="5">
        <v>46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3"/>
      <c r="X27" s="3"/>
    </row>
    <row r="28" ht="51.75" customHeight="1">
      <c r="A28" t="s" s="8">
        <v>2</v>
      </c>
      <c r="B28" t="s" s="8">
        <v>3</v>
      </c>
      <c r="C28" t="s" s="8">
        <v>47</v>
      </c>
      <c r="D28" t="s" s="8">
        <v>48</v>
      </c>
      <c r="E28" t="s" s="8">
        <v>49</v>
      </c>
      <c r="F28" t="s" s="8">
        <v>50</v>
      </c>
      <c r="G28" t="s" s="8">
        <v>6</v>
      </c>
      <c r="H28" t="s" s="8">
        <v>51</v>
      </c>
      <c r="I28" t="s" s="8">
        <v>52</v>
      </c>
      <c r="J28" t="s" s="8">
        <v>53</v>
      </c>
      <c r="K28" t="s" s="8">
        <v>54</v>
      </c>
      <c r="L28" t="s" s="8">
        <v>55</v>
      </c>
      <c r="M28" t="s" s="8">
        <v>56</v>
      </c>
      <c r="N28" t="s" s="8">
        <v>57</v>
      </c>
      <c r="O28" t="s" s="8">
        <v>58</v>
      </c>
      <c r="P28" t="s" s="8">
        <v>59</v>
      </c>
      <c r="Q28" t="s" s="8">
        <v>60</v>
      </c>
      <c r="R28" t="s" s="8">
        <v>61</v>
      </c>
      <c r="S28" t="s" s="8">
        <v>116</v>
      </c>
      <c r="T28" t="s" s="8">
        <v>63</v>
      </c>
      <c r="U28" t="s" s="8">
        <v>64</v>
      </c>
      <c r="V28" t="s" s="8">
        <v>65</v>
      </c>
      <c r="W28" s="9"/>
      <c r="X28" s="3"/>
    </row>
    <row r="29" ht="17.25" customHeight="1">
      <c r="A29" t="s" s="8">
        <v>24</v>
      </c>
      <c r="B29" s="10">
        <v>2</v>
      </c>
      <c r="C29" s="10">
        <v>0</v>
      </c>
      <c r="D29" s="10">
        <v>0</v>
      </c>
      <c r="E29" s="10">
        <v>0</v>
      </c>
      <c r="F29" s="10">
        <v>2</v>
      </c>
      <c r="G29" s="10">
        <v>0</v>
      </c>
      <c r="H29" s="39">
        <v>0</v>
      </c>
      <c r="I29" s="10">
        <v>0</v>
      </c>
      <c r="J29" s="10">
        <v>0</v>
      </c>
      <c r="K29" s="10">
        <v>2</v>
      </c>
      <c r="L29" s="10">
        <v>0</v>
      </c>
      <c r="M29" s="10">
        <v>0</v>
      </c>
      <c r="N29" s="10">
        <v>1</v>
      </c>
      <c r="O29" s="10">
        <v>0</v>
      </c>
      <c r="P29" s="40">
        <v>0</v>
      </c>
      <c r="Q29" s="41"/>
      <c r="R29" s="42"/>
      <c r="S29" s="42"/>
      <c r="T29" s="41"/>
      <c r="U29" s="44"/>
      <c r="V29" s="41"/>
      <c r="W29" s="9"/>
      <c r="X29" s="225" cm="1">
        <f t="array" ref="X29">(L29+K29)/F29*100</f>
        <v>100</v>
      </c>
    </row>
    <row r="30" ht="17.25" customHeight="1">
      <c r="A30" t="s" s="8">
        <v>27</v>
      </c>
      <c r="B30" s="10">
        <v>1</v>
      </c>
      <c r="C30" s="10">
        <v>0</v>
      </c>
      <c r="D30" s="10">
        <v>0</v>
      </c>
      <c r="E30" s="10">
        <v>0</v>
      </c>
      <c r="F30" s="10">
        <v>1</v>
      </c>
      <c r="G30" s="10">
        <v>0</v>
      </c>
      <c r="H30" s="39">
        <v>0</v>
      </c>
      <c r="I30" s="10">
        <v>0</v>
      </c>
      <c r="J30" s="10">
        <v>0</v>
      </c>
      <c r="K30" s="10">
        <v>1</v>
      </c>
      <c r="L30" s="10">
        <v>0</v>
      </c>
      <c r="M30" s="10">
        <v>0</v>
      </c>
      <c r="N30" s="10">
        <v>0</v>
      </c>
      <c r="O30" s="10">
        <v>0</v>
      </c>
      <c r="P30" s="40">
        <v>0</v>
      </c>
      <c r="Q30" s="41"/>
      <c r="R30" s="42"/>
      <c r="S30" s="42"/>
      <c r="T30" s="41"/>
      <c r="U30" s="44"/>
      <c r="V30" s="41"/>
      <c r="W30" s="9"/>
      <c r="X30" s="225" cm="1">
        <f t="array" ref="X30">(L30+K30)/F30*100</f>
        <v>100</v>
      </c>
    </row>
    <row r="31" ht="17.25" customHeight="1">
      <c r="A31" t="s" s="38">
        <v>29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39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40">
        <v>0</v>
      </c>
      <c r="Q31" s="41"/>
      <c r="R31" s="42"/>
      <c r="S31" s="42"/>
      <c r="T31" s="41"/>
      <c r="U31" s="44"/>
      <c r="V31" s="41"/>
      <c r="W31" s="9"/>
      <c r="X31" s="225"/>
    </row>
    <row r="32" ht="17.25" customHeight="1">
      <c r="A32" t="s" s="8">
        <v>33</v>
      </c>
      <c r="B32" s="10">
        <v>4</v>
      </c>
      <c r="C32" s="10">
        <v>2</v>
      </c>
      <c r="D32" s="10">
        <v>0</v>
      </c>
      <c r="E32" s="10">
        <v>0</v>
      </c>
      <c r="F32" s="10">
        <v>36</v>
      </c>
      <c r="G32" s="10">
        <v>30</v>
      </c>
      <c r="H32" s="39">
        <v>7.3333333</v>
      </c>
      <c r="I32" s="10">
        <v>10</v>
      </c>
      <c r="J32" s="10">
        <v>0</v>
      </c>
      <c r="K32" s="10">
        <v>6</v>
      </c>
      <c r="L32" s="10">
        <v>0</v>
      </c>
      <c r="M32" s="10">
        <v>5</v>
      </c>
      <c r="N32" s="10">
        <v>7</v>
      </c>
      <c r="O32" s="10">
        <v>3</v>
      </c>
      <c r="P32" s="40" cm="1">
        <f t="array" ref="P32">O32*9/H32</f>
        <v>3.68181819855372</v>
      </c>
      <c r="Q32" s="41" cm="1">
        <f t="array" ref="Q32">(K32+L32)/H32</f>
        <v>0.818181821900826</v>
      </c>
      <c r="R32" s="42" cm="1">
        <f t="array" ref="R32">I32/H32</f>
        <v>1.36363636983471</v>
      </c>
      <c r="S32" s="42" cm="1">
        <f t="array" ref="S32">H32/B32</f>
        <v>1.833333325</v>
      </c>
      <c r="T32" s="41" cm="1">
        <f t="array" ref="T32">M32/H32</f>
        <v>0.681818184917355</v>
      </c>
      <c r="U32" s="44" cm="1">
        <f t="array" ref="U32">O32/N32</f>
        <v>0.428571428571429</v>
      </c>
      <c r="V32" s="41" cm="1">
        <f t="array" ref="V32">(I32+K32+L32)/H32</f>
        <v>2.18181819173554</v>
      </c>
      <c r="W32" s="9"/>
      <c r="X32" s="225" cm="1">
        <f t="array" ref="X32">(L32+K32)/F32*100</f>
        <v>16.6666666666667</v>
      </c>
    </row>
    <row r="33" ht="17.25" customHeight="1">
      <c r="A33" t="s" s="8">
        <v>36</v>
      </c>
      <c r="B33" s="10">
        <v>3</v>
      </c>
      <c r="C33" s="10">
        <v>0</v>
      </c>
      <c r="D33" s="10">
        <v>0</v>
      </c>
      <c r="E33" s="10">
        <v>0</v>
      </c>
      <c r="F33" s="10">
        <v>16</v>
      </c>
      <c r="G33" s="10">
        <v>9</v>
      </c>
      <c r="H33" s="39">
        <v>2</v>
      </c>
      <c r="I33" s="10">
        <v>4</v>
      </c>
      <c r="J33" s="10">
        <v>0</v>
      </c>
      <c r="K33" s="10">
        <v>6</v>
      </c>
      <c r="L33" s="10">
        <v>0</v>
      </c>
      <c r="M33" s="10">
        <v>2</v>
      </c>
      <c r="N33" s="10">
        <v>6</v>
      </c>
      <c r="O33" s="10">
        <v>5</v>
      </c>
      <c r="P33" s="40" cm="1">
        <f t="array" ref="P33">O33*9/H33</f>
        <v>22.5</v>
      </c>
      <c r="Q33" s="41" cm="1">
        <f t="array" ref="Q33">(K33+L33)/H33</f>
        <v>3</v>
      </c>
      <c r="R33" s="42" cm="1">
        <f t="array" ref="R33">I33/H33</f>
        <v>2</v>
      </c>
      <c r="S33" s="42" cm="1">
        <f t="array" ref="S33">H33/B33</f>
        <v>0.666666666666667</v>
      </c>
      <c r="T33" s="41" cm="1">
        <f t="array" ref="T33">M33/H33</f>
        <v>1</v>
      </c>
      <c r="U33" s="44" cm="1">
        <f t="array" ref="U33">O33/N33</f>
        <v>0.833333333333333</v>
      </c>
      <c r="V33" s="41" cm="1">
        <f t="array" ref="V33">(I33+K33+L33)/H33</f>
        <v>5</v>
      </c>
      <c r="W33" s="9"/>
      <c r="X33" s="225" cm="1">
        <f t="array" ref="X33">(L33+K33)/F33*100</f>
        <v>37.5</v>
      </c>
    </row>
    <row r="34" ht="17.25" customHeight="1">
      <c r="A34" t="s" s="8">
        <v>37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39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40">
        <v>0</v>
      </c>
      <c r="Q34" s="41"/>
      <c r="R34" s="42"/>
      <c r="S34" s="42"/>
      <c r="T34" s="41"/>
      <c r="U34" s="44"/>
      <c r="V34" s="41"/>
      <c r="W34" s="9"/>
      <c r="X34" s="225"/>
    </row>
    <row r="35" ht="17.25" customHeight="1">
      <c r="A35" t="s" s="8">
        <v>42</v>
      </c>
      <c r="B35" s="10">
        <v>3</v>
      </c>
      <c r="C35" s="10">
        <v>2</v>
      </c>
      <c r="D35" s="10">
        <v>0</v>
      </c>
      <c r="E35" s="10">
        <v>0</v>
      </c>
      <c r="F35" s="10">
        <v>44</v>
      </c>
      <c r="G35" s="10">
        <v>26</v>
      </c>
      <c r="H35" s="39">
        <v>7</v>
      </c>
      <c r="I35" s="10">
        <v>9</v>
      </c>
      <c r="J35" s="10">
        <v>0</v>
      </c>
      <c r="K35" s="10">
        <v>17</v>
      </c>
      <c r="L35" s="10">
        <v>0</v>
      </c>
      <c r="M35" s="10">
        <v>10</v>
      </c>
      <c r="N35" s="10">
        <v>10</v>
      </c>
      <c r="O35" s="10">
        <v>8</v>
      </c>
      <c r="P35" s="40" cm="1">
        <f t="array" ref="P35">O35*9/H35</f>
        <v>10.2857142857143</v>
      </c>
      <c r="Q35" s="41" cm="1">
        <f t="array" ref="Q35">(K35+L35)/H35</f>
        <v>2.42857142857143</v>
      </c>
      <c r="R35" s="42" cm="1">
        <f t="array" ref="R35">I35/H35</f>
        <v>1.28571428571429</v>
      </c>
      <c r="S35" s="42" cm="1">
        <f t="array" ref="S35">H35/B35</f>
        <v>2.33333333333333</v>
      </c>
      <c r="T35" s="41" cm="1">
        <f t="array" ref="T35">M35/H35</f>
        <v>1.42857142857143</v>
      </c>
      <c r="U35" s="44" cm="1">
        <f t="array" ref="U35">O35/N35</f>
        <v>0.8</v>
      </c>
      <c r="V35" s="41" cm="1">
        <f t="array" ref="V35">(I35+K35+L35)/H35</f>
        <v>3.71428571428571</v>
      </c>
      <c r="W35" s="9"/>
      <c r="X35" s="225" cm="1">
        <f t="array" ref="X35">(L35+K35)/F35*100</f>
        <v>38.6363636363636</v>
      </c>
    </row>
    <row r="36" ht="17.25" customHeight="1">
      <c r="A36" t="s" s="8">
        <v>43</v>
      </c>
      <c r="B36" s="10">
        <v>9</v>
      </c>
      <c r="C36" s="10">
        <v>2</v>
      </c>
      <c r="D36" s="10">
        <v>4</v>
      </c>
      <c r="E36" s="10">
        <v>1</v>
      </c>
      <c r="F36" s="10">
        <v>180</v>
      </c>
      <c r="G36" s="10">
        <v>126</v>
      </c>
      <c r="H36" s="39">
        <v>26</v>
      </c>
      <c r="I36" s="10">
        <v>40</v>
      </c>
      <c r="J36" s="10">
        <v>0</v>
      </c>
      <c r="K36" s="10">
        <v>46</v>
      </c>
      <c r="L36" s="10">
        <v>7</v>
      </c>
      <c r="M36" s="10">
        <v>55</v>
      </c>
      <c r="N36" s="10">
        <v>58</v>
      </c>
      <c r="O36" s="10">
        <v>25</v>
      </c>
      <c r="P36" s="40" cm="1">
        <f t="array" ref="P36">O36*9/H36</f>
        <v>8.65384615384615</v>
      </c>
      <c r="Q36" s="41" cm="1">
        <f t="array" ref="Q36">(K36+L36)/H36</f>
        <v>2.03846153846154</v>
      </c>
      <c r="R36" s="42" cm="1">
        <f t="array" ref="R36">I36/H36</f>
        <v>1.53846153846154</v>
      </c>
      <c r="S36" s="42" cm="1">
        <f t="array" ref="S36">H36/B36</f>
        <v>2.88888888888889</v>
      </c>
      <c r="T36" s="41" cm="1">
        <f t="array" ref="T36">M36/H36</f>
        <v>2.11538461538462</v>
      </c>
      <c r="U36" s="44" cm="1">
        <f t="array" ref="U36">O36/N36</f>
        <v>0.431034482758621</v>
      </c>
      <c r="V36" s="41" cm="1">
        <f t="array" ref="V36">(I36+K36+L36)/H36</f>
        <v>3.57692307692308</v>
      </c>
      <c r="W36" s="9"/>
      <c r="X36" s="225" cm="1">
        <f t="array" ref="X36">(L36+K36)/F36*100</f>
        <v>29.4444444444444</v>
      </c>
    </row>
    <row r="37" ht="17.25" customHeight="1">
      <c r="A37" t="s" s="29">
        <v>45</v>
      </c>
      <c r="B37" s="124"/>
      <c r="C37" s="49" cm="1">
        <f t="array" ref="C37">SUM(C29:C36)</f>
        <v>6</v>
      </c>
      <c r="D37" s="49" cm="1">
        <f t="array" ref="D37">SUM(D29:D36)</f>
        <v>4</v>
      </c>
      <c r="E37" s="49" cm="1">
        <f t="array" ref="E37">SUM(E29:E36)</f>
        <v>1</v>
      </c>
      <c r="F37" s="49" cm="1">
        <f t="array" ref="F37">SUM(F29:F36)</f>
        <v>279</v>
      </c>
      <c r="G37" s="49" cm="1">
        <f t="array" ref="G37">SUM(G29:G36)</f>
        <v>191</v>
      </c>
      <c r="H37" s="50" cm="1">
        <f t="array" ref="H37">SUM(H29:H36)</f>
        <v>42.3333333</v>
      </c>
      <c r="I37" s="49" cm="1">
        <f t="array" ref="I37">SUM(I29:I36)</f>
        <v>63</v>
      </c>
      <c r="J37" s="49" cm="1">
        <f t="array" ref="J37">SUM(J29:J36)</f>
        <v>0</v>
      </c>
      <c r="K37" s="49" cm="1">
        <f t="array" ref="K37">SUM(K29:K36)</f>
        <v>78</v>
      </c>
      <c r="L37" s="49" cm="1">
        <f t="array" ref="L37">SUM(L29:L36)</f>
        <v>7</v>
      </c>
      <c r="M37" s="49" cm="1">
        <f t="array" ref="M37">SUM(M29:M36)</f>
        <v>72</v>
      </c>
      <c r="N37" s="49" cm="1">
        <f t="array" ref="N37">SUM(N29:N36)</f>
        <v>82</v>
      </c>
      <c r="O37" s="49" cm="1">
        <f t="array" ref="O37">SUM(O29:O36)</f>
        <v>41</v>
      </c>
      <c r="P37" s="51" cm="1">
        <f t="array" ref="P37">O37*9/H37</f>
        <v>8.71653543993428</v>
      </c>
      <c r="Q37" s="52" cm="1">
        <f t="array" ref="Q37">(K37+L37)/H37</f>
        <v>2.00787401732903</v>
      </c>
      <c r="R37" s="53" cm="1">
        <f t="array" ref="R37">I37/H37</f>
        <v>1.48818897754976</v>
      </c>
      <c r="S37" s="53">
        <v>0</v>
      </c>
      <c r="T37" s="52" cm="1">
        <f t="array" ref="T37">M37/H37</f>
        <v>1.70078740291401</v>
      </c>
      <c r="U37" s="55" cm="1">
        <f t="array" ref="U37">O37/N37</f>
        <v>0.5</v>
      </c>
      <c r="V37" s="52" cm="1">
        <f t="array" ref="V37">(I37+K37+L37)/H37</f>
        <v>3.49606299487879</v>
      </c>
      <c r="W37" s="9"/>
      <c r="X37" s="3"/>
    </row>
  </sheetData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dimension ref="A1:X37"/>
  <sheetViews>
    <sheetView workbookViewId="0" showGridLines="0" defaultGridColor="1"/>
  </sheetViews>
  <sheetFormatPr defaultColWidth="9" defaultRowHeight="16.5" customHeight="1" outlineLevelRow="0" outlineLevelCol="0"/>
  <cols>
    <col min="1" max="19" width="8.85156" style="226" customWidth="1"/>
    <col min="20" max="24" width="9" style="226" customWidth="1"/>
    <col min="25" max="16384" width="9" style="226" customWidth="1"/>
  </cols>
  <sheetData>
    <row r="1" ht="26.25" customHeight="1">
      <c r="A1" t="s" s="2">
        <v>174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7.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34.5" customHeight="1">
      <c r="A3" t="s" s="8">
        <v>2</v>
      </c>
      <c r="B3" t="s" s="8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17</v>
      </c>
      <c r="Q3" t="s" s="8">
        <v>18</v>
      </c>
      <c r="R3" t="s" s="8">
        <v>19</v>
      </c>
      <c r="S3" t="s" s="8">
        <v>20</v>
      </c>
      <c r="T3" t="s" s="8">
        <v>110</v>
      </c>
      <c r="U3" t="s" s="8">
        <v>22</v>
      </c>
      <c r="V3" t="s" s="8">
        <v>23</v>
      </c>
      <c r="W3" t="s" s="8">
        <v>114</v>
      </c>
      <c r="X3" t="s" s="8">
        <v>111</v>
      </c>
    </row>
    <row r="4" ht="19.5" customHeight="1">
      <c r="A4" t="s" s="8">
        <v>24</v>
      </c>
      <c r="B4" s="10">
        <v>4</v>
      </c>
      <c r="C4" s="119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1</v>
      </c>
      <c r="N4" s="10">
        <v>0</v>
      </c>
      <c r="O4" s="10">
        <v>0</v>
      </c>
      <c r="P4" s="152">
        <v>0</v>
      </c>
      <c r="Q4" s="13">
        <v>0</v>
      </c>
      <c r="R4" s="13">
        <v>0</v>
      </c>
      <c r="S4" s="15">
        <v>0</v>
      </c>
      <c r="T4" s="157" cm="1">
        <f t="array" ref="T4">O4/(D4-(F4+N4))</f>
      </c>
      <c r="U4" s="17" cm="1">
        <f t="array" ref="U4">RANK(R4,$R$4:$R$23)</f>
        <v>19</v>
      </c>
      <c r="V4" s="18" cm="1">
        <f t="array" ref="V4">RANK(S4,$S$4:$S$23)</f>
        <v>19</v>
      </c>
      <c r="W4" s="10">
        <v>1</v>
      </c>
      <c r="X4" s="154" cm="1">
        <f t="array" ref="X4">RANK(C4,$C$4:$C$23)</f>
        <v>18</v>
      </c>
    </row>
    <row r="5" ht="19.5" customHeight="1">
      <c r="A5" t="s" s="8">
        <v>25</v>
      </c>
      <c r="B5" s="10">
        <v>13</v>
      </c>
      <c r="C5" s="119">
        <v>0.285714285714286</v>
      </c>
      <c r="D5" s="10">
        <v>23</v>
      </c>
      <c r="E5" s="10">
        <v>14</v>
      </c>
      <c r="F5" s="10">
        <v>4</v>
      </c>
      <c r="G5" s="10">
        <v>4</v>
      </c>
      <c r="H5" s="10">
        <v>0</v>
      </c>
      <c r="I5" s="10">
        <v>0</v>
      </c>
      <c r="J5" s="10">
        <v>0</v>
      </c>
      <c r="K5" s="10">
        <v>4</v>
      </c>
      <c r="L5" s="10">
        <v>5</v>
      </c>
      <c r="M5" s="10">
        <v>1</v>
      </c>
      <c r="N5" s="10">
        <v>8</v>
      </c>
      <c r="O5" s="10">
        <v>4</v>
      </c>
      <c r="P5" s="152">
        <v>0.173913043478261</v>
      </c>
      <c r="Q5" s="13">
        <v>0.285714285714286</v>
      </c>
      <c r="R5" s="13">
        <v>0.521739130434783</v>
      </c>
      <c r="S5" s="15">
        <v>0.807453416149068</v>
      </c>
      <c r="T5" s="157" cm="1">
        <f t="array" ref="T5">O5/(D5-(F5+N5))</f>
        <v>0.363636363636364</v>
      </c>
      <c r="U5" s="17" cm="1">
        <f t="array" ref="U5">RANK(R5,$R$4:$R$23)</f>
        <v>4</v>
      </c>
      <c r="V5" s="18" cm="1">
        <f t="array" ref="V5">RANK(S5,$S$4:$S$23)</f>
        <v>9</v>
      </c>
      <c r="W5" s="10">
        <v>1</v>
      </c>
      <c r="X5" s="154" cm="1">
        <f t="array" ref="X5">RANK(C5,$C$4:$C$23)</f>
        <v>11</v>
      </c>
    </row>
    <row r="6" ht="19.5" customHeight="1">
      <c r="A6" t="s" s="8">
        <v>26</v>
      </c>
      <c r="B6" s="10">
        <v>20</v>
      </c>
      <c r="C6" s="119">
        <v>0.45</v>
      </c>
      <c r="D6" s="10">
        <v>50</v>
      </c>
      <c r="E6" s="10">
        <v>40</v>
      </c>
      <c r="F6" s="10">
        <v>18</v>
      </c>
      <c r="G6" s="10">
        <v>14</v>
      </c>
      <c r="H6" s="10">
        <v>3</v>
      </c>
      <c r="I6" s="10">
        <v>1</v>
      </c>
      <c r="J6" s="10">
        <v>0</v>
      </c>
      <c r="K6" s="10">
        <v>21</v>
      </c>
      <c r="L6" s="10">
        <v>19</v>
      </c>
      <c r="M6" s="10">
        <v>13</v>
      </c>
      <c r="N6" s="10">
        <v>8</v>
      </c>
      <c r="O6" s="10">
        <v>4</v>
      </c>
      <c r="P6" s="152">
        <v>0.08</v>
      </c>
      <c r="Q6" s="13">
        <v>0.575</v>
      </c>
      <c r="R6" s="13">
        <v>0.52</v>
      </c>
      <c r="S6" s="15">
        <v>1.095</v>
      </c>
      <c r="T6" s="153" cm="1">
        <f t="array" ref="T6">O6/(D6-(F6+N6))</f>
        <v>0.166666666666667</v>
      </c>
      <c r="U6" s="17" cm="1">
        <f t="array" ref="U6">RANK(R6,$R$4:$R$23)</f>
        <v>5</v>
      </c>
      <c r="V6" s="18" cm="1">
        <f t="array" ref="V6">RANK(S6,$S$4:$S$23)</f>
        <v>4</v>
      </c>
      <c r="W6" s="10">
        <v>5</v>
      </c>
      <c r="X6" s="154" cm="1">
        <f t="array" ref="X6">RANK(C6,$C$4:$C$23)</f>
        <v>4</v>
      </c>
    </row>
    <row r="7" ht="19.5" customHeight="1">
      <c r="A7" t="s" s="8">
        <v>27</v>
      </c>
      <c r="B7" s="10">
        <v>1</v>
      </c>
      <c r="C7" s="119">
        <v>0</v>
      </c>
      <c r="D7" s="10">
        <v>4</v>
      </c>
      <c r="E7" s="10">
        <v>4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3</v>
      </c>
      <c r="M7" s="10">
        <v>0</v>
      </c>
      <c r="N7" s="10">
        <v>0</v>
      </c>
      <c r="O7" s="10">
        <v>0</v>
      </c>
      <c r="P7" s="152">
        <v>0</v>
      </c>
      <c r="Q7" s="13">
        <v>0</v>
      </c>
      <c r="R7" s="13">
        <v>0</v>
      </c>
      <c r="S7" s="15">
        <v>0</v>
      </c>
      <c r="T7" s="157" cm="1">
        <f t="array" ref="T7">O7/(D7-(F7+N7))</f>
        <v>0</v>
      </c>
      <c r="U7" s="17" cm="1">
        <f t="array" ref="U7">RANK(R7,$R$4:$R$23)</f>
        <v>19</v>
      </c>
      <c r="V7" s="18" cm="1">
        <f t="array" ref="V7">RANK(S7,$S$4:$S$23)</f>
        <v>19</v>
      </c>
      <c r="W7" s="10">
        <v>0</v>
      </c>
      <c r="X7" s="154" cm="1">
        <f t="array" ref="X7">RANK(C7,$C$4:$C$23)</f>
        <v>18</v>
      </c>
    </row>
    <row r="8" ht="19.5" customHeight="1">
      <c r="A8" t="s" s="8">
        <v>28</v>
      </c>
      <c r="B8" s="10">
        <v>21</v>
      </c>
      <c r="C8" s="119">
        <v>0.325</v>
      </c>
      <c r="D8" s="10">
        <v>53</v>
      </c>
      <c r="E8" s="10">
        <v>40</v>
      </c>
      <c r="F8" s="10">
        <v>13</v>
      </c>
      <c r="G8" s="10">
        <v>8</v>
      </c>
      <c r="H8" s="10">
        <v>2</v>
      </c>
      <c r="I8" s="10">
        <v>3</v>
      </c>
      <c r="J8" s="10">
        <v>0</v>
      </c>
      <c r="K8" s="10">
        <v>14</v>
      </c>
      <c r="L8" s="10">
        <v>15</v>
      </c>
      <c r="M8" s="10">
        <v>7</v>
      </c>
      <c r="N8" s="10">
        <v>12</v>
      </c>
      <c r="O8" s="10">
        <v>10</v>
      </c>
      <c r="P8" s="152">
        <v>0.188679245283019</v>
      </c>
      <c r="Q8" s="13">
        <v>0.525</v>
      </c>
      <c r="R8" s="13">
        <v>0.471698113207547</v>
      </c>
      <c r="S8" s="15">
        <v>0.996698113207547</v>
      </c>
      <c r="T8" s="157" cm="1">
        <f t="array" ref="T8">O8/(D8-(F8+N8))</f>
        <v>0.357142857142857</v>
      </c>
      <c r="U8" s="17" cm="1">
        <f t="array" ref="U8">RANK(R8,$R$4:$R$23)</f>
        <v>7</v>
      </c>
      <c r="V8" s="18" cm="1">
        <f t="array" ref="V8">RANK(S8,$S$4:$S$23)</f>
        <v>5</v>
      </c>
      <c r="W8" s="10">
        <v>0</v>
      </c>
      <c r="X8" s="154" cm="1">
        <f t="array" ref="X8">RANK(C8,$C$4:$C$23)</f>
        <v>9</v>
      </c>
    </row>
    <row r="9" ht="19.5" customHeight="1">
      <c r="A9" t="s" s="8">
        <v>29</v>
      </c>
      <c r="B9" s="10">
        <v>12</v>
      </c>
      <c r="C9" s="119">
        <v>0.157894736842105</v>
      </c>
      <c r="D9" s="10">
        <v>25</v>
      </c>
      <c r="E9" s="10">
        <v>19</v>
      </c>
      <c r="F9" s="10">
        <v>3</v>
      </c>
      <c r="G9" s="10">
        <v>3</v>
      </c>
      <c r="H9" s="10">
        <v>0</v>
      </c>
      <c r="I9" s="10">
        <v>0</v>
      </c>
      <c r="J9" s="10">
        <v>0</v>
      </c>
      <c r="K9" s="10">
        <v>5</v>
      </c>
      <c r="L9" s="10">
        <v>3</v>
      </c>
      <c r="M9" s="10">
        <v>5</v>
      </c>
      <c r="N9" s="10">
        <v>6</v>
      </c>
      <c r="O9" s="10">
        <v>11</v>
      </c>
      <c r="P9" s="12">
        <v>0.44</v>
      </c>
      <c r="Q9" s="13">
        <v>0.157894736842105</v>
      </c>
      <c r="R9" s="13">
        <v>0.36</v>
      </c>
      <c r="S9" s="15">
        <v>0.517894736842105</v>
      </c>
      <c r="T9" s="157" cm="1">
        <f t="array" ref="T9">O9/(D9-(F9+N9))</f>
        <v>0.6875</v>
      </c>
      <c r="U9" s="17" cm="1">
        <f t="array" ref="U9">RANK(R9,$R$4:$R$23)</f>
        <v>14</v>
      </c>
      <c r="V9" s="18" cm="1">
        <f t="array" ref="V9">RANK(S9,$S$4:$S$23)</f>
        <v>14</v>
      </c>
      <c r="W9" s="10">
        <v>2</v>
      </c>
      <c r="X9" s="154" cm="1">
        <f t="array" ref="X9">RANK(C9,$C$4:$C$23)</f>
        <v>15</v>
      </c>
    </row>
    <row r="10" ht="19.5" customHeight="1">
      <c r="A10" t="s" s="8">
        <v>30</v>
      </c>
      <c r="B10" s="10">
        <v>20</v>
      </c>
      <c r="C10" s="119">
        <v>0.604166666666667</v>
      </c>
      <c r="D10" s="10">
        <v>63</v>
      </c>
      <c r="E10" s="10">
        <v>48</v>
      </c>
      <c r="F10" s="10">
        <v>29</v>
      </c>
      <c r="G10" s="10">
        <v>22</v>
      </c>
      <c r="H10" s="10">
        <v>4</v>
      </c>
      <c r="I10" s="10">
        <v>2</v>
      </c>
      <c r="J10" s="10">
        <v>1</v>
      </c>
      <c r="K10" s="10">
        <v>33</v>
      </c>
      <c r="L10" s="10">
        <v>19</v>
      </c>
      <c r="M10" s="10">
        <v>42</v>
      </c>
      <c r="N10" s="10">
        <v>13</v>
      </c>
      <c r="O10" s="10">
        <v>3</v>
      </c>
      <c r="P10" s="152">
        <v>0.0476190476190476</v>
      </c>
      <c r="Q10" s="13">
        <v>0.833333333333333</v>
      </c>
      <c r="R10" s="13">
        <v>0.666666666666667</v>
      </c>
      <c r="S10" s="15">
        <v>1.5</v>
      </c>
      <c r="T10" s="153" cm="1">
        <f t="array" ref="T10">O10/(D10-(F10+N10))</f>
        <v>0.142857142857143</v>
      </c>
      <c r="U10" s="17" cm="1">
        <f t="array" ref="U10">RANK(R10,$R$4:$R$23)</f>
        <v>1</v>
      </c>
      <c r="V10" s="18" cm="1">
        <f t="array" ref="V10">RANK(S10,$S$4:$S$23)</f>
        <v>1</v>
      </c>
      <c r="W10" s="10">
        <v>2</v>
      </c>
      <c r="X10" s="154" cm="1">
        <f t="array" ref="X10">RANK(C10,$C$4:$C$23)</f>
        <v>1</v>
      </c>
    </row>
    <row r="11" ht="19.5" customHeight="1">
      <c r="A11" t="s" s="8">
        <v>31</v>
      </c>
      <c r="B11" s="10">
        <v>11</v>
      </c>
      <c r="C11" s="119">
        <v>0.238095238095238</v>
      </c>
      <c r="D11" s="10">
        <v>23</v>
      </c>
      <c r="E11" s="10">
        <v>21</v>
      </c>
      <c r="F11" s="10">
        <v>5</v>
      </c>
      <c r="G11" s="10">
        <v>4</v>
      </c>
      <c r="H11" s="10">
        <v>1</v>
      </c>
      <c r="I11" s="10">
        <v>0</v>
      </c>
      <c r="J11" s="10">
        <v>0</v>
      </c>
      <c r="K11" s="10">
        <v>6</v>
      </c>
      <c r="L11" s="10">
        <v>4</v>
      </c>
      <c r="M11" s="10">
        <v>5</v>
      </c>
      <c r="N11" s="10">
        <v>2</v>
      </c>
      <c r="O11" s="10">
        <v>4</v>
      </c>
      <c r="P11" s="152">
        <v>0.173913043478261</v>
      </c>
      <c r="Q11" s="13">
        <v>0.285714285714286</v>
      </c>
      <c r="R11" s="13">
        <v>0.304347826086957</v>
      </c>
      <c r="S11" s="15">
        <v>0.590062111801242</v>
      </c>
      <c r="T11" s="153" cm="1">
        <f t="array" ref="T11">O11/(D11-(F11+N11))</f>
        <v>0.25</v>
      </c>
      <c r="U11" s="17" cm="1">
        <f t="array" ref="U11">RANK(R11,$R$4:$R$23)</f>
        <v>16</v>
      </c>
      <c r="V11" s="18" cm="1">
        <f t="array" ref="V11">RANK(S11,$S$4:$S$23)</f>
        <v>13</v>
      </c>
      <c r="W11" s="10">
        <v>2</v>
      </c>
      <c r="X11" s="154" cm="1">
        <f t="array" ref="X11">RANK(C11,$C$4:$C$23)</f>
        <v>13</v>
      </c>
    </row>
    <row r="12" ht="19.5" customHeight="1">
      <c r="A12" t="s" s="8">
        <v>32</v>
      </c>
      <c r="B12" s="10">
        <v>5</v>
      </c>
      <c r="C12" s="119">
        <v>0.166666666666667</v>
      </c>
      <c r="D12" s="10">
        <v>9</v>
      </c>
      <c r="E12" s="10">
        <v>6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1</v>
      </c>
      <c r="L12" s="10">
        <v>1</v>
      </c>
      <c r="M12" s="10">
        <v>1</v>
      </c>
      <c r="N12" s="10">
        <v>0</v>
      </c>
      <c r="O12" s="10">
        <v>1</v>
      </c>
      <c r="P12" s="152">
        <v>0.111111111111111</v>
      </c>
      <c r="Q12" s="13">
        <v>0.166666666666667</v>
      </c>
      <c r="R12" s="13">
        <v>0.111111111111111</v>
      </c>
      <c r="S12" s="15">
        <v>0.277777777777778</v>
      </c>
      <c r="T12" s="153" cm="1">
        <f t="array" ref="T12">O12/(D12-(F12+N12))</f>
        <v>0.125</v>
      </c>
      <c r="U12" s="17" cm="1">
        <f t="array" ref="U12">RANK(R12,$R$4:$R$23)</f>
        <v>18</v>
      </c>
      <c r="V12" s="18" cm="1">
        <f t="array" ref="V12">RANK(S12,$S$4:$S$23)</f>
        <v>18</v>
      </c>
      <c r="W12" s="10">
        <v>1</v>
      </c>
      <c r="X12" s="154" cm="1">
        <f t="array" ref="X12">RANK(C12,$C$4:$C$23)</f>
        <v>14</v>
      </c>
    </row>
    <row r="13" ht="19.5" customHeight="1">
      <c r="A13" t="s" s="8">
        <v>33</v>
      </c>
      <c r="B13" s="10">
        <v>20</v>
      </c>
      <c r="C13" s="119">
        <v>0.541666666666667</v>
      </c>
      <c r="D13" s="10">
        <v>52</v>
      </c>
      <c r="E13" s="10">
        <v>48</v>
      </c>
      <c r="F13" s="10">
        <v>26</v>
      </c>
      <c r="G13" s="10">
        <v>12</v>
      </c>
      <c r="H13" s="10">
        <v>13</v>
      </c>
      <c r="I13" s="10">
        <v>1</v>
      </c>
      <c r="J13" s="10">
        <v>0</v>
      </c>
      <c r="K13" s="10">
        <v>16</v>
      </c>
      <c r="L13" s="10">
        <v>20</v>
      </c>
      <c r="M13" s="10">
        <v>8</v>
      </c>
      <c r="N13" s="10">
        <v>3</v>
      </c>
      <c r="O13" s="10">
        <v>4</v>
      </c>
      <c r="P13" s="152">
        <v>0.0769230769230769</v>
      </c>
      <c r="Q13" s="13">
        <v>0.854166666666667</v>
      </c>
      <c r="R13" s="13">
        <v>0.557692307692308</v>
      </c>
      <c r="S13" s="15">
        <v>1.41185897435897</v>
      </c>
      <c r="T13" s="153" cm="1">
        <f t="array" ref="T13">O13/(D13-(F13+N13))</f>
        <v>0.173913043478261</v>
      </c>
      <c r="U13" s="17" cm="1">
        <f t="array" ref="U13">RANK(R13,$R$4:$R$23)</f>
        <v>3</v>
      </c>
      <c r="V13" s="18" cm="1">
        <f t="array" ref="V13">RANK(S13,$S$4:$S$23)</f>
        <v>2</v>
      </c>
      <c r="W13" s="10">
        <v>3</v>
      </c>
      <c r="X13" s="154" cm="1">
        <f t="array" ref="X13">RANK(C13,$C$4:$C$23)</f>
        <v>2</v>
      </c>
    </row>
    <row r="14" ht="19.5" customHeight="1">
      <c r="A14" t="s" s="8">
        <v>34</v>
      </c>
      <c r="B14" s="10">
        <v>7</v>
      </c>
      <c r="C14" s="119">
        <v>0</v>
      </c>
      <c r="D14" s="10">
        <v>16</v>
      </c>
      <c r="E14" s="10">
        <v>10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4</v>
      </c>
      <c r="L14" s="10">
        <v>1</v>
      </c>
      <c r="M14" s="10">
        <v>2</v>
      </c>
      <c r="N14" s="10">
        <v>6</v>
      </c>
      <c r="O14" s="10">
        <v>6</v>
      </c>
      <c r="P14" s="152">
        <v>0.375</v>
      </c>
      <c r="Q14" s="13">
        <v>0</v>
      </c>
      <c r="R14" s="13">
        <v>0.375</v>
      </c>
      <c r="S14" s="15">
        <v>0.375</v>
      </c>
      <c r="T14" s="157" cm="1">
        <f t="array" ref="T14">O14/(D14-(F14+N14))</f>
        <v>0.6</v>
      </c>
      <c r="U14" s="17" cm="1">
        <f t="array" ref="U14">RANK(R14,$R$4:$R$23)</f>
        <v>12</v>
      </c>
      <c r="V14" s="18" cm="1">
        <f t="array" ref="V14">RANK(S14,$S$4:$S$23)</f>
        <v>17</v>
      </c>
      <c r="W14" s="10">
        <v>10</v>
      </c>
      <c r="X14" s="154" cm="1">
        <f t="array" ref="X14">RANK(C14,$C$4:$C$23)</f>
        <v>18</v>
      </c>
    </row>
    <row r="15" ht="19.5" customHeight="1">
      <c r="A15" t="s" s="8">
        <v>35</v>
      </c>
      <c r="B15" s="10">
        <v>8</v>
      </c>
      <c r="C15" s="119">
        <v>0.153846153846154</v>
      </c>
      <c r="D15" s="10">
        <v>20</v>
      </c>
      <c r="E15" s="10">
        <v>13</v>
      </c>
      <c r="F15" s="10">
        <v>2</v>
      </c>
      <c r="G15" s="10">
        <v>2</v>
      </c>
      <c r="H15" s="10">
        <v>0</v>
      </c>
      <c r="I15" s="10">
        <v>0</v>
      </c>
      <c r="J15" s="10">
        <v>0</v>
      </c>
      <c r="K15" s="10">
        <v>3</v>
      </c>
      <c r="L15" s="10">
        <v>4</v>
      </c>
      <c r="M15" s="10">
        <v>1</v>
      </c>
      <c r="N15" s="10">
        <v>4</v>
      </c>
      <c r="O15" s="10">
        <v>7</v>
      </c>
      <c r="P15" s="12">
        <v>0.35</v>
      </c>
      <c r="Q15" s="13">
        <v>0.153846153846154</v>
      </c>
      <c r="R15" s="13">
        <v>0.3</v>
      </c>
      <c r="S15" s="15">
        <v>0.453846153846154</v>
      </c>
      <c r="T15" s="153" cm="1">
        <f t="array" ref="T15">O15/(D15-(F15+N15))</f>
        <v>0.5</v>
      </c>
      <c r="U15" s="17" cm="1">
        <f t="array" ref="U15">RANK(R15,$R$4:$R$23)</f>
        <v>17</v>
      </c>
      <c r="V15" s="18" cm="1">
        <f t="array" ref="V15">RANK(S15,$S$4:$S$23)</f>
        <v>15</v>
      </c>
      <c r="W15" s="10">
        <v>1</v>
      </c>
      <c r="X15" s="154" cm="1">
        <f t="array" ref="X15">RANK(C15,$C$4:$C$23)</f>
        <v>16</v>
      </c>
    </row>
    <row r="16" ht="19.5" customHeight="1">
      <c r="A16" t="s" s="8">
        <v>36</v>
      </c>
      <c r="B16" s="10">
        <v>9</v>
      </c>
      <c r="C16" s="119">
        <v>0.333333333333333</v>
      </c>
      <c r="D16" s="10">
        <v>12</v>
      </c>
      <c r="E16" s="10">
        <v>9</v>
      </c>
      <c r="F16" s="10">
        <v>3</v>
      </c>
      <c r="G16" s="10">
        <v>2</v>
      </c>
      <c r="H16" s="10">
        <v>1</v>
      </c>
      <c r="I16" s="10">
        <v>0</v>
      </c>
      <c r="J16" s="10">
        <v>0</v>
      </c>
      <c r="K16" s="10">
        <v>3</v>
      </c>
      <c r="L16" s="10">
        <v>3</v>
      </c>
      <c r="M16" s="10">
        <v>3</v>
      </c>
      <c r="N16" s="10">
        <v>3</v>
      </c>
      <c r="O16" s="10">
        <v>2</v>
      </c>
      <c r="P16" s="152">
        <v>0.166666666666667</v>
      </c>
      <c r="Q16" s="13">
        <v>0.444444444444444</v>
      </c>
      <c r="R16" s="13">
        <v>0.5</v>
      </c>
      <c r="S16" s="15">
        <v>0.944444444444444</v>
      </c>
      <c r="T16" s="153" cm="1">
        <f t="array" ref="T16">O16/(D16-(F16+N16))</f>
        <v>0.333333333333333</v>
      </c>
      <c r="U16" s="17" cm="1">
        <f t="array" ref="U16">RANK(R16,$R$4:$R$23)</f>
        <v>6</v>
      </c>
      <c r="V16" s="18" cm="1">
        <f t="array" ref="V16">RANK(S16,$S$4:$S$23)</f>
        <v>6</v>
      </c>
      <c r="W16" s="10">
        <v>5</v>
      </c>
      <c r="X16" s="154" cm="1">
        <f t="array" ref="X16">RANK(C16,$C$4:$C$23)</f>
        <v>7</v>
      </c>
    </row>
    <row r="17" ht="19.5" customHeight="1">
      <c r="A17" t="s" s="8">
        <v>37</v>
      </c>
      <c r="B17" s="10">
        <v>4</v>
      </c>
      <c r="C17" s="119">
        <v>0.3</v>
      </c>
      <c r="D17" s="10">
        <v>12</v>
      </c>
      <c r="E17" s="10">
        <v>10</v>
      </c>
      <c r="F17" s="10">
        <v>3</v>
      </c>
      <c r="G17" s="10">
        <v>2</v>
      </c>
      <c r="H17" s="10">
        <v>1</v>
      </c>
      <c r="I17" s="10">
        <v>0</v>
      </c>
      <c r="J17" s="10">
        <v>0</v>
      </c>
      <c r="K17" s="10">
        <v>3</v>
      </c>
      <c r="L17" s="10">
        <v>2</v>
      </c>
      <c r="M17" s="10">
        <v>2</v>
      </c>
      <c r="N17" s="10">
        <v>2</v>
      </c>
      <c r="O17" s="10">
        <v>4</v>
      </c>
      <c r="P17" s="12">
        <v>0.333333333333333</v>
      </c>
      <c r="Q17" s="13">
        <v>0.4</v>
      </c>
      <c r="R17" s="13">
        <v>0.416666666666667</v>
      </c>
      <c r="S17" s="15">
        <v>0.816666666666667</v>
      </c>
      <c r="T17" s="153" cm="1">
        <f t="array" ref="T17">O17/(D17-(F17+N17))</f>
        <v>0.571428571428571</v>
      </c>
      <c r="U17" s="17" cm="1">
        <f t="array" ref="U17">RANK(R17,$R$4:$R$23)</f>
        <v>10</v>
      </c>
      <c r="V17" s="18" cm="1">
        <f t="array" ref="V17">RANK(S17,$S$4:$S$23)</f>
        <v>8</v>
      </c>
      <c r="W17" s="10">
        <v>5</v>
      </c>
      <c r="X17" s="154" cm="1">
        <f t="array" ref="X17">RANK(C17,$C$4:$C$23)</f>
        <v>10</v>
      </c>
    </row>
    <row r="18" ht="19.5" customHeight="1">
      <c r="A18" t="s" s="8">
        <v>38</v>
      </c>
      <c r="B18" s="10">
        <v>15</v>
      </c>
      <c r="C18" s="119">
        <v>0.533333333333333</v>
      </c>
      <c r="D18" s="10">
        <v>36</v>
      </c>
      <c r="E18" s="10">
        <v>30</v>
      </c>
      <c r="F18" s="10">
        <v>16</v>
      </c>
      <c r="G18" s="10">
        <v>14</v>
      </c>
      <c r="H18" s="10">
        <v>0</v>
      </c>
      <c r="I18" s="10">
        <v>1</v>
      </c>
      <c r="J18" s="10">
        <v>1</v>
      </c>
      <c r="K18" s="10">
        <v>10</v>
      </c>
      <c r="L18" s="10">
        <v>9</v>
      </c>
      <c r="M18" s="10">
        <v>6</v>
      </c>
      <c r="N18" s="10">
        <v>5</v>
      </c>
      <c r="O18" s="10">
        <v>5</v>
      </c>
      <c r="P18" s="152">
        <v>0.138888888888889</v>
      </c>
      <c r="Q18" s="13">
        <v>0.7</v>
      </c>
      <c r="R18" s="13">
        <v>0.583333333333333</v>
      </c>
      <c r="S18" s="15">
        <v>1.28333333333333</v>
      </c>
      <c r="T18" s="153" cm="1">
        <f t="array" ref="T18">O18/(D18-(F18+N18))</f>
        <v>0.333333333333333</v>
      </c>
      <c r="U18" s="17" cm="1">
        <f t="array" ref="U18">RANK(R18,$R$4:$R$23)</f>
        <v>2</v>
      </c>
      <c r="V18" s="18" cm="1">
        <f t="array" ref="V18">RANK(S18,$S$4:$S$23)</f>
        <v>3</v>
      </c>
      <c r="W18" s="10">
        <v>0</v>
      </c>
      <c r="X18" s="154" cm="1">
        <f t="array" ref="X18">RANK(C18,$C$4:$C$23)</f>
        <v>3</v>
      </c>
    </row>
    <row r="19" ht="19.5" customHeight="1">
      <c r="A19" t="s" s="8">
        <v>39</v>
      </c>
      <c r="B19" s="10">
        <v>9</v>
      </c>
      <c r="C19" s="119">
        <v>0.35</v>
      </c>
      <c r="D19" s="10">
        <v>22</v>
      </c>
      <c r="E19" s="10">
        <v>20</v>
      </c>
      <c r="F19" s="10">
        <v>7</v>
      </c>
      <c r="G19" s="10">
        <v>7</v>
      </c>
      <c r="H19" s="10">
        <v>0</v>
      </c>
      <c r="I19" s="10">
        <v>0</v>
      </c>
      <c r="J19" s="10">
        <v>0</v>
      </c>
      <c r="K19" s="10">
        <v>4</v>
      </c>
      <c r="L19" s="10">
        <v>4</v>
      </c>
      <c r="M19" s="10">
        <v>4</v>
      </c>
      <c r="N19" s="10">
        <v>1</v>
      </c>
      <c r="O19" s="10">
        <v>2</v>
      </c>
      <c r="P19" s="152">
        <v>0.0909090909090909</v>
      </c>
      <c r="Q19" s="13">
        <v>0.35</v>
      </c>
      <c r="R19" s="13">
        <v>0.363636363636364</v>
      </c>
      <c r="S19" s="15">
        <v>0.713636363636364</v>
      </c>
      <c r="T19" s="157" cm="1">
        <f t="array" ref="T19">O19/(D19-(F19+N19))</f>
        <v>0.142857142857143</v>
      </c>
      <c r="U19" s="17" cm="1">
        <f t="array" ref="U19">RANK(R19,$R$4:$R$23)</f>
        <v>13</v>
      </c>
      <c r="V19" s="18" cm="1">
        <f t="array" ref="V19">RANK(S19,$S$4:$S$23)</f>
        <v>12</v>
      </c>
      <c r="W19" s="10">
        <v>3</v>
      </c>
      <c r="X19" s="154" cm="1">
        <f t="array" ref="X19">RANK(C19,$C$4:$C$23)</f>
        <v>5</v>
      </c>
    </row>
    <row r="20" ht="19.5" customHeight="1">
      <c r="A20" t="s" s="8">
        <v>40</v>
      </c>
      <c r="B20" s="10">
        <v>16</v>
      </c>
      <c r="C20" s="119">
        <v>0.09523809523809521</v>
      </c>
      <c r="D20" s="10">
        <v>29</v>
      </c>
      <c r="E20" s="10">
        <v>21</v>
      </c>
      <c r="F20" s="10">
        <v>2</v>
      </c>
      <c r="G20" s="10">
        <v>2</v>
      </c>
      <c r="H20" s="10">
        <v>0</v>
      </c>
      <c r="I20" s="10">
        <v>0</v>
      </c>
      <c r="J20" s="10">
        <v>0</v>
      </c>
      <c r="K20" s="10">
        <v>5</v>
      </c>
      <c r="L20" s="10">
        <v>6</v>
      </c>
      <c r="M20" s="10">
        <v>6</v>
      </c>
      <c r="N20" s="10">
        <v>8</v>
      </c>
      <c r="O20" s="10">
        <v>15</v>
      </c>
      <c r="P20" s="12">
        <v>0.517241379310345</v>
      </c>
      <c r="Q20" s="13">
        <v>0.09523809523809521</v>
      </c>
      <c r="R20" s="13">
        <v>0.344827586206897</v>
      </c>
      <c r="S20" s="15">
        <v>0.440065681444992</v>
      </c>
      <c r="T20" s="153" cm="1">
        <f t="array" ref="T20">O20/(D20-(F20+N20))</f>
        <v>0.789473684210526</v>
      </c>
      <c r="U20" s="17" cm="1">
        <f t="array" ref="U20">RANK(R20,$R$4:$R$23)</f>
        <v>15</v>
      </c>
      <c r="V20" s="18" cm="1">
        <f t="array" ref="V20">RANK(S20,$S$4:$S$23)</f>
        <v>16</v>
      </c>
      <c r="W20" s="10">
        <v>5</v>
      </c>
      <c r="X20" s="154" cm="1">
        <f t="array" ref="X20">RANK(C20,$C$4:$C$23)</f>
        <v>17</v>
      </c>
    </row>
    <row r="21" ht="19.5" customHeight="1">
      <c r="A21" t="s" s="8">
        <v>41</v>
      </c>
      <c r="B21" s="10">
        <v>19</v>
      </c>
      <c r="C21" s="119">
        <v>0.342105263157895</v>
      </c>
      <c r="D21" s="10">
        <v>44</v>
      </c>
      <c r="E21" s="10">
        <v>38</v>
      </c>
      <c r="F21" s="10">
        <v>13</v>
      </c>
      <c r="G21" s="10">
        <v>9</v>
      </c>
      <c r="H21" s="10">
        <v>3</v>
      </c>
      <c r="I21" s="10">
        <v>0</v>
      </c>
      <c r="J21" s="10">
        <v>1</v>
      </c>
      <c r="K21" s="10">
        <v>17</v>
      </c>
      <c r="L21" s="10">
        <v>8</v>
      </c>
      <c r="M21" s="10">
        <v>9</v>
      </c>
      <c r="N21" s="10">
        <v>6</v>
      </c>
      <c r="O21" s="10">
        <v>8</v>
      </c>
      <c r="P21" s="152">
        <v>0.181818181818182</v>
      </c>
      <c r="Q21" s="13">
        <v>0.5</v>
      </c>
      <c r="R21" s="13">
        <v>0.431818181818182</v>
      </c>
      <c r="S21" s="15">
        <v>0.931818181818182</v>
      </c>
      <c r="T21" s="157" cm="1">
        <f t="array" ref="T21">O21/(D21-(F21+N21))</f>
        <v>0.32</v>
      </c>
      <c r="U21" s="17" cm="1">
        <f t="array" ref="U21">RANK(R21,$R$4:$R$23)</f>
        <v>8</v>
      </c>
      <c r="V21" s="18" cm="1">
        <f t="array" ref="V21">RANK(S21,$S$4:$S$23)</f>
        <v>7</v>
      </c>
      <c r="W21" s="10">
        <v>0</v>
      </c>
      <c r="X21" s="154" cm="1">
        <f t="array" ref="X21">RANK(C21,$C$4:$C$23)</f>
        <v>6</v>
      </c>
    </row>
    <row r="22" ht="19.5" customHeight="1">
      <c r="A22" t="s" s="8">
        <v>42</v>
      </c>
      <c r="B22" s="10">
        <v>10</v>
      </c>
      <c r="C22" s="119">
        <v>0.333333333333333</v>
      </c>
      <c r="D22" s="10">
        <v>18</v>
      </c>
      <c r="E22" s="10">
        <v>15</v>
      </c>
      <c r="F22" s="10">
        <v>5</v>
      </c>
      <c r="G22" s="10">
        <v>5</v>
      </c>
      <c r="H22" s="10">
        <v>0</v>
      </c>
      <c r="I22" s="10">
        <v>0</v>
      </c>
      <c r="J22" s="10">
        <v>0</v>
      </c>
      <c r="K22" s="10">
        <v>5</v>
      </c>
      <c r="L22" s="10">
        <v>1</v>
      </c>
      <c r="M22" s="10">
        <v>6</v>
      </c>
      <c r="N22" s="10">
        <v>2</v>
      </c>
      <c r="O22" s="10">
        <v>4</v>
      </c>
      <c r="P22" s="152">
        <v>0.222222222222222</v>
      </c>
      <c r="Q22" s="13">
        <v>0.333333333333333</v>
      </c>
      <c r="R22" s="13">
        <v>0.388888888888889</v>
      </c>
      <c r="S22" s="15">
        <v>0.722222222222222</v>
      </c>
      <c r="T22" s="153" cm="1">
        <f t="array" ref="T22">O22/(D22-(F22+N22))</f>
        <v>0.363636363636364</v>
      </c>
      <c r="U22" s="17" cm="1">
        <f t="array" ref="U22">RANK(R22,$R$4:$R$23)</f>
        <v>11</v>
      </c>
      <c r="V22" s="18" cm="1">
        <f t="array" ref="V22">RANK(S22,$S$4:$S$23)</f>
        <v>11</v>
      </c>
      <c r="W22" s="10">
        <v>2</v>
      </c>
      <c r="X22" s="154" cm="1">
        <f t="array" ref="X22">RANK(C22,$C$4:$C$23)</f>
        <v>7</v>
      </c>
    </row>
    <row r="23" ht="19.5" customHeight="1">
      <c r="A23" t="s" s="8">
        <v>43</v>
      </c>
      <c r="B23" s="10">
        <v>14</v>
      </c>
      <c r="C23" s="119">
        <v>0.266666666666667</v>
      </c>
      <c r="D23" s="10">
        <v>38</v>
      </c>
      <c r="E23" s="10">
        <v>30</v>
      </c>
      <c r="F23" s="10">
        <v>8</v>
      </c>
      <c r="G23" s="10">
        <v>6</v>
      </c>
      <c r="H23" s="10">
        <v>2</v>
      </c>
      <c r="I23" s="10">
        <v>0</v>
      </c>
      <c r="J23" s="10">
        <v>0</v>
      </c>
      <c r="K23" s="10">
        <v>6</v>
      </c>
      <c r="L23" s="10">
        <v>7</v>
      </c>
      <c r="M23" s="10">
        <v>5</v>
      </c>
      <c r="N23" s="10">
        <v>8</v>
      </c>
      <c r="O23" s="10">
        <v>9</v>
      </c>
      <c r="P23" s="152">
        <v>0.236842105263158</v>
      </c>
      <c r="Q23" s="13">
        <v>0.333333333333333</v>
      </c>
      <c r="R23" s="13">
        <v>0.421052631578947</v>
      </c>
      <c r="S23" s="15">
        <v>0.754385964912281</v>
      </c>
      <c r="T23" s="227" cm="1">
        <f t="array" ref="T23">O23/(D23-(F23+N23))</f>
        <v>0.409090909090909</v>
      </c>
      <c r="U23" s="17" cm="1">
        <f t="array" ref="U23">RANK(R23,$R$4:$R$23)</f>
        <v>9</v>
      </c>
      <c r="V23" s="18" cm="1">
        <f t="array" ref="V23">RANK(S23,$S$4:$S$23)</f>
        <v>10</v>
      </c>
      <c r="W23" s="10">
        <v>1</v>
      </c>
      <c r="X23" s="154" cm="1">
        <f t="array" ref="X23">RANK(C23,$C$4:$C$23)</f>
        <v>12</v>
      </c>
    </row>
    <row r="24" ht="19.5" customHeight="1">
      <c r="A24" t="s" s="8">
        <v>44</v>
      </c>
      <c r="B24" s="10">
        <v>7</v>
      </c>
      <c r="C24" s="119">
        <v>0.0909090909090909</v>
      </c>
      <c r="D24" s="10">
        <v>16</v>
      </c>
      <c r="E24" s="10">
        <v>11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3</v>
      </c>
      <c r="L24" s="10">
        <v>0</v>
      </c>
      <c r="M24" s="10">
        <v>2</v>
      </c>
      <c r="N24" s="10">
        <v>2</v>
      </c>
      <c r="O24" s="10">
        <v>3</v>
      </c>
      <c r="P24" s="152">
        <v>0.1875</v>
      </c>
      <c r="Q24" s="13">
        <v>0.0909090909090909</v>
      </c>
      <c r="R24" s="13">
        <v>0.1875</v>
      </c>
      <c r="S24" s="15">
        <v>0.278409090909091</v>
      </c>
      <c r="T24" s="31"/>
      <c r="U24" s="31"/>
      <c r="V24" s="31"/>
      <c r="W24" s="49" cm="1">
        <f t="array" ref="W24">SUM(W4:W23)</f>
        <v>49</v>
      </c>
      <c r="X24" s="31"/>
    </row>
    <row r="25" ht="19.5" customHeight="1">
      <c r="A25" t="s" s="29">
        <v>45</v>
      </c>
      <c r="B25" s="124"/>
      <c r="C25" s="127" cm="1">
        <f t="array" ref="C25">F25/E25</f>
        <v>0.355704697986577</v>
      </c>
      <c r="D25" s="49" cm="1">
        <f t="array" ref="D25">SUM(D4:D24)</f>
        <v>565</v>
      </c>
      <c r="E25" s="49" cm="1">
        <f t="array" ref="E25">SUM(E4:E24)</f>
        <v>447</v>
      </c>
      <c r="F25" s="49" cm="1">
        <f t="array" ref="F25">SUM(F4:F24)</f>
        <v>159</v>
      </c>
      <c r="G25" s="49" cm="1">
        <f t="array" ref="G25">SUM(G4:G24)</f>
        <v>118</v>
      </c>
      <c r="H25" s="49" cm="1">
        <f t="array" ref="H25">SUM(H4:H24)</f>
        <v>30</v>
      </c>
      <c r="I25" s="49" cm="1">
        <f t="array" ref="I25">SUM(I4:I24)</f>
        <v>8</v>
      </c>
      <c r="J25" s="49" cm="1">
        <f t="array" ref="J25">SUM(J4:J24)</f>
        <v>3</v>
      </c>
      <c r="K25" s="49" cm="1">
        <f t="array" ref="K25">SUM(K4:K24)</f>
        <v>163</v>
      </c>
      <c r="L25" s="49" cm="1">
        <f t="array" ref="L25">SUM(L4:L24)</f>
        <v>134</v>
      </c>
      <c r="M25" s="49" cm="1">
        <f t="array" ref="M25">SUM(M4:M24)</f>
        <v>129</v>
      </c>
      <c r="N25" s="49" cm="1">
        <f t="array" ref="N25">SUM(N4:N24)</f>
        <v>99</v>
      </c>
      <c r="O25" s="49" cm="1">
        <f t="array" ref="O25">SUM(O4:O24)</f>
        <v>106</v>
      </c>
      <c r="P25" s="33" cm="1">
        <f t="array" ref="P25">O25/D25</f>
        <v>0.187610619469027</v>
      </c>
      <c r="Q25" s="127"/>
      <c r="R25" s="127"/>
      <c r="S25" s="121"/>
      <c r="T25" s="31"/>
      <c r="U25" s="31"/>
      <c r="V25" s="228"/>
      <c r="W25" s="34"/>
      <c r="X25" s="34"/>
    </row>
    <row r="26" ht="16.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"/>
      <c r="W26" s="3"/>
      <c r="X26" s="3"/>
    </row>
    <row r="27" ht="17.25" customHeight="1">
      <c r="A27" t="s" s="5">
        <v>46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6"/>
      <c r="S27" s="6"/>
      <c r="T27" s="6"/>
      <c r="U27" s="6"/>
      <c r="V27" s="6"/>
      <c r="W27" s="3"/>
      <c r="X27" s="3"/>
    </row>
    <row r="28" ht="51.75" customHeight="1">
      <c r="A28" t="s" s="8">
        <v>2</v>
      </c>
      <c r="B28" t="s" s="8">
        <v>3</v>
      </c>
      <c r="C28" t="s" s="8">
        <v>47</v>
      </c>
      <c r="D28" t="s" s="8">
        <v>48</v>
      </c>
      <c r="E28" t="s" s="8">
        <v>49</v>
      </c>
      <c r="F28" t="s" s="8">
        <v>50</v>
      </c>
      <c r="G28" t="s" s="8">
        <v>6</v>
      </c>
      <c r="H28" t="s" s="8">
        <v>51</v>
      </c>
      <c r="I28" t="s" s="8">
        <v>52</v>
      </c>
      <c r="J28" t="s" s="8">
        <v>53</v>
      </c>
      <c r="K28" t="s" s="8">
        <v>54</v>
      </c>
      <c r="L28" t="s" s="8">
        <v>55</v>
      </c>
      <c r="M28" t="s" s="8">
        <v>56</v>
      </c>
      <c r="N28" t="s" s="8">
        <v>57</v>
      </c>
      <c r="O28" t="s" s="8">
        <v>58</v>
      </c>
      <c r="P28" t="s" s="8">
        <v>59</v>
      </c>
      <c r="Q28" t="s" s="8">
        <v>60</v>
      </c>
      <c r="R28" t="s" s="8">
        <v>61</v>
      </c>
      <c r="S28" t="s" s="8">
        <v>116</v>
      </c>
      <c r="T28" t="s" s="8">
        <v>63</v>
      </c>
      <c r="U28" t="s" s="8">
        <v>64</v>
      </c>
      <c r="V28" t="s" s="8">
        <v>65</v>
      </c>
      <c r="W28" s="9"/>
      <c r="X28" s="3"/>
    </row>
    <row r="29" ht="19.5" customHeight="1">
      <c r="A29" t="s" s="8">
        <v>24</v>
      </c>
      <c r="B29" s="10">
        <v>10</v>
      </c>
      <c r="C29" s="10">
        <v>1</v>
      </c>
      <c r="D29" s="10">
        <v>2</v>
      </c>
      <c r="E29" s="10">
        <v>0</v>
      </c>
      <c r="F29" s="10">
        <v>71</v>
      </c>
      <c r="G29" s="10">
        <v>40</v>
      </c>
      <c r="H29" s="39">
        <v>6.333326666</v>
      </c>
      <c r="I29" s="10">
        <v>15</v>
      </c>
      <c r="J29" s="10">
        <v>0</v>
      </c>
      <c r="K29" s="10">
        <v>27</v>
      </c>
      <c r="L29" s="10">
        <v>4</v>
      </c>
      <c r="M29" s="10">
        <v>4</v>
      </c>
      <c r="N29" s="10">
        <v>33</v>
      </c>
      <c r="O29" s="10">
        <v>19</v>
      </c>
      <c r="P29" s="40" cm="1">
        <f t="array" ref="P29">O29*9/H29</f>
        <v>27.0000284239247</v>
      </c>
      <c r="Q29" s="41" cm="1">
        <f t="array" ref="Q29">(K29+L29)/H29</f>
        <v>4.89474199498049</v>
      </c>
      <c r="R29" s="42" cm="1">
        <f t="array" ref="R29">I29/H29</f>
        <v>2.3684235459583</v>
      </c>
      <c r="S29" s="42" cm="1">
        <f t="array" ref="S29">H29/B29</f>
        <v>0.6333326666</v>
      </c>
      <c r="T29" s="41" cm="1">
        <f t="array" ref="T29">M29/H29</f>
        <v>0.631579612255548</v>
      </c>
      <c r="U29" s="44" cm="1">
        <f t="array" ref="U29">O29/N29</f>
        <v>0.575757575757576</v>
      </c>
      <c r="V29" s="41" cm="1">
        <f t="array" ref="V29">(I29+K29+L29)/H29</f>
        <v>7.2631655409388</v>
      </c>
      <c r="W29" s="9"/>
      <c r="X29" s="225" cm="1">
        <f t="array" ref="X29">(L29+K29)/F29*100</f>
        <v>43.6619718309859</v>
      </c>
    </row>
    <row r="30" ht="19.5" customHeight="1">
      <c r="A30" t="s" s="8">
        <v>27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39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40"/>
      <c r="Q30" s="41"/>
      <c r="R30" s="42"/>
      <c r="S30" s="42"/>
      <c r="T30" s="41"/>
      <c r="U30" s="44"/>
      <c r="V30" s="41"/>
      <c r="W30" s="9"/>
      <c r="X30" s="225"/>
    </row>
    <row r="31" ht="19.5" customHeight="1">
      <c r="A31" t="s" s="8">
        <v>29</v>
      </c>
      <c r="B31" s="10">
        <v>9</v>
      </c>
      <c r="C31" s="10">
        <v>1</v>
      </c>
      <c r="D31" s="10">
        <v>2</v>
      </c>
      <c r="E31" s="10">
        <v>0</v>
      </c>
      <c r="F31" s="10">
        <v>113</v>
      </c>
      <c r="G31" s="10">
        <v>85</v>
      </c>
      <c r="H31" s="39">
        <v>12.66663333</v>
      </c>
      <c r="I31" s="10">
        <v>33</v>
      </c>
      <c r="J31" s="10">
        <v>3</v>
      </c>
      <c r="K31" s="10">
        <v>23</v>
      </c>
      <c r="L31" s="10">
        <v>5</v>
      </c>
      <c r="M31" s="10">
        <v>11</v>
      </c>
      <c r="N31" s="10">
        <v>48</v>
      </c>
      <c r="O31" s="10">
        <v>32</v>
      </c>
      <c r="P31" s="40" cm="1">
        <f t="array" ref="P31">O31*9/H31</f>
        <v>22.736901945199</v>
      </c>
      <c r="Q31" s="41" cm="1">
        <f t="array" ref="Q31">(K31+L31)/H31</f>
        <v>2.21053213356102</v>
      </c>
      <c r="R31" s="42" cm="1">
        <f t="array" ref="R31">I31/H31</f>
        <v>2.60527001455406</v>
      </c>
      <c r="S31" s="42" cm="1">
        <f t="array" ref="S31">H31/B31</f>
        <v>1.40740370333333</v>
      </c>
      <c r="T31" s="41" cm="1">
        <f t="array" ref="T31">M31/H31</f>
        <v>0.868423338184686</v>
      </c>
      <c r="U31" s="44" cm="1">
        <f t="array" ref="U31">O31/N31</f>
        <v>0.666666666666667</v>
      </c>
      <c r="V31" s="41" cm="1">
        <f t="array" ref="V31">(I31+K31+L31)/H31</f>
        <v>4.81580214811507</v>
      </c>
      <c r="W31" s="9"/>
      <c r="X31" s="225" cm="1">
        <f t="array" ref="X31">(L31+K31)/F31*100</f>
        <v>24.7787610619469</v>
      </c>
    </row>
    <row r="32" ht="19.5" customHeight="1">
      <c r="A32" t="s" s="8">
        <v>33</v>
      </c>
      <c r="B32" s="10">
        <v>15</v>
      </c>
      <c r="C32" s="10">
        <v>1</v>
      </c>
      <c r="D32" s="10">
        <v>3</v>
      </c>
      <c r="E32" s="10">
        <v>1</v>
      </c>
      <c r="F32" s="10">
        <v>115</v>
      </c>
      <c r="G32" s="10">
        <v>97</v>
      </c>
      <c r="H32" s="39">
        <v>19.999933333330</v>
      </c>
      <c r="I32" s="76">
        <v>29</v>
      </c>
      <c r="J32" s="76">
        <v>0</v>
      </c>
      <c r="K32" s="76">
        <v>14</v>
      </c>
      <c r="L32" s="76">
        <v>4</v>
      </c>
      <c r="M32" s="76">
        <v>34</v>
      </c>
      <c r="N32" s="76">
        <v>29</v>
      </c>
      <c r="O32" s="76">
        <v>16</v>
      </c>
      <c r="P32" s="40" cm="1">
        <f t="array" ref="P32">O32*9/H32</f>
        <v>7.2000240000812</v>
      </c>
      <c r="Q32" s="41" cm="1">
        <f t="array" ref="Q32">(K32+L32)/H32</f>
        <v>0.90000300001015</v>
      </c>
      <c r="R32" s="42" cm="1">
        <f t="array" ref="R32">I32/H32</f>
        <v>1.45000483334969</v>
      </c>
      <c r="S32" s="42" cm="1">
        <f t="array" ref="S32">H32/B32</f>
        <v>1.33332888888867</v>
      </c>
      <c r="T32" s="41" cm="1">
        <f t="array" ref="T32">M32/H32</f>
        <v>1.70000566668584</v>
      </c>
      <c r="U32" s="44" cm="1">
        <f t="array" ref="U32">O32/N32</f>
        <v>0.551724137931034</v>
      </c>
      <c r="V32" s="41" cm="1">
        <f t="array" ref="V32">(I32+K32+L32)/H32</f>
        <v>2.35000783335984</v>
      </c>
      <c r="W32" s="9"/>
      <c r="X32" s="225" cm="1">
        <f t="array" ref="X32">(L32+K32)/F32*100</f>
        <v>15.6521739130435</v>
      </c>
    </row>
    <row r="33" ht="19.5" customHeight="1">
      <c r="A33" t="s" s="8">
        <v>36</v>
      </c>
      <c r="B33" s="10">
        <v>9</v>
      </c>
      <c r="C33" s="10">
        <v>0</v>
      </c>
      <c r="D33" s="10">
        <v>3</v>
      </c>
      <c r="E33" s="10">
        <v>0</v>
      </c>
      <c r="F33" s="10">
        <v>127</v>
      </c>
      <c r="G33" s="10">
        <v>92</v>
      </c>
      <c r="H33" s="39">
        <v>16.3332666666</v>
      </c>
      <c r="I33" s="10">
        <v>37</v>
      </c>
      <c r="J33" s="10">
        <v>2</v>
      </c>
      <c r="K33" s="10">
        <v>32</v>
      </c>
      <c r="L33" s="10">
        <v>3</v>
      </c>
      <c r="M33" s="10">
        <v>19</v>
      </c>
      <c r="N33" s="10">
        <v>52</v>
      </c>
      <c r="O33" s="10">
        <v>36</v>
      </c>
      <c r="P33" s="40" cm="1">
        <f t="array" ref="P33">O33*9/H33</f>
        <v>19.8368156605531</v>
      </c>
      <c r="Q33" s="41" cm="1">
        <f t="array" ref="Q33">(K33+L33)/H33</f>
        <v>2.14286588925727</v>
      </c>
      <c r="R33" s="42" cm="1">
        <f t="array" ref="R33">I33/H33</f>
        <v>2.2653153686434</v>
      </c>
      <c r="S33" s="42" cm="1">
        <f t="array" ref="S33">H33/B33</f>
        <v>1.8148074074</v>
      </c>
      <c r="T33" s="41" cm="1">
        <f t="array" ref="T33">M33/H33</f>
        <v>1.16327005416823</v>
      </c>
      <c r="U33" s="44" cm="1">
        <f t="array" ref="U33">O33/N33</f>
        <v>0.692307692307692</v>
      </c>
      <c r="V33" s="41" cm="1">
        <f t="array" ref="V33">(I33+K33+L33)/H33</f>
        <v>4.40818125790068</v>
      </c>
      <c r="W33" s="9"/>
      <c r="X33" s="225" cm="1">
        <f t="array" ref="X33">(L33+K33)/F33*100</f>
        <v>27.5590551181102</v>
      </c>
    </row>
    <row r="34" ht="19.5" customHeight="1">
      <c r="A34" t="s" s="8">
        <v>37</v>
      </c>
      <c r="B34" s="10">
        <v>1</v>
      </c>
      <c r="C34" s="10">
        <v>0</v>
      </c>
      <c r="D34" s="10">
        <v>0</v>
      </c>
      <c r="E34" s="10">
        <v>0</v>
      </c>
      <c r="F34" s="10">
        <v>3</v>
      </c>
      <c r="G34" s="10">
        <v>2</v>
      </c>
      <c r="H34" s="39">
        <v>0.3333333</v>
      </c>
      <c r="I34" s="10">
        <v>1</v>
      </c>
      <c r="J34" s="10">
        <v>0</v>
      </c>
      <c r="K34" s="10">
        <v>1</v>
      </c>
      <c r="L34" s="10">
        <v>0</v>
      </c>
      <c r="M34" s="10">
        <v>1</v>
      </c>
      <c r="N34" s="10">
        <v>0</v>
      </c>
      <c r="O34" s="10">
        <v>0</v>
      </c>
      <c r="P34" s="40" cm="1">
        <f t="array" ref="P34">O34*9/H34</f>
        <v>0</v>
      </c>
      <c r="Q34" s="41" cm="1">
        <f t="array" ref="Q34">(K34+L34)/H34</f>
        <v>3.00000030000003</v>
      </c>
      <c r="R34" s="42" cm="1">
        <f t="array" ref="R34">I34/H34</f>
        <v>3.00000030000003</v>
      </c>
      <c r="S34" s="42" cm="1">
        <f t="array" ref="S34">H34/B34</f>
        <v>0.3333333</v>
      </c>
      <c r="T34" s="41" cm="1">
        <f t="array" ref="T34">M34/H34</f>
        <v>3.00000030000003</v>
      </c>
      <c r="U34" s="44"/>
      <c r="V34" s="41" cm="1">
        <f t="array" ref="V34">(I34+K34+L34)/H34</f>
        <v>6.00000060000006</v>
      </c>
      <c r="W34" s="9"/>
      <c r="X34" s="225" cm="1">
        <f t="array" ref="X34">(L34+K34)/F34*100</f>
        <v>33.3333333333333</v>
      </c>
    </row>
    <row r="35" ht="19.5" customHeight="1">
      <c r="A35" t="s" s="8">
        <v>42</v>
      </c>
      <c r="B35" s="10">
        <v>3</v>
      </c>
      <c r="C35" s="10">
        <v>0</v>
      </c>
      <c r="D35" s="10">
        <v>2</v>
      </c>
      <c r="E35" s="10">
        <v>0</v>
      </c>
      <c r="F35" s="10">
        <v>53</v>
      </c>
      <c r="G35" s="10">
        <v>27</v>
      </c>
      <c r="H35" s="39">
        <v>5.9999666666</v>
      </c>
      <c r="I35" s="10">
        <v>7</v>
      </c>
      <c r="J35" s="10">
        <v>1</v>
      </c>
      <c r="K35" s="10">
        <v>26</v>
      </c>
      <c r="L35" s="10">
        <v>0</v>
      </c>
      <c r="M35" s="10">
        <v>3</v>
      </c>
      <c r="N35" s="10">
        <v>25</v>
      </c>
      <c r="O35" s="10">
        <v>13</v>
      </c>
      <c r="P35" s="40" cm="1">
        <f t="array" ref="P35">O35*9/H35</f>
        <v>19.5001083341519</v>
      </c>
      <c r="Q35" s="41" cm="1">
        <f t="array" ref="Q35">(K35+L35)/H35</f>
        <v>4.3333574075893</v>
      </c>
      <c r="R35" s="42" cm="1">
        <f t="array" ref="R35">I35/H35</f>
        <v>1.16667314819712</v>
      </c>
      <c r="S35" s="42" cm="1">
        <f t="array" ref="S35">H35/B35</f>
        <v>1.99998888886667</v>
      </c>
      <c r="T35" s="41" cm="1">
        <f t="array" ref="T35">M35/H35</f>
        <v>0.500002777798766</v>
      </c>
      <c r="U35" s="44" cm="1">
        <f t="array" ref="U35">O35/N35</f>
        <v>0.52</v>
      </c>
      <c r="V35" s="41" cm="1">
        <f t="array" ref="V35">(I35+K35+L35)/H35</f>
        <v>5.50003055578642</v>
      </c>
      <c r="W35" s="9"/>
      <c r="X35" s="225" cm="1">
        <f t="array" ref="X35">(L35+K35)/F35*100</f>
        <v>49.0566037735849</v>
      </c>
    </row>
    <row r="36" ht="19.5" customHeight="1">
      <c r="A36" t="s" s="8">
        <v>43</v>
      </c>
      <c r="B36" s="10">
        <v>15</v>
      </c>
      <c r="C36" s="10">
        <v>3</v>
      </c>
      <c r="D36" s="10">
        <v>4</v>
      </c>
      <c r="E36" s="10">
        <v>2</v>
      </c>
      <c r="F36" s="10">
        <v>210</v>
      </c>
      <c r="G36" s="10">
        <v>158</v>
      </c>
      <c r="H36" s="39">
        <v>28.999966663</v>
      </c>
      <c r="I36" s="10">
        <v>62</v>
      </c>
      <c r="J36" s="10">
        <v>1</v>
      </c>
      <c r="K36" s="10">
        <v>44</v>
      </c>
      <c r="L36" s="10">
        <v>8</v>
      </c>
      <c r="M36" s="10">
        <v>31</v>
      </c>
      <c r="N36" s="10">
        <v>83</v>
      </c>
      <c r="O36" s="10">
        <v>70</v>
      </c>
      <c r="P36" s="40" cm="1">
        <f t="array" ref="P36">O36*9/H36</f>
        <v>21.7241629040834</v>
      </c>
      <c r="Q36" s="41" cm="1">
        <f t="array" ref="Q36">(K36+L36)/H36</f>
        <v>1.79310550954339</v>
      </c>
      <c r="R36" s="42" cm="1">
        <f t="array" ref="R36">I36/H36</f>
        <v>2.13793349214789</v>
      </c>
      <c r="S36" s="42" cm="1">
        <f t="array" ref="S36">H36/B36</f>
        <v>1.93333111086667</v>
      </c>
      <c r="T36" s="41" cm="1">
        <f t="array" ref="T36">M36/H36</f>
        <v>1.06896674607395</v>
      </c>
      <c r="U36" s="44" cm="1">
        <f t="array" ref="U36">O36/N36</f>
        <v>0.843373493975904</v>
      </c>
      <c r="V36" s="41" cm="1">
        <f t="array" ref="V36">(I36+K36+L36)/H36</f>
        <v>3.93103900169128</v>
      </c>
      <c r="W36" s="9"/>
      <c r="X36" s="225" cm="1">
        <f t="array" ref="X36">(L36+K36)/F36*100</f>
        <v>24.7619047619048</v>
      </c>
    </row>
    <row r="37" ht="19.5" customHeight="1">
      <c r="A37" t="s" s="29">
        <v>45</v>
      </c>
      <c r="B37" s="124"/>
      <c r="C37" s="49" cm="1">
        <f t="array" ref="C37">SUM(C29:C36)</f>
        <v>6</v>
      </c>
      <c r="D37" s="49" cm="1">
        <f t="array" ref="D37">SUM(D29:D36)</f>
        <v>16</v>
      </c>
      <c r="E37" s="49" cm="1">
        <f t="array" ref="E37">SUM(E29:E36)</f>
        <v>3</v>
      </c>
      <c r="F37" s="49" cm="1">
        <f t="array" ref="F37">SUM(F29:F36)</f>
        <v>692</v>
      </c>
      <c r="G37" s="49" cm="1">
        <f t="array" ref="G37">SUM(G29:G36)</f>
        <v>501</v>
      </c>
      <c r="H37" s="50" cm="1">
        <f t="array" ref="H37">SUM(H29:H36)</f>
        <v>90.66642662552999</v>
      </c>
      <c r="I37" s="49" cm="1">
        <f t="array" ref="I37">SUM(I29:I36)</f>
        <v>184</v>
      </c>
      <c r="J37" s="49" cm="1">
        <f t="array" ref="J37">SUM(J29:J36)</f>
        <v>7</v>
      </c>
      <c r="K37" s="49" cm="1">
        <f t="array" ref="K37">SUM(K29:K36)</f>
        <v>167</v>
      </c>
      <c r="L37" s="49" cm="1">
        <f t="array" ref="L37">SUM(L29:L36)</f>
        <v>24</v>
      </c>
      <c r="M37" s="49" cm="1">
        <f t="array" ref="M37">SUM(M29:M36)</f>
        <v>103</v>
      </c>
      <c r="N37" s="49" cm="1">
        <f t="array" ref="N37">SUM(N29:N36)</f>
        <v>270</v>
      </c>
      <c r="O37" s="49" cm="1">
        <f t="array" ref="O37">SUM(O29:O36)</f>
        <v>186</v>
      </c>
      <c r="P37" s="51" cm="1">
        <f t="array" ref="P37">O37*9/H37</f>
        <v>18.463284175894</v>
      </c>
      <c r="Q37" s="52" cm="1">
        <f t="array" ref="Q37">(K37+L37)/H37</f>
        <v>2.10662322437022</v>
      </c>
      <c r="R37" s="53" cm="1">
        <f t="array" ref="R37">I37/H37</f>
        <v>2.0294171376132</v>
      </c>
      <c r="S37" s="53">
        <v>0</v>
      </c>
      <c r="T37" s="52" cm="1">
        <f t="array" ref="T37">M37/H37</f>
        <v>1.13603241942478</v>
      </c>
      <c r="U37" s="55" cm="1">
        <f t="array" ref="U37">O37/N37</f>
        <v>0.688888888888889</v>
      </c>
      <c r="V37" s="52" cm="1">
        <f t="array" ref="V37">(I37+K37+L37)/H37</f>
        <v>4.13604036198342</v>
      </c>
      <c r="W37" s="9"/>
      <c r="X37" s="3"/>
    </row>
  </sheetData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dimension ref="A1:AA41"/>
  <sheetViews>
    <sheetView workbookViewId="0" showGridLines="0" defaultGridColor="1"/>
  </sheetViews>
  <sheetFormatPr defaultColWidth="9" defaultRowHeight="16.5" customHeight="1" outlineLevelRow="0" outlineLevelCol="0"/>
  <cols>
    <col min="1" max="18" width="8.85156" style="229" customWidth="1"/>
    <col min="19" max="19" width="10.8516" style="229" customWidth="1"/>
    <col min="20" max="22" width="9" style="229" customWidth="1"/>
    <col min="23" max="23" hidden="1" width="9" style="229" customWidth="1"/>
    <col min="24" max="24" width="11.3516" style="229" customWidth="1"/>
    <col min="25" max="25" width="2.67188" style="229" customWidth="1"/>
    <col min="26" max="27" width="12.6719" style="229" customWidth="1"/>
    <col min="28" max="16384" width="9" style="229" customWidth="1"/>
  </cols>
  <sheetData>
    <row r="1" ht="26.25" customHeight="1">
      <c r="A1" t="s" s="143">
        <v>175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230"/>
      <c r="AA1" s="231"/>
    </row>
    <row r="2" ht="17.25" customHeight="1">
      <c r="A2" t="s" s="146">
        <v>1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8"/>
      <c r="Z2" s="232"/>
      <c r="AA2" s="233"/>
    </row>
    <row r="3" ht="34.5" customHeight="1">
      <c r="A3" t="s" s="8">
        <v>2</v>
      </c>
      <c r="B3" t="s" s="8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  <c r="P3" t="s" s="8">
        <v>109</v>
      </c>
      <c r="Q3" t="s" s="8">
        <v>18</v>
      </c>
      <c r="R3" t="s" s="8">
        <v>19</v>
      </c>
      <c r="S3" t="s" s="8">
        <v>20</v>
      </c>
      <c r="T3" t="s" s="8">
        <v>110</v>
      </c>
      <c r="U3" t="s" s="8">
        <v>22</v>
      </c>
      <c r="V3" t="s" s="8">
        <v>23</v>
      </c>
      <c r="W3" t="s" s="8">
        <v>114</v>
      </c>
      <c r="X3" t="s" s="8">
        <v>111</v>
      </c>
      <c r="Y3" s="167"/>
      <c r="Z3" s="232"/>
      <c r="AA3" s="234"/>
    </row>
    <row r="4" ht="19.5" customHeight="1">
      <c r="A4" t="s" s="8">
        <v>24</v>
      </c>
      <c r="B4" s="10">
        <v>14</v>
      </c>
      <c r="C4" s="151" cm="1">
        <f t="array" ref="C4">F4/E4</f>
        <v>0.15</v>
      </c>
      <c r="D4" s="10">
        <v>24</v>
      </c>
      <c r="E4" s="10">
        <v>20</v>
      </c>
      <c r="F4" s="10">
        <v>3</v>
      </c>
      <c r="G4" s="10">
        <v>2</v>
      </c>
      <c r="H4" s="10">
        <v>0</v>
      </c>
      <c r="I4" s="10">
        <v>1</v>
      </c>
      <c r="J4" s="10">
        <v>0</v>
      </c>
      <c r="K4" s="10">
        <v>8</v>
      </c>
      <c r="L4" s="10">
        <v>4</v>
      </c>
      <c r="M4" s="10">
        <v>9</v>
      </c>
      <c r="N4" s="10">
        <v>4</v>
      </c>
      <c r="O4" s="10">
        <v>10</v>
      </c>
      <c r="P4" s="156" cm="1">
        <f t="array" ref="P4">O4/D4</f>
        <v>0.416666666666667</v>
      </c>
      <c r="Q4" s="13" cm="1">
        <f t="array" ref="Q4">(G4*1+H4*2+I4*3+J4*4)/E4</f>
        <v>0.25</v>
      </c>
      <c r="R4" s="13" cm="1">
        <f t="array" ref="R4">(F4+N4)/D4</f>
        <v>0.291666666666667</v>
      </c>
      <c r="S4" s="15" cm="1">
        <f t="array" ref="S4">R4+Q4</f>
        <v>0.541666666666667</v>
      </c>
      <c r="T4" s="157" cm="1">
        <f t="array" ref="T4">O4/(D4-(F4+N4))</f>
        <v>0.588235294117647</v>
      </c>
      <c r="U4" s="17" cm="1">
        <f t="array" ref="U4">RANK(R4,$R$4:$R$23)</f>
        <v>20</v>
      </c>
      <c r="V4" s="18" cm="1">
        <f t="array" ref="V4">RANK(S4,$S$4:$S$23)</f>
        <v>20</v>
      </c>
      <c r="W4" s="10">
        <v>1</v>
      </c>
      <c r="X4" s="154" cm="1">
        <f t="array" ref="X4">RANK(C4,$C$4:$C$23)</f>
        <v>17</v>
      </c>
      <c r="Y4" s="235"/>
      <c r="Z4" s="236" cm="1">
        <f t="array" ref="Z4">N4/D4</f>
        <v>0.166666666666667</v>
      </c>
      <c r="AA4" s="18" cm="1">
        <f t="array" ref="AA4">RANK(Z4,$Z$4:$Z$23)</f>
        <v>13</v>
      </c>
    </row>
    <row r="5" ht="19.5" customHeight="1">
      <c r="A5" t="s" s="8">
        <v>25</v>
      </c>
      <c r="B5" s="10">
        <v>10</v>
      </c>
      <c r="C5" s="151" cm="1">
        <f t="array" ref="C5">F5/E5</f>
        <v>0.142857142857143</v>
      </c>
      <c r="D5" s="10">
        <v>21</v>
      </c>
      <c r="E5" s="10">
        <v>14</v>
      </c>
      <c r="F5" s="10">
        <v>2</v>
      </c>
      <c r="G5" s="10">
        <v>0</v>
      </c>
      <c r="H5" s="10">
        <v>2</v>
      </c>
      <c r="I5" s="10">
        <v>0</v>
      </c>
      <c r="J5" s="10">
        <v>0</v>
      </c>
      <c r="K5" s="10">
        <v>6</v>
      </c>
      <c r="L5" s="10">
        <v>2</v>
      </c>
      <c r="M5" s="10">
        <v>3</v>
      </c>
      <c r="N5" s="10">
        <v>7</v>
      </c>
      <c r="O5" s="10">
        <v>10</v>
      </c>
      <c r="P5" s="156" cm="1">
        <f t="array" ref="P5">O5/D5</f>
        <v>0.476190476190476</v>
      </c>
      <c r="Q5" s="13" cm="1">
        <f t="array" ref="Q5">(G5*1+H5*2+I5*3+J5*4)/E5</f>
        <v>0.285714285714286</v>
      </c>
      <c r="R5" s="13" cm="1">
        <f t="array" ref="R5">(F5+N5)/D5</f>
        <v>0.428571428571429</v>
      </c>
      <c r="S5" s="15" cm="1">
        <f t="array" ref="S5">R5+Q5</f>
        <v>0.714285714285715</v>
      </c>
      <c r="T5" s="157" cm="1">
        <f t="array" ref="T5">O5/(D5-(F5+N5))</f>
        <v>0.833333333333333</v>
      </c>
      <c r="U5" s="17" cm="1">
        <f t="array" ref="U5">RANK(R5,$R$4:$R$23)</f>
        <v>16</v>
      </c>
      <c r="V5" s="18" cm="1">
        <f t="array" ref="V5">RANK(S5,$S$4:$S$23)</f>
        <v>15</v>
      </c>
      <c r="W5" s="10">
        <v>1</v>
      </c>
      <c r="X5" s="154" cm="1">
        <f t="array" ref="X5">RANK(C5,$C$4:$C$23)</f>
        <v>18</v>
      </c>
      <c r="Y5" s="235"/>
      <c r="Z5" s="236" cm="1">
        <f t="array" ref="Z5">N5/D5</f>
        <v>0.333333333333333</v>
      </c>
      <c r="AA5" s="18" cm="1">
        <f t="array" ref="AA5">RANK(Z5,$Z$4:$Z$23)</f>
        <v>3</v>
      </c>
    </row>
    <row r="6" ht="19.5" customHeight="1">
      <c r="A6" t="s" s="8">
        <v>26</v>
      </c>
      <c r="B6" s="10">
        <v>23</v>
      </c>
      <c r="C6" s="151" cm="1">
        <f t="array" ref="C6">F6/E6</f>
        <v>0.571428571428571</v>
      </c>
      <c r="D6" s="10">
        <v>72</v>
      </c>
      <c r="E6" s="10">
        <v>63</v>
      </c>
      <c r="F6" s="10">
        <v>36</v>
      </c>
      <c r="G6" s="10">
        <v>26</v>
      </c>
      <c r="H6" s="10">
        <v>7</v>
      </c>
      <c r="I6" s="10">
        <v>2</v>
      </c>
      <c r="J6" s="10">
        <v>1</v>
      </c>
      <c r="K6" s="10">
        <v>22</v>
      </c>
      <c r="L6" s="10">
        <v>32</v>
      </c>
      <c r="M6" s="10">
        <v>15</v>
      </c>
      <c r="N6" s="10">
        <v>9</v>
      </c>
      <c r="O6" s="10">
        <v>4</v>
      </c>
      <c r="P6" s="152" cm="1">
        <f t="array" ref="P6">O6/D6</f>
        <v>0.0555555555555556</v>
      </c>
      <c r="Q6" s="13" cm="1">
        <f t="array" ref="Q6">(G6*1+H6*2+I6*3+J6*4)/E6</f>
        <v>0.7936507936507941</v>
      </c>
      <c r="R6" s="13" cm="1">
        <f t="array" ref="R6">(F6+N6)/D6</f>
        <v>0.625</v>
      </c>
      <c r="S6" s="15" cm="1">
        <f t="array" ref="S6">R6+Q6</f>
        <v>1.41865079365079</v>
      </c>
      <c r="T6" s="153" cm="1">
        <f t="array" ref="T6">O6/(D6-(F6+N6))</f>
        <v>0.148148148148148</v>
      </c>
      <c r="U6" s="17" cm="1">
        <f t="array" ref="U6">RANK(R6,$R$4:$R$23)</f>
        <v>1</v>
      </c>
      <c r="V6" s="18" cm="1">
        <f t="array" ref="V6">RANK(S6,$S$4:$S$23)</f>
        <v>1</v>
      </c>
      <c r="W6" s="10">
        <v>5</v>
      </c>
      <c r="X6" s="154" cm="1">
        <f t="array" ref="X6">RANK(C6,$C$4:$C$23)</f>
        <v>1</v>
      </c>
      <c r="Y6" s="235"/>
      <c r="Z6" s="236" cm="1">
        <f t="array" ref="Z6">N6/D6</f>
        <v>0.125</v>
      </c>
      <c r="AA6" s="18" cm="1">
        <f t="array" ref="AA6">RANK(Z6,$Z$4:$Z$23)</f>
        <v>15</v>
      </c>
    </row>
    <row r="7" ht="19.5" customHeight="1">
      <c r="A7" t="s" s="8">
        <v>27</v>
      </c>
      <c r="B7" s="10">
        <v>3</v>
      </c>
      <c r="C7" s="151" cm="1">
        <f t="array" ref="C7">F7/E7</f>
        <v>0</v>
      </c>
      <c r="D7" s="10">
        <v>7</v>
      </c>
      <c r="E7" s="10">
        <v>3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4</v>
      </c>
      <c r="L7" s="10">
        <v>3</v>
      </c>
      <c r="M7" s="10">
        <v>1</v>
      </c>
      <c r="N7" s="10">
        <v>4</v>
      </c>
      <c r="O7" s="10">
        <v>2</v>
      </c>
      <c r="P7" s="152" cm="1">
        <f t="array" ref="P7">O7/D7</f>
        <v>0.285714285714286</v>
      </c>
      <c r="Q7" s="13" cm="1">
        <f t="array" ref="Q7">(G7*1+H7*2+I7*3+J7*4)/E7</f>
        <v>0</v>
      </c>
      <c r="R7" s="13" cm="1">
        <f t="array" ref="R7">(F7+N7)/D7</f>
        <v>0.571428571428571</v>
      </c>
      <c r="S7" s="15" cm="1">
        <f t="array" ref="S7">R7+Q7</f>
        <v>0.571428571428571</v>
      </c>
      <c r="T7" s="157" cm="1">
        <f t="array" ref="T7">O7/(D7-(F7+N7))</f>
        <v>0.666666666666667</v>
      </c>
      <c r="U7" s="17" cm="1">
        <f t="array" ref="U7">RANK(R7,$R$4:$R$23)</f>
        <v>5</v>
      </c>
      <c r="V7" s="18" cm="1">
        <f t="array" ref="V7">RANK(S7,$S$4:$S$23)</f>
        <v>18</v>
      </c>
      <c r="W7" s="10">
        <v>0</v>
      </c>
      <c r="X7" s="154" cm="1">
        <f t="array" ref="X7">RANK(C7,$C$4:$C$23)</f>
        <v>20</v>
      </c>
      <c r="Y7" s="235"/>
      <c r="Z7" s="236" cm="1">
        <f t="array" ref="Z7">N7/D7</f>
        <v>0.571428571428571</v>
      </c>
      <c r="AA7" s="18" cm="1">
        <f t="array" ref="AA7">RANK(Z7,$Z$4:$Z$23)</f>
        <v>1</v>
      </c>
    </row>
    <row r="8" ht="19.5" customHeight="1">
      <c r="A8" t="s" s="8">
        <v>28</v>
      </c>
      <c r="B8" s="10">
        <v>14</v>
      </c>
      <c r="C8" s="151" cm="1">
        <f t="array" ref="C8">F8/E8</f>
        <v>0.36</v>
      </c>
      <c r="D8" s="10">
        <v>37</v>
      </c>
      <c r="E8" s="10">
        <v>25</v>
      </c>
      <c r="F8" s="10">
        <v>9</v>
      </c>
      <c r="G8" s="10">
        <v>6</v>
      </c>
      <c r="H8" s="10">
        <v>2</v>
      </c>
      <c r="I8" s="10">
        <v>0</v>
      </c>
      <c r="J8" s="10">
        <v>1</v>
      </c>
      <c r="K8" s="10">
        <v>13</v>
      </c>
      <c r="L8" s="10">
        <v>9</v>
      </c>
      <c r="M8" s="10">
        <v>6</v>
      </c>
      <c r="N8" s="10">
        <v>12</v>
      </c>
      <c r="O8" s="10">
        <v>9</v>
      </c>
      <c r="P8" s="152" cm="1">
        <f t="array" ref="P8">O8/D8</f>
        <v>0.243243243243243</v>
      </c>
      <c r="Q8" s="13" cm="1">
        <f t="array" ref="Q8">(G8*1+H8*2+I8*3+J8*4)/E8</f>
        <v>0.5600000000000001</v>
      </c>
      <c r="R8" s="13" cm="1">
        <f t="array" ref="R8">(F8+N8)/D8</f>
        <v>0.567567567567568</v>
      </c>
      <c r="S8" s="15" cm="1">
        <f t="array" ref="S8">R8+Q8</f>
        <v>1.12756756756757</v>
      </c>
      <c r="T8" s="157" cm="1">
        <f t="array" ref="T8">O8/(D8-(F8+N8))</f>
        <v>0.5625</v>
      </c>
      <c r="U8" s="17" cm="1">
        <f t="array" ref="U8">RANK(R8,$R$4:$R$23)</f>
        <v>6</v>
      </c>
      <c r="V8" s="18" cm="1">
        <f t="array" ref="V8">RANK(S8,$S$4:$S$23)</f>
        <v>5</v>
      </c>
      <c r="W8" s="10">
        <v>0</v>
      </c>
      <c r="X8" s="154" cm="1">
        <f t="array" ref="X8">RANK(C8,$C$4:$C$23)</f>
        <v>7</v>
      </c>
      <c r="Y8" s="235"/>
      <c r="Z8" s="236" cm="1">
        <f t="array" ref="Z8">N8/D8</f>
        <v>0.324324324324324</v>
      </c>
      <c r="AA8" s="18" cm="1">
        <f t="array" ref="AA8">RANK(Z8,$Z$4:$Z$23)</f>
        <v>4</v>
      </c>
    </row>
    <row r="9" ht="19.5" customHeight="1">
      <c r="A9" t="s" s="8">
        <v>29</v>
      </c>
      <c r="B9" s="10">
        <v>5</v>
      </c>
      <c r="C9" s="151" cm="1">
        <f t="array" ref="C9">F9/E9</f>
        <v>0.25</v>
      </c>
      <c r="D9" s="10">
        <v>10</v>
      </c>
      <c r="E9" s="10">
        <v>16</v>
      </c>
      <c r="F9" s="10">
        <v>4</v>
      </c>
      <c r="G9" s="10">
        <v>4</v>
      </c>
      <c r="H9" s="10">
        <v>0</v>
      </c>
      <c r="I9" s="10">
        <v>0</v>
      </c>
      <c r="J9" s="10">
        <v>0</v>
      </c>
      <c r="K9" s="10">
        <v>3</v>
      </c>
      <c r="L9" s="10">
        <v>2</v>
      </c>
      <c r="M9" s="10">
        <v>1</v>
      </c>
      <c r="N9" s="10">
        <v>-1</v>
      </c>
      <c r="O9" s="10">
        <v>1</v>
      </c>
      <c r="P9" s="152" cm="1">
        <f t="array" ref="P9">O9/D9</f>
        <v>0.1</v>
      </c>
      <c r="Q9" s="13" cm="1">
        <f t="array" ref="Q9">(G9*1+H9*2+I9*3+J9*4)/E9</f>
        <v>0.25</v>
      </c>
      <c r="R9" s="13" cm="1">
        <f t="array" ref="R9">(F9+N9)/D9</f>
        <v>0.3</v>
      </c>
      <c r="S9" s="15" cm="1">
        <f t="array" ref="S9">R9+Q9</f>
        <v>0.55</v>
      </c>
      <c r="T9" s="153" cm="1">
        <f t="array" ref="T9">O9/(D9-(F9+N9))</f>
        <v>0.142857142857143</v>
      </c>
      <c r="U9" s="17" cm="1">
        <f t="array" ref="U9">RANK(R9,$R$4:$R$23)</f>
        <v>19</v>
      </c>
      <c r="V9" s="18" cm="1">
        <f t="array" ref="V9">RANK(S9,$S$4:$S$23)</f>
        <v>19</v>
      </c>
      <c r="W9" s="10">
        <v>2</v>
      </c>
      <c r="X9" s="154" cm="1">
        <f t="array" ref="X9">RANK(C9,$C$4:$C$23)</f>
        <v>15</v>
      </c>
      <c r="Y9" s="235"/>
      <c r="Z9" s="236" cm="1">
        <f t="array" ref="Z9">N9/D9</f>
        <v>-0.1</v>
      </c>
      <c r="AA9" s="18" cm="1">
        <f t="array" ref="AA9">RANK(Z9,$Z$4:$Z$23)</f>
        <v>20</v>
      </c>
    </row>
    <row r="10" ht="19.5" customHeight="1">
      <c r="A10" t="s" s="8">
        <v>30</v>
      </c>
      <c r="B10" s="10">
        <v>25</v>
      </c>
      <c r="C10" s="151" cm="1">
        <f t="array" ref="C10">F10/E10</f>
        <v>0.553846153846154</v>
      </c>
      <c r="D10" s="10">
        <v>74</v>
      </c>
      <c r="E10" s="10">
        <v>65</v>
      </c>
      <c r="F10" s="10">
        <v>36</v>
      </c>
      <c r="G10" s="10">
        <v>26</v>
      </c>
      <c r="H10" s="10">
        <v>5</v>
      </c>
      <c r="I10" s="10">
        <v>5</v>
      </c>
      <c r="J10" s="10">
        <v>0</v>
      </c>
      <c r="K10" s="10">
        <v>29</v>
      </c>
      <c r="L10" s="10">
        <v>23</v>
      </c>
      <c r="M10" s="10">
        <v>32</v>
      </c>
      <c r="N10" s="10">
        <v>6</v>
      </c>
      <c r="O10" s="10">
        <v>4</v>
      </c>
      <c r="P10" s="152" cm="1">
        <f t="array" ref="P10">O10/D10</f>
        <v>0.0540540540540541</v>
      </c>
      <c r="Q10" s="13" cm="1">
        <f t="array" ref="Q10">(G10*1+H10*2+I10*3+J10*4)/E10</f>
        <v>0.784615384615385</v>
      </c>
      <c r="R10" s="13" cm="1">
        <f t="array" ref="R10">(F10+N10)/D10</f>
        <v>0.567567567567568</v>
      </c>
      <c r="S10" s="15" cm="1">
        <f t="array" ref="S10">R10+Q10</f>
        <v>1.35218295218295</v>
      </c>
      <c r="T10" s="153" cm="1">
        <f t="array" ref="T10">O10/(D10-(F10+N10))</f>
        <v>0.125</v>
      </c>
      <c r="U10" s="17" cm="1">
        <f t="array" ref="U10">RANK(R10,$R$4:$R$23)</f>
        <v>6</v>
      </c>
      <c r="V10" s="18" cm="1">
        <f t="array" ref="V10">RANK(S10,$S$4:$S$23)</f>
        <v>3</v>
      </c>
      <c r="W10" s="10">
        <v>2</v>
      </c>
      <c r="X10" s="154" cm="1">
        <f t="array" ref="X10">RANK(C10,$C$4:$C$23)</f>
        <v>2</v>
      </c>
      <c r="Y10" s="235"/>
      <c r="Z10" s="236" cm="1">
        <f t="array" ref="Z10">N10/D10</f>
        <v>0.0810810810810811</v>
      </c>
      <c r="AA10" s="18" cm="1">
        <f t="array" ref="AA10">RANK(Z10,$Z$4:$Z$23)</f>
        <v>18</v>
      </c>
    </row>
    <row r="11" ht="19.5" customHeight="1">
      <c r="A11" t="s" s="8">
        <v>31</v>
      </c>
      <c r="B11" s="10">
        <v>18</v>
      </c>
      <c r="C11" s="151" cm="1">
        <f t="array" ref="C11">F11/E11</f>
        <v>0.275862068965517</v>
      </c>
      <c r="D11" s="10">
        <v>33</v>
      </c>
      <c r="E11" s="10">
        <v>29</v>
      </c>
      <c r="F11" s="10">
        <v>8</v>
      </c>
      <c r="G11" s="10">
        <v>7</v>
      </c>
      <c r="H11" s="10">
        <v>1</v>
      </c>
      <c r="I11" s="10">
        <v>0</v>
      </c>
      <c r="J11" s="10">
        <v>0</v>
      </c>
      <c r="K11" s="10">
        <v>10</v>
      </c>
      <c r="L11" s="10">
        <v>6</v>
      </c>
      <c r="M11" s="10">
        <v>7</v>
      </c>
      <c r="N11" s="10">
        <v>4</v>
      </c>
      <c r="O11" s="10">
        <v>6</v>
      </c>
      <c r="P11" s="152" cm="1">
        <f t="array" ref="P11">O11/D11</f>
        <v>0.181818181818182</v>
      </c>
      <c r="Q11" s="13" cm="1">
        <f t="array" ref="Q11">(G11*1+H11*2+I11*3+J11*4)/E11</f>
        <v>0.310344827586207</v>
      </c>
      <c r="R11" s="13" cm="1">
        <f t="array" ref="R11">(F11+N11)/D11</f>
        <v>0.363636363636364</v>
      </c>
      <c r="S11" s="15" cm="1">
        <f t="array" ref="S11">R11+Q11</f>
        <v>0.6739811912225711</v>
      </c>
      <c r="T11" s="153" cm="1">
        <f t="array" ref="T11">O11/(D11-(F11+N11))</f>
        <v>0.285714285714286</v>
      </c>
      <c r="U11" s="17" cm="1">
        <f t="array" ref="U11">RANK(R11,$R$4:$R$23)</f>
        <v>17</v>
      </c>
      <c r="V11" s="18" cm="1">
        <f t="array" ref="V11">RANK(S11,$S$4:$S$23)</f>
        <v>17</v>
      </c>
      <c r="W11" s="10">
        <v>2</v>
      </c>
      <c r="X11" s="154" cm="1">
        <f t="array" ref="X11">RANK(C11,$C$4:$C$23)</f>
        <v>14</v>
      </c>
      <c r="Y11" s="235"/>
      <c r="Z11" s="236" cm="1">
        <f t="array" ref="Z11">N11/D11</f>
        <v>0.121212121212121</v>
      </c>
      <c r="AA11" s="18" cm="1">
        <f t="array" ref="AA11">RANK(Z11,$Z$4:$Z$23)</f>
        <v>16</v>
      </c>
    </row>
    <row r="12" ht="19.5" customHeight="1">
      <c r="A12" t="s" s="8">
        <v>32</v>
      </c>
      <c r="B12" s="10">
        <v>15</v>
      </c>
      <c r="C12" s="151" cm="1">
        <f t="array" ref="C12">F12/E12</f>
        <v>0.35</v>
      </c>
      <c r="D12" s="10">
        <v>32</v>
      </c>
      <c r="E12" s="10">
        <v>20</v>
      </c>
      <c r="F12" s="10">
        <v>7</v>
      </c>
      <c r="G12" s="10">
        <v>6</v>
      </c>
      <c r="H12" s="10">
        <v>1</v>
      </c>
      <c r="I12" s="10">
        <v>0</v>
      </c>
      <c r="J12" s="10">
        <v>0</v>
      </c>
      <c r="K12" s="10">
        <v>15</v>
      </c>
      <c r="L12" s="10">
        <v>4</v>
      </c>
      <c r="M12" s="10">
        <v>10</v>
      </c>
      <c r="N12" s="10">
        <v>8</v>
      </c>
      <c r="O12" s="10">
        <v>1</v>
      </c>
      <c r="P12" s="152" cm="1">
        <f t="array" ref="P12">O12/D12</f>
        <v>0.03125</v>
      </c>
      <c r="Q12" s="13" cm="1">
        <f t="array" ref="Q12">(G12*1+H12*2+I12*3+J12*4)/E12</f>
        <v>0.4</v>
      </c>
      <c r="R12" s="13" cm="1">
        <f t="array" ref="R12">(F12+N12)/D12</f>
        <v>0.46875</v>
      </c>
      <c r="S12" s="15" cm="1">
        <f t="array" ref="S12">R12+Q12</f>
        <v>0.86875</v>
      </c>
      <c r="T12" s="153" cm="1">
        <f t="array" ref="T12">O12/(D12-(F12+N12))</f>
        <v>0.0588235294117647</v>
      </c>
      <c r="U12" s="17" cm="1">
        <f t="array" ref="U12">RANK(R12,$R$4:$R$23)</f>
        <v>11</v>
      </c>
      <c r="V12" s="18" cm="1">
        <f t="array" ref="V12">RANK(S12,$S$4:$S$23)</f>
        <v>11</v>
      </c>
      <c r="W12" s="10">
        <v>1</v>
      </c>
      <c r="X12" s="154" cm="1">
        <f t="array" ref="X12">RANK(C12,$C$4:$C$23)</f>
        <v>9</v>
      </c>
      <c r="Y12" s="235"/>
      <c r="Z12" s="236" cm="1">
        <f t="array" ref="Z12">N12/D12</f>
        <v>0.25</v>
      </c>
      <c r="AA12" s="18" cm="1">
        <f t="array" ref="AA12">RANK(Z12,$Z$4:$Z$23)</f>
        <v>7</v>
      </c>
    </row>
    <row r="13" ht="19.5" customHeight="1">
      <c r="A13" t="s" s="8">
        <v>33</v>
      </c>
      <c r="B13" s="10">
        <v>23</v>
      </c>
      <c r="C13" s="151" cm="1">
        <f t="array" ref="C13">F13/E13</f>
        <v>0.480769230769231</v>
      </c>
      <c r="D13" s="10">
        <v>67</v>
      </c>
      <c r="E13" s="10">
        <v>52</v>
      </c>
      <c r="F13" s="10">
        <v>25</v>
      </c>
      <c r="G13" s="10">
        <v>17</v>
      </c>
      <c r="H13" s="10">
        <v>7</v>
      </c>
      <c r="I13" s="10">
        <v>1</v>
      </c>
      <c r="J13" s="10">
        <v>0</v>
      </c>
      <c r="K13" s="10">
        <v>22</v>
      </c>
      <c r="L13" s="10">
        <v>19</v>
      </c>
      <c r="M13" s="10">
        <v>11</v>
      </c>
      <c r="N13" s="10">
        <v>15</v>
      </c>
      <c r="O13" s="10">
        <v>0</v>
      </c>
      <c r="P13" s="152" cm="1">
        <f t="array" ref="P13">O13/D13</f>
        <v>0</v>
      </c>
      <c r="Q13" s="13" cm="1">
        <f t="array" ref="Q13">(G13*1+H13*2+I13*3+J13*4)/E13</f>
        <v>0.653846153846154</v>
      </c>
      <c r="R13" s="13" cm="1">
        <f t="array" ref="R13">(F13+N13)/D13</f>
        <v>0.5970149253731341</v>
      </c>
      <c r="S13" s="15" cm="1">
        <f t="array" ref="S13">R13+Q13</f>
        <v>1.25086107921929</v>
      </c>
      <c r="T13" s="153" cm="1">
        <f t="array" ref="T13">O13/(D13-(F13+N13))</f>
        <v>0</v>
      </c>
      <c r="U13" s="17" cm="1">
        <f t="array" ref="U13">RANK(R13,$R$4:$R$23)</f>
        <v>3</v>
      </c>
      <c r="V13" s="18" cm="1">
        <f t="array" ref="V13">RANK(S13,$S$4:$S$23)</f>
        <v>4</v>
      </c>
      <c r="W13" s="10">
        <v>3</v>
      </c>
      <c r="X13" s="154" cm="1">
        <f t="array" ref="X13">RANK(C13,$C$4:$C$23)</f>
        <v>4</v>
      </c>
      <c r="Y13" s="235"/>
      <c r="Z13" s="236" cm="1">
        <f t="array" ref="Z13">N13/D13</f>
        <v>0.223880597014925</v>
      </c>
      <c r="AA13" s="18" cm="1">
        <f t="array" ref="AA13">RANK(Z13,$Z$4:$Z$23)</f>
        <v>9</v>
      </c>
    </row>
    <row r="14" ht="19.5" customHeight="1">
      <c r="A14" t="s" s="8">
        <v>35</v>
      </c>
      <c r="B14" s="10">
        <v>27</v>
      </c>
      <c r="C14" s="151" cm="1">
        <f t="array" ref="C14">F14/E14</f>
        <v>0.234042553191489</v>
      </c>
      <c r="D14" s="10">
        <v>66</v>
      </c>
      <c r="E14" s="10">
        <v>47</v>
      </c>
      <c r="F14" s="10">
        <v>11</v>
      </c>
      <c r="G14" s="10">
        <v>8</v>
      </c>
      <c r="H14" s="10">
        <v>3</v>
      </c>
      <c r="I14" s="10">
        <v>0</v>
      </c>
      <c r="J14" s="10">
        <v>0</v>
      </c>
      <c r="K14" s="10">
        <v>15</v>
      </c>
      <c r="L14" s="10">
        <v>13</v>
      </c>
      <c r="M14" s="10">
        <v>13</v>
      </c>
      <c r="N14" s="10">
        <v>18</v>
      </c>
      <c r="O14" s="10">
        <v>25</v>
      </c>
      <c r="P14" s="156" cm="1">
        <f t="array" ref="P14">O14/D14</f>
        <v>0.378787878787879</v>
      </c>
      <c r="Q14" s="13" cm="1">
        <f t="array" ref="Q14">(G14*1+H14*2+I14*3+J14*4)/E14</f>
        <v>0.297872340425532</v>
      </c>
      <c r="R14" s="13" cm="1">
        <f t="array" ref="R14">(F14+N14)/D14</f>
        <v>0.439393939393939</v>
      </c>
      <c r="S14" s="15" cm="1">
        <f t="array" ref="S14">R14+Q14</f>
        <v>0.737266279819471</v>
      </c>
      <c r="T14" s="157" cm="1">
        <f t="array" ref="T14">O14/(D14-(F14+N14))</f>
        <v>0.675675675675676</v>
      </c>
      <c r="U14" s="17" cm="1">
        <f t="array" ref="U14">RANK(R14,$R$4:$R$23)</f>
        <v>13</v>
      </c>
      <c r="V14" s="18" cm="1">
        <f t="array" ref="V14">RANK(S14,$S$4:$S$23)</f>
        <v>14</v>
      </c>
      <c r="W14" s="10">
        <v>10</v>
      </c>
      <c r="X14" s="154" cm="1">
        <f t="array" ref="X14">RANK(C14,$C$4:$C$23)</f>
        <v>16</v>
      </c>
      <c r="Y14" s="235"/>
      <c r="Z14" s="236" cm="1">
        <f t="array" ref="Z14">N14/D14</f>
        <v>0.272727272727273</v>
      </c>
      <c r="AA14" s="18" cm="1">
        <f t="array" ref="AA14">RANK(Z14,$Z$4:$Z$23)</f>
        <v>6</v>
      </c>
    </row>
    <row r="15" ht="19.5" customHeight="1">
      <c r="A15" t="s" s="8">
        <v>36</v>
      </c>
      <c r="B15" s="10">
        <v>22</v>
      </c>
      <c r="C15" s="151" cm="1">
        <f t="array" ref="C15">F15/E15</f>
        <v>0.340909090909091</v>
      </c>
      <c r="D15" s="10">
        <v>47</v>
      </c>
      <c r="E15" s="10">
        <v>44</v>
      </c>
      <c r="F15" s="10">
        <v>15</v>
      </c>
      <c r="G15" s="10">
        <v>12</v>
      </c>
      <c r="H15" s="10">
        <v>3</v>
      </c>
      <c r="I15" s="10">
        <v>0</v>
      </c>
      <c r="J15" s="10">
        <v>0</v>
      </c>
      <c r="K15" s="10">
        <v>13</v>
      </c>
      <c r="L15" s="10">
        <v>16</v>
      </c>
      <c r="M15" s="10">
        <v>8</v>
      </c>
      <c r="N15" s="10">
        <v>2</v>
      </c>
      <c r="O15" s="10">
        <v>10</v>
      </c>
      <c r="P15" s="152" cm="1">
        <f t="array" ref="P15">O15/D15</f>
        <v>0.212765957446809</v>
      </c>
      <c r="Q15" s="13" cm="1">
        <f t="array" ref="Q15">(G15*1+H15*2+I15*3+J15*4)/E15</f>
        <v>0.409090909090909</v>
      </c>
      <c r="R15" s="13" cm="1">
        <f t="array" ref="R15">(F15+N15)/D15</f>
        <v>0.361702127659574</v>
      </c>
      <c r="S15" s="15" cm="1">
        <f t="array" ref="S15">R15+Q15</f>
        <v>0.7707930367504831</v>
      </c>
      <c r="T15" s="153" cm="1">
        <f t="array" ref="T15">O15/(D15-(F15+N15))</f>
        <v>0.333333333333333</v>
      </c>
      <c r="U15" s="17" cm="1">
        <f t="array" ref="U15">RANK(R15,$R$4:$R$23)</f>
        <v>18</v>
      </c>
      <c r="V15" s="18" cm="1">
        <f t="array" ref="V15">RANK(S15,$S$4:$S$23)</f>
        <v>13</v>
      </c>
      <c r="W15" s="10">
        <v>1</v>
      </c>
      <c r="X15" s="154" cm="1">
        <f t="array" ref="X15">RANK(C15,$C$4:$C$23)</f>
        <v>10</v>
      </c>
      <c r="Y15" s="235"/>
      <c r="Z15" s="236" cm="1">
        <f t="array" ref="Z15">N15/D15</f>
        <v>0.0425531914893617</v>
      </c>
      <c r="AA15" s="18" cm="1">
        <f t="array" ref="AA15">RANK(Z15,$Z$4:$Z$23)</f>
        <v>19</v>
      </c>
    </row>
    <row r="16" ht="19.5" customHeight="1">
      <c r="A16" t="s" s="8">
        <v>37</v>
      </c>
      <c r="B16" s="10">
        <v>24</v>
      </c>
      <c r="C16" s="151" cm="1">
        <f t="array" ref="C16">F16/E16</f>
        <v>0.396551724137931</v>
      </c>
      <c r="D16" s="10">
        <v>76</v>
      </c>
      <c r="E16" s="10">
        <v>58</v>
      </c>
      <c r="F16" s="10">
        <v>23</v>
      </c>
      <c r="G16" s="10">
        <v>17</v>
      </c>
      <c r="H16" s="10">
        <v>2</v>
      </c>
      <c r="I16" s="10">
        <v>4</v>
      </c>
      <c r="J16" s="10">
        <v>0</v>
      </c>
      <c r="K16" s="10">
        <v>24</v>
      </c>
      <c r="L16" s="10">
        <v>12</v>
      </c>
      <c r="M16" s="10">
        <v>23</v>
      </c>
      <c r="N16" s="10">
        <v>17</v>
      </c>
      <c r="O16" s="10">
        <v>9</v>
      </c>
      <c r="P16" s="152" cm="1">
        <f t="array" ref="P16">O16/D16</f>
        <v>0.118421052631579</v>
      </c>
      <c r="Q16" s="13" cm="1">
        <f t="array" ref="Q16">(G16*1+H16*2+I16*3+J16*4)/E16</f>
        <v>0.568965517241379</v>
      </c>
      <c r="R16" s="13" cm="1">
        <f t="array" ref="R16">(F16+N16)/D16</f>
        <v>0.526315789473684</v>
      </c>
      <c r="S16" s="15" cm="1">
        <f t="array" ref="S16">R16+Q16</f>
        <v>1.09528130671506</v>
      </c>
      <c r="T16" s="153" cm="1">
        <f t="array" ref="T16">O16/(D16-(F16+N16))</f>
        <v>0.25</v>
      </c>
      <c r="U16" s="17" cm="1">
        <f t="array" ref="U16">RANK(R16,$R$4:$R$23)</f>
        <v>8</v>
      </c>
      <c r="V16" s="18" cm="1">
        <f t="array" ref="V16">RANK(S16,$S$4:$S$23)</f>
        <v>6</v>
      </c>
      <c r="W16" s="10">
        <v>5</v>
      </c>
      <c r="X16" s="154" cm="1">
        <f t="array" ref="X16">RANK(C16,$C$4:$C$23)</f>
        <v>5</v>
      </c>
      <c r="Y16" s="235"/>
      <c r="Z16" s="236" cm="1">
        <f t="array" ref="Z16">N16/D16</f>
        <v>0.223684210526316</v>
      </c>
      <c r="AA16" s="18" cm="1">
        <f t="array" ref="AA16">RANK(Z16,$Z$4:$Z$23)</f>
        <v>10</v>
      </c>
    </row>
    <row r="17" ht="19.5" customHeight="1">
      <c r="A17" t="s" s="8">
        <v>38</v>
      </c>
      <c r="B17" s="10">
        <v>25</v>
      </c>
      <c r="C17" s="151" cm="1">
        <f t="array" ref="C17">F17/E17</f>
        <v>0.369565217391304</v>
      </c>
      <c r="D17" s="10">
        <v>53</v>
      </c>
      <c r="E17" s="10">
        <v>46</v>
      </c>
      <c r="F17" s="10">
        <v>17</v>
      </c>
      <c r="G17" s="10">
        <v>12</v>
      </c>
      <c r="H17" s="10">
        <v>5</v>
      </c>
      <c r="I17" s="10">
        <v>0</v>
      </c>
      <c r="J17" s="10">
        <v>0</v>
      </c>
      <c r="K17" s="10">
        <v>13</v>
      </c>
      <c r="L17" s="10">
        <v>8</v>
      </c>
      <c r="M17" s="10">
        <v>6</v>
      </c>
      <c r="N17" s="10">
        <v>6</v>
      </c>
      <c r="O17" s="10">
        <v>7</v>
      </c>
      <c r="P17" s="152" cm="1">
        <f t="array" ref="P17">O17/D17</f>
        <v>0.132075471698113</v>
      </c>
      <c r="Q17" s="13" cm="1">
        <f t="array" ref="Q17">(G17*1+H17*2+I17*3+J17*4)/E17</f>
        <v>0.478260869565217</v>
      </c>
      <c r="R17" s="13" cm="1">
        <f t="array" ref="R17">(F17+N17)/D17</f>
        <v>0.433962264150943</v>
      </c>
      <c r="S17" s="15" cm="1">
        <f t="array" ref="S17">R17+Q17</f>
        <v>0.91222313371616</v>
      </c>
      <c r="T17" s="153" cm="1">
        <f t="array" ref="T17">O17/(D17-(F17+N17))</f>
        <v>0.233333333333333</v>
      </c>
      <c r="U17" s="17" cm="1">
        <f t="array" ref="U17">RANK(R17,$R$4:$R$23)</f>
        <v>14</v>
      </c>
      <c r="V17" s="18" cm="1">
        <f t="array" ref="V17">RANK(S17,$S$4:$S$23)</f>
        <v>8</v>
      </c>
      <c r="W17" s="10">
        <v>5</v>
      </c>
      <c r="X17" s="154" cm="1">
        <f t="array" ref="X17">RANK(C17,$C$4:$C$23)</f>
        <v>6</v>
      </c>
      <c r="Y17" s="235"/>
      <c r="Z17" s="236" cm="1">
        <f t="array" ref="Z17">N17/D17</f>
        <v>0.113207547169811</v>
      </c>
      <c r="AA17" s="18" cm="1">
        <f t="array" ref="AA17">RANK(Z17,$Z$4:$Z$23)</f>
        <v>17</v>
      </c>
    </row>
    <row r="18" ht="19.5" customHeight="1">
      <c r="A18" t="s" s="8">
        <v>39</v>
      </c>
      <c r="B18" s="10">
        <v>15</v>
      </c>
      <c r="C18" s="151" cm="1">
        <f t="array" ref="C18">F18/E18</f>
        <v>0.32258064516129</v>
      </c>
      <c r="D18" s="10">
        <v>40</v>
      </c>
      <c r="E18" s="10">
        <v>31</v>
      </c>
      <c r="F18" s="10">
        <v>10</v>
      </c>
      <c r="G18" s="10">
        <v>9</v>
      </c>
      <c r="H18" s="10">
        <v>0</v>
      </c>
      <c r="I18" s="10">
        <v>0</v>
      </c>
      <c r="J18" s="10">
        <v>1</v>
      </c>
      <c r="K18" s="10">
        <v>9</v>
      </c>
      <c r="L18" s="10">
        <v>11</v>
      </c>
      <c r="M18" s="10">
        <v>0</v>
      </c>
      <c r="N18" s="10">
        <v>8</v>
      </c>
      <c r="O18" s="10">
        <v>6</v>
      </c>
      <c r="P18" s="152" cm="1">
        <f t="array" ref="P18">O18/D18</f>
        <v>0.15</v>
      </c>
      <c r="Q18" s="13" cm="1">
        <f t="array" ref="Q18">(G18*1+H18*2+I18*3+J18*4)/E18</f>
        <v>0.419354838709677</v>
      </c>
      <c r="R18" s="13" cm="1">
        <f t="array" ref="R18">(F18+N18)/D18</f>
        <v>0.45</v>
      </c>
      <c r="S18" s="15" cm="1">
        <f t="array" ref="S18">R18+Q18</f>
        <v>0.869354838709677</v>
      </c>
      <c r="T18" s="153" cm="1">
        <f t="array" ref="T18">O18/(D18-(F18+N18))</f>
        <v>0.272727272727273</v>
      </c>
      <c r="U18" s="17" cm="1">
        <f t="array" ref="U18">RANK(R18,$R$4:$R$23)</f>
        <v>12</v>
      </c>
      <c r="V18" s="18" cm="1">
        <f t="array" ref="V18">RANK(S18,$S$4:$S$23)</f>
        <v>10</v>
      </c>
      <c r="W18" s="10">
        <v>0</v>
      </c>
      <c r="X18" s="154" cm="1">
        <f t="array" ref="X18">RANK(C18,$C$4:$C$23)</f>
        <v>11</v>
      </c>
      <c r="Y18" s="235"/>
      <c r="Z18" s="236" cm="1">
        <f t="array" ref="Z18">N18/D18</f>
        <v>0.2</v>
      </c>
      <c r="AA18" s="18" cm="1">
        <f t="array" ref="AA18">RANK(Z18,$Z$4:$Z$23)</f>
        <v>11</v>
      </c>
    </row>
    <row r="19" ht="19.5" customHeight="1">
      <c r="A19" t="s" s="8">
        <v>40</v>
      </c>
      <c r="B19" s="10">
        <v>9</v>
      </c>
      <c r="C19" s="151" cm="1">
        <f t="array" ref="C19">F19/E19</f>
        <v>0.125</v>
      </c>
      <c r="D19" s="10">
        <v>17</v>
      </c>
      <c r="E19" s="10">
        <v>8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7</v>
      </c>
      <c r="L19" s="10">
        <v>2</v>
      </c>
      <c r="M19" s="10">
        <v>5</v>
      </c>
      <c r="N19" s="10">
        <v>9</v>
      </c>
      <c r="O19" s="10">
        <v>1</v>
      </c>
      <c r="P19" s="152" cm="1">
        <f t="array" ref="P19">O19/D19</f>
        <v>0.0588235294117647</v>
      </c>
      <c r="Q19" s="13" cm="1">
        <f t="array" ref="Q19">(G19*1+H19*2+I19*3+J19*4)/E19</f>
        <v>0.125</v>
      </c>
      <c r="R19" s="13" cm="1">
        <f t="array" ref="R19">(F19+N19)/D19</f>
        <v>0.588235294117647</v>
      </c>
      <c r="S19" s="15" cm="1">
        <f t="array" ref="S19">R19+Q19</f>
        <v>0.713235294117647</v>
      </c>
      <c r="T19" s="153" cm="1">
        <f t="array" ref="T19">O19/(D19-(F19+N19))</f>
        <v>0.142857142857143</v>
      </c>
      <c r="U19" s="17" cm="1">
        <f t="array" ref="U19">RANK(R19,$R$4:$R$23)</f>
        <v>4</v>
      </c>
      <c r="V19" s="18" cm="1">
        <f t="array" ref="V19">RANK(S19,$S$4:$S$23)</f>
        <v>16</v>
      </c>
      <c r="W19" s="10">
        <v>3</v>
      </c>
      <c r="X19" s="154" cm="1">
        <f t="array" ref="X19">RANK(C19,$C$4:$C$23)</f>
        <v>19</v>
      </c>
      <c r="Y19" s="235"/>
      <c r="Z19" s="236" cm="1">
        <f t="array" ref="Z19">N19/D19</f>
        <v>0.529411764705882</v>
      </c>
      <c r="AA19" s="18" cm="1">
        <f t="array" ref="AA19">RANK(Z19,$Z$4:$Z$23)</f>
        <v>2</v>
      </c>
    </row>
    <row r="20" ht="19.5" customHeight="1">
      <c r="A20" t="s" s="8">
        <v>41</v>
      </c>
      <c r="B20" s="10">
        <v>26</v>
      </c>
      <c r="C20" s="151" cm="1">
        <f t="array" ref="C20">F20/E20</f>
        <v>0.537037037037037</v>
      </c>
      <c r="D20" s="10">
        <v>63</v>
      </c>
      <c r="E20" s="10">
        <v>54</v>
      </c>
      <c r="F20" s="10">
        <v>29</v>
      </c>
      <c r="G20" s="10">
        <v>19</v>
      </c>
      <c r="H20" s="10">
        <v>9</v>
      </c>
      <c r="I20" s="10">
        <v>0</v>
      </c>
      <c r="J20" s="10">
        <v>1</v>
      </c>
      <c r="K20" s="10">
        <v>25</v>
      </c>
      <c r="L20" s="10">
        <v>26</v>
      </c>
      <c r="M20" s="10">
        <v>7</v>
      </c>
      <c r="N20" s="10">
        <v>9</v>
      </c>
      <c r="O20" s="10">
        <v>4</v>
      </c>
      <c r="P20" s="152" cm="1">
        <f t="array" ref="P20">O20/D20</f>
        <v>0.0634920634920635</v>
      </c>
      <c r="Q20" s="13" cm="1">
        <f t="array" ref="Q20">(G20*1+H20*2+I20*3+J20*4)/E20</f>
        <v>0.759259259259259</v>
      </c>
      <c r="R20" s="13" cm="1">
        <f t="array" ref="R20">(F20+N20)/D20</f>
        <v>0.603174603174603</v>
      </c>
      <c r="S20" s="15" cm="1">
        <f t="array" ref="S20">R20+Q20</f>
        <v>1.36243386243386</v>
      </c>
      <c r="T20" s="153" cm="1">
        <f t="array" ref="T20">O20/(D20-(F20+N20))</f>
        <v>0.16</v>
      </c>
      <c r="U20" s="17" cm="1">
        <f t="array" ref="U20">RANK(R20,$R$4:$R$23)</f>
        <v>2</v>
      </c>
      <c r="V20" s="18" cm="1">
        <f t="array" ref="V20">RANK(S20,$S$4:$S$23)</f>
        <v>2</v>
      </c>
      <c r="W20" s="10">
        <v>5</v>
      </c>
      <c r="X20" s="154" cm="1">
        <f t="array" ref="X20">RANK(C20,$C$4:$C$23)</f>
        <v>3</v>
      </c>
      <c r="Y20" s="235"/>
      <c r="Z20" s="236" cm="1">
        <f t="array" ref="Z20">N20/D20</f>
        <v>0.142857142857143</v>
      </c>
      <c r="AA20" s="18" cm="1">
        <f t="array" ref="AA20">RANK(Z20,$Z$4:$Z$23)</f>
        <v>14</v>
      </c>
    </row>
    <row r="21" ht="19.5" customHeight="1">
      <c r="A21" t="s" s="8">
        <v>42</v>
      </c>
      <c r="B21" s="10">
        <v>21</v>
      </c>
      <c r="C21" s="151" cm="1">
        <f t="array" ref="C21">F21/E21</f>
        <v>0.351351351351351</v>
      </c>
      <c r="D21" s="10">
        <v>50</v>
      </c>
      <c r="E21" s="10">
        <v>37</v>
      </c>
      <c r="F21" s="10">
        <v>13</v>
      </c>
      <c r="G21" s="10">
        <v>9</v>
      </c>
      <c r="H21" s="10">
        <v>4</v>
      </c>
      <c r="I21" s="10">
        <v>0</v>
      </c>
      <c r="J21" s="10">
        <v>0</v>
      </c>
      <c r="K21" s="10">
        <v>12</v>
      </c>
      <c r="L21" s="10">
        <v>15</v>
      </c>
      <c r="M21" s="10">
        <v>6</v>
      </c>
      <c r="N21" s="10">
        <v>12</v>
      </c>
      <c r="O21" s="10">
        <v>13</v>
      </c>
      <c r="P21" s="152" cm="1">
        <f t="array" ref="P21">O21/D21</f>
        <v>0.26</v>
      </c>
      <c r="Q21" s="13" cm="1">
        <f t="array" ref="Q21">(G21*1+H21*2+I21*3+J21*4)/E21</f>
        <v>0.459459459459459</v>
      </c>
      <c r="R21" s="13" cm="1">
        <f t="array" ref="R21">(F21+N21)/D21</f>
        <v>0.5</v>
      </c>
      <c r="S21" s="15" cm="1">
        <f t="array" ref="S21">R21+Q21</f>
        <v>0.959459459459459</v>
      </c>
      <c r="T21" s="157" cm="1">
        <f t="array" ref="T21">O21/(D21-(F21+N21))</f>
        <v>0.52</v>
      </c>
      <c r="U21" s="17" cm="1">
        <f t="array" ref="U21">RANK(R21,$R$4:$R$23)</f>
        <v>9</v>
      </c>
      <c r="V21" s="18" cm="1">
        <f t="array" ref="V21">RANK(S21,$S$4:$S$23)</f>
        <v>7</v>
      </c>
      <c r="W21" s="10">
        <v>0</v>
      </c>
      <c r="X21" s="154" cm="1">
        <f t="array" ref="X21">RANK(C21,$C$4:$C$23)</f>
        <v>8</v>
      </c>
      <c r="Y21" s="235"/>
      <c r="Z21" s="236" cm="1">
        <f t="array" ref="Z21">N21/D21</f>
        <v>0.24</v>
      </c>
      <c r="AA21" s="18" cm="1">
        <f t="array" ref="AA21">RANK(Z21,$Z$4:$Z$23)</f>
        <v>8</v>
      </c>
    </row>
    <row r="22" ht="19.5" customHeight="1">
      <c r="A22" t="s" s="8">
        <v>43</v>
      </c>
      <c r="B22" s="10">
        <v>21</v>
      </c>
      <c r="C22" s="151" cm="1">
        <f t="array" ref="C22">F22/E22</f>
        <v>0.30952380952381</v>
      </c>
      <c r="D22" s="10">
        <v>53</v>
      </c>
      <c r="E22" s="10">
        <v>42</v>
      </c>
      <c r="F22" s="10">
        <v>13</v>
      </c>
      <c r="G22" s="10">
        <v>8</v>
      </c>
      <c r="H22" s="10">
        <v>4</v>
      </c>
      <c r="I22" s="10">
        <v>1</v>
      </c>
      <c r="J22" s="10">
        <v>0</v>
      </c>
      <c r="K22" s="10">
        <v>13</v>
      </c>
      <c r="L22" s="10">
        <v>12</v>
      </c>
      <c r="M22" s="10">
        <v>9</v>
      </c>
      <c r="N22" s="10">
        <v>10</v>
      </c>
      <c r="O22" s="10">
        <v>8</v>
      </c>
      <c r="P22" s="152" cm="1">
        <f t="array" ref="P22">O22/D22</f>
        <v>0.150943396226415</v>
      </c>
      <c r="Q22" s="13" cm="1">
        <f t="array" ref="Q22">(G22*1+H22*2+I22*3+J22*4)/E22</f>
        <v>0.452380952380952</v>
      </c>
      <c r="R22" s="13" cm="1">
        <f t="array" ref="R22">(F22+N22)/D22</f>
        <v>0.433962264150943</v>
      </c>
      <c r="S22" s="15" cm="1">
        <f t="array" ref="S22">R22+Q22</f>
        <v>0.886343216531895</v>
      </c>
      <c r="T22" s="153" cm="1">
        <f t="array" ref="T22">O22/(D22-(F22+N22))</f>
        <v>0.266666666666667</v>
      </c>
      <c r="U22" s="17" cm="1">
        <f t="array" ref="U22">RANK(R22,$R$4:$R$23)</f>
        <v>14</v>
      </c>
      <c r="V22" s="18" cm="1">
        <f t="array" ref="V22">RANK(S22,$S$4:$S$23)</f>
        <v>9</v>
      </c>
      <c r="W22" s="10">
        <v>2</v>
      </c>
      <c r="X22" s="154" cm="1">
        <f t="array" ref="X22">RANK(C22,$C$4:$C$23)</f>
        <v>13</v>
      </c>
      <c r="Y22" s="235"/>
      <c r="Z22" s="236" cm="1">
        <f t="array" ref="Z22">N22/D22</f>
        <v>0.188679245283019</v>
      </c>
      <c r="AA22" s="18" cm="1">
        <f t="array" ref="AA22">RANK(Z22,$Z$4:$Z$23)</f>
        <v>12</v>
      </c>
    </row>
    <row r="23" ht="19.5" customHeight="1">
      <c r="A23" t="s" s="8">
        <v>44</v>
      </c>
      <c r="B23" s="10">
        <v>13</v>
      </c>
      <c r="C23" s="151" cm="1">
        <f t="array" ref="C23">F23/E23</f>
        <v>0.318181818181818</v>
      </c>
      <c r="D23" s="10">
        <v>36</v>
      </c>
      <c r="E23" s="10">
        <v>22</v>
      </c>
      <c r="F23" s="10">
        <v>7</v>
      </c>
      <c r="G23" s="10">
        <v>7</v>
      </c>
      <c r="H23" s="10">
        <v>0</v>
      </c>
      <c r="I23" s="10">
        <v>0</v>
      </c>
      <c r="J23" s="10">
        <v>0</v>
      </c>
      <c r="K23" s="10">
        <v>13</v>
      </c>
      <c r="L23" s="10">
        <v>5</v>
      </c>
      <c r="M23" s="10">
        <v>2</v>
      </c>
      <c r="N23" s="10">
        <v>10</v>
      </c>
      <c r="O23" s="10">
        <v>6</v>
      </c>
      <c r="P23" s="152" cm="1">
        <f t="array" ref="P23">O23/D23</f>
        <v>0.166666666666667</v>
      </c>
      <c r="Q23" s="13" cm="1">
        <f t="array" ref="Q23">(G23*1+H23*2+I23*3+J23*4)/E23</f>
        <v>0.318181818181818</v>
      </c>
      <c r="R23" s="13" cm="1">
        <f t="array" ref="R23">(F23+N23)/D23</f>
        <v>0.472222222222222</v>
      </c>
      <c r="S23" s="15" cm="1">
        <f t="array" ref="S23">R23+Q23</f>
        <v>0.79040404040404</v>
      </c>
      <c r="T23" s="153" cm="1">
        <f t="array" ref="T23">O23/(D23-(F23+N23))</f>
        <v>0.315789473684211</v>
      </c>
      <c r="U23" s="17" cm="1">
        <f t="array" ref="U23">RANK(R23,$R$4:$R$23)</f>
        <v>10</v>
      </c>
      <c r="V23" s="18" cm="1">
        <f t="array" ref="V23">RANK(S23,$S$4:$S$23)</f>
        <v>12</v>
      </c>
      <c r="W23" s="10">
        <v>1</v>
      </c>
      <c r="X23" s="154" cm="1">
        <f t="array" ref="X23">RANK(C23,$C$4:$C$23)</f>
        <v>12</v>
      </c>
      <c r="Y23" s="235"/>
      <c r="Z23" s="236" cm="1">
        <f t="array" ref="Z23">N23/D23</f>
        <v>0.277777777777778</v>
      </c>
      <c r="AA23" s="18" cm="1">
        <f t="array" ref="AA23">RANK(Z23,$Z$4:$Z$23)</f>
        <v>5</v>
      </c>
    </row>
    <row r="24" ht="19.5" customHeight="1">
      <c r="A24" t="s" s="29">
        <v>45</v>
      </c>
      <c r="B24" s="124"/>
      <c r="C24" s="127" cm="1">
        <f t="array" ref="C24">F24/E24</f>
        <v>0.386494252873563</v>
      </c>
      <c r="D24" s="49" cm="1">
        <f t="array" ref="D24">SUM(D4:D23)</f>
        <v>878</v>
      </c>
      <c r="E24" s="49" cm="1">
        <f t="array" ref="E24">SUM(E4:E23)</f>
        <v>696</v>
      </c>
      <c r="F24" s="49" cm="1">
        <f t="array" ref="F24">SUM(F4:F23)</f>
        <v>269</v>
      </c>
      <c r="G24" s="49" cm="1">
        <f t="array" ref="G24">SUM(G4:G23)</f>
        <v>196</v>
      </c>
      <c r="H24" s="49" cm="1">
        <f t="array" ref="H24">SUM(H4:H23)</f>
        <v>55</v>
      </c>
      <c r="I24" s="49" cm="1">
        <f t="array" ref="I24">SUM(I4:I23)</f>
        <v>14</v>
      </c>
      <c r="J24" s="49" cm="1">
        <f t="array" ref="J24">SUM(J4:J23)</f>
        <v>4</v>
      </c>
      <c r="K24" s="49" cm="1">
        <f t="array" ref="K24">SUM(K4:K23)</f>
        <v>276</v>
      </c>
      <c r="L24" s="49" cm="1">
        <f t="array" ref="L24">SUM(L4:L23)</f>
        <v>224</v>
      </c>
      <c r="M24" s="49" cm="1">
        <f t="array" ref="M24">SUM(M4:M23)</f>
        <v>174</v>
      </c>
      <c r="N24" s="49" cm="1">
        <f t="array" ref="N24">SUM(N4:N23)</f>
        <v>169</v>
      </c>
      <c r="O24" s="49" cm="1">
        <f t="array" ref="O24">SUM(O4:O23)</f>
        <v>136</v>
      </c>
      <c r="P24" s="33" cm="1">
        <f t="array" ref="P24">O24/D24</f>
        <v>0.154897494305239</v>
      </c>
      <c r="Q24" s="127"/>
      <c r="R24" s="127"/>
      <c r="S24" s="121"/>
      <c r="T24" s="31"/>
      <c r="U24" s="31"/>
      <c r="V24" s="31"/>
      <c r="W24" s="49" cm="1">
        <f t="array" ref="W24">SUM(W4:W23)</f>
        <v>49</v>
      </c>
      <c r="X24" s="31"/>
      <c r="Y24" s="167"/>
      <c r="Z24" s="237"/>
      <c r="AA24" s="238"/>
    </row>
    <row r="25" ht="16.5" customHeight="1">
      <c r="A25" s="162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48"/>
      <c r="Z25" s="237"/>
      <c r="AA25" s="233"/>
    </row>
    <row r="26" ht="17.25" customHeight="1">
      <c r="A26" t="s" s="146">
        <v>46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47"/>
      <c r="S26" s="147"/>
      <c r="T26" s="147"/>
      <c r="U26" s="147"/>
      <c r="V26" s="147"/>
      <c r="W26" s="148"/>
      <c r="X26" s="147"/>
      <c r="Y26" s="148"/>
      <c r="Z26" s="237"/>
      <c r="AA26" s="233"/>
    </row>
    <row r="27" ht="34.5" customHeight="1">
      <c r="A27" t="s" s="8">
        <v>2</v>
      </c>
      <c r="B27" t="s" s="8">
        <v>3</v>
      </c>
      <c r="C27" t="s" s="8">
        <v>47</v>
      </c>
      <c r="D27" t="s" s="8">
        <v>48</v>
      </c>
      <c r="E27" t="s" s="8">
        <v>49</v>
      </c>
      <c r="F27" t="s" s="8">
        <v>50</v>
      </c>
      <c r="G27" t="s" s="8">
        <v>6</v>
      </c>
      <c r="H27" t="s" s="8">
        <v>51</v>
      </c>
      <c r="I27" t="s" s="8">
        <v>52</v>
      </c>
      <c r="J27" t="s" s="8">
        <v>53</v>
      </c>
      <c r="K27" t="s" s="8">
        <v>54</v>
      </c>
      <c r="L27" t="s" s="8">
        <v>55</v>
      </c>
      <c r="M27" t="s" s="8">
        <v>56</v>
      </c>
      <c r="N27" t="s" s="8">
        <v>57</v>
      </c>
      <c r="O27" t="s" s="8">
        <v>58</v>
      </c>
      <c r="P27" t="s" s="8">
        <v>59</v>
      </c>
      <c r="Q27" t="s" s="8">
        <v>60</v>
      </c>
      <c r="R27" t="s" s="8">
        <v>61</v>
      </c>
      <c r="S27" t="s" s="8">
        <v>116</v>
      </c>
      <c r="T27" t="s" s="8">
        <v>63</v>
      </c>
      <c r="U27" t="s" s="8">
        <v>64</v>
      </c>
      <c r="V27" t="s" s="8">
        <v>65</v>
      </c>
      <c r="W27" s="150"/>
      <c r="X27" t="s" s="8">
        <v>117</v>
      </c>
      <c r="Y27" s="167"/>
      <c r="Z27" s="232"/>
      <c r="AA27" s="233"/>
    </row>
    <row r="28" ht="19.5" customHeight="1">
      <c r="A28" t="s" s="8">
        <v>24</v>
      </c>
      <c r="B28" s="10">
        <v>3</v>
      </c>
      <c r="C28" s="10">
        <v>0</v>
      </c>
      <c r="D28" s="10">
        <v>0</v>
      </c>
      <c r="E28" s="10">
        <v>0</v>
      </c>
      <c r="F28" s="10">
        <v>32</v>
      </c>
      <c r="G28" s="10">
        <v>12</v>
      </c>
      <c r="H28" s="39">
        <v>2.666333333330</v>
      </c>
      <c r="I28" s="239">
        <v>4</v>
      </c>
      <c r="J28" s="10">
        <v>0</v>
      </c>
      <c r="K28" s="168">
        <v>19</v>
      </c>
      <c r="L28" s="168">
        <v>0</v>
      </c>
      <c r="M28" s="239">
        <v>1</v>
      </c>
      <c r="N28" s="10">
        <v>22</v>
      </c>
      <c r="O28" s="10">
        <v>17</v>
      </c>
      <c r="P28" s="169" cm="1">
        <f t="array" ref="P28">O28*9/H28</f>
        <v>57.3821727716682</v>
      </c>
      <c r="Q28" s="41" cm="1">
        <f t="array" ref="Q28">(K28+L28)/H28</f>
        <v>7.12589073635095</v>
      </c>
      <c r="R28" s="42" cm="1">
        <f t="array" ref="R28">I28/H28</f>
        <v>1.50018752344231</v>
      </c>
      <c r="S28" s="42" cm="1">
        <f t="array" ref="S28">H28/B28</f>
        <v>0.888777777776667</v>
      </c>
      <c r="T28" s="41" cm="1">
        <f t="array" ref="T28">M28/H28</f>
        <v>0.375046880860576</v>
      </c>
      <c r="U28" s="44" cm="1">
        <f t="array" ref="U28">O28/N28</f>
        <v>0.772727272727273</v>
      </c>
      <c r="V28" s="41" cm="1">
        <f t="array" ref="V28">(I28+K28+L28)/H28</f>
        <v>8.62607825979326</v>
      </c>
      <c r="W28" s="150"/>
      <c r="X28" s="170" cm="1">
        <f t="array" ref="X28">(L28+K28)/F28*100</f>
        <v>59.375</v>
      </c>
      <c r="Y28" s="240"/>
      <c r="Z28" s="232"/>
      <c r="AA28" s="233"/>
    </row>
    <row r="29" ht="19.5" customHeight="1">
      <c r="A29" t="s" s="8">
        <v>27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39">
        <v>0</v>
      </c>
      <c r="I29" s="239">
        <v>0</v>
      </c>
      <c r="J29" s="10">
        <v>0</v>
      </c>
      <c r="K29" s="168">
        <v>0</v>
      </c>
      <c r="L29" s="168">
        <v>0</v>
      </c>
      <c r="M29" s="239">
        <v>0</v>
      </c>
      <c r="N29" s="10">
        <v>0</v>
      </c>
      <c r="O29" s="10">
        <v>0</v>
      </c>
      <c r="P29" s="169">
        <v>0</v>
      </c>
      <c r="Q29" s="241" cm="1">
        <f t="array" ref="Q29">(K29+L29)/H29</f>
      </c>
      <c r="R29" s="242" cm="1">
        <f t="array" ref="R29">I29/H29</f>
      </c>
      <c r="S29" s="242" cm="1">
        <f t="array" ref="S29">H29/B29</f>
      </c>
      <c r="T29" s="241" cm="1">
        <f t="array" ref="T29">M29/H29</f>
      </c>
      <c r="U29" s="243" cm="1">
        <f t="array" ref="U29">O29/N29</f>
      </c>
      <c r="V29" s="241" cm="1">
        <f t="array" ref="V29">(I29+K29+L29)/H29</f>
      </c>
      <c r="W29" s="150"/>
      <c r="X29" s="217"/>
      <c r="Y29" s="240"/>
      <c r="Z29" s="232"/>
      <c r="AA29" s="233"/>
    </row>
    <row r="30" ht="19.5" customHeight="1">
      <c r="A30" t="s" s="8">
        <v>29</v>
      </c>
      <c r="B30" s="10">
        <v>3</v>
      </c>
      <c r="C30" s="10">
        <v>1</v>
      </c>
      <c r="D30" s="10">
        <v>0</v>
      </c>
      <c r="E30" s="10">
        <v>0</v>
      </c>
      <c r="F30" s="10">
        <v>15</v>
      </c>
      <c r="G30" s="10">
        <v>11</v>
      </c>
      <c r="H30" s="39">
        <v>1.333333</v>
      </c>
      <c r="I30" s="239">
        <v>4</v>
      </c>
      <c r="J30" s="10">
        <v>0</v>
      </c>
      <c r="K30" s="168">
        <v>4</v>
      </c>
      <c r="L30" s="168">
        <v>0</v>
      </c>
      <c r="M30" s="239">
        <v>2</v>
      </c>
      <c r="N30" s="10">
        <v>7</v>
      </c>
      <c r="O30" s="10">
        <v>1</v>
      </c>
      <c r="P30" s="169" cm="1">
        <f t="array" ref="P30">O30*9/H30</f>
        <v>6.75000168750042</v>
      </c>
      <c r="Q30" s="41" cm="1">
        <f t="array" ref="Q30">(K30+L30)/H30</f>
        <v>3.00000075000019</v>
      </c>
      <c r="R30" s="42" cm="1">
        <f t="array" ref="R30">I30/H30</f>
        <v>3.00000075000019</v>
      </c>
      <c r="S30" s="42" cm="1">
        <f t="array" ref="S30">H30/B30</f>
        <v>0.444444333333333</v>
      </c>
      <c r="T30" s="41" cm="1">
        <f t="array" ref="T30">M30/H30</f>
        <v>1.50000037500009</v>
      </c>
      <c r="U30" s="44" cm="1">
        <f t="array" ref="U30">O30/N30</f>
        <v>0.142857142857143</v>
      </c>
      <c r="V30" s="41" cm="1">
        <f t="array" ref="V30">(I30+K30+L30)/H30</f>
        <v>6.00000150000038</v>
      </c>
      <c r="W30" s="150"/>
      <c r="X30" s="170" cm="1">
        <f t="array" ref="X30">(L30+K30)/F30*100</f>
        <v>26.6666666666667</v>
      </c>
      <c r="Y30" s="240"/>
      <c r="Z30" s="232"/>
      <c r="AA30" s="233"/>
    </row>
    <row r="31" ht="19.5" customHeight="1">
      <c r="A31" t="s" s="8">
        <v>33</v>
      </c>
      <c r="B31" s="10">
        <v>16</v>
      </c>
      <c r="C31" s="10">
        <v>8</v>
      </c>
      <c r="D31" s="10">
        <v>4</v>
      </c>
      <c r="E31" s="10">
        <v>1</v>
      </c>
      <c r="F31" s="10">
        <v>324</v>
      </c>
      <c r="G31" s="10">
        <v>276</v>
      </c>
      <c r="H31" s="39">
        <v>61</v>
      </c>
      <c r="I31" s="239">
        <v>71</v>
      </c>
      <c r="J31" s="10">
        <v>1</v>
      </c>
      <c r="K31" s="168">
        <v>45</v>
      </c>
      <c r="L31" s="168">
        <v>10</v>
      </c>
      <c r="M31" s="239">
        <v>82</v>
      </c>
      <c r="N31" s="10">
        <v>79</v>
      </c>
      <c r="O31" s="10">
        <v>50</v>
      </c>
      <c r="P31" s="169" cm="1">
        <f t="array" ref="P31">O31*9/H31</f>
        <v>7.37704918032787</v>
      </c>
      <c r="Q31" s="41" cm="1">
        <f t="array" ref="Q31">(K31+L31)/H31</f>
        <v>0.901639344262295</v>
      </c>
      <c r="R31" s="42" cm="1">
        <f t="array" ref="R31">I31/H31</f>
        <v>1.16393442622951</v>
      </c>
      <c r="S31" s="42" cm="1">
        <f t="array" ref="S31">H31/B31</f>
        <v>3.8125</v>
      </c>
      <c r="T31" s="41" cm="1">
        <f t="array" ref="T31">M31/H31</f>
        <v>1.34426229508197</v>
      </c>
      <c r="U31" s="44" cm="1">
        <f t="array" ref="U31">O31/N31</f>
        <v>0.632911392405063</v>
      </c>
      <c r="V31" s="41" cm="1">
        <f t="array" ref="V31">(I31+K31+L31)/H31</f>
        <v>2.0655737704918</v>
      </c>
      <c r="W31" s="150"/>
      <c r="X31" s="170" cm="1">
        <f t="array" ref="X31">(L31+K31)/F31*100</f>
        <v>16.9753086419753</v>
      </c>
      <c r="Y31" s="240"/>
      <c r="Z31" s="232"/>
      <c r="AA31" s="233"/>
    </row>
    <row r="32" ht="19.5" customHeight="1">
      <c r="A32" t="s" s="8">
        <v>35</v>
      </c>
      <c r="B32" s="10">
        <v>1</v>
      </c>
      <c r="C32" s="10">
        <v>0</v>
      </c>
      <c r="D32" s="10">
        <v>0</v>
      </c>
      <c r="E32" s="10">
        <v>0</v>
      </c>
      <c r="F32" s="10">
        <v>3</v>
      </c>
      <c r="G32" s="10">
        <v>1</v>
      </c>
      <c r="H32" s="39">
        <v>0.3333333</v>
      </c>
      <c r="I32" s="239">
        <v>0</v>
      </c>
      <c r="J32" s="10">
        <v>0</v>
      </c>
      <c r="K32" s="168">
        <v>2</v>
      </c>
      <c r="L32" s="168">
        <v>0</v>
      </c>
      <c r="M32" s="239">
        <v>0</v>
      </c>
      <c r="N32" s="10">
        <v>0</v>
      </c>
      <c r="O32" s="10">
        <v>0</v>
      </c>
      <c r="P32" s="169" cm="1">
        <f t="array" ref="P32">O32*9/H32</f>
        <v>0</v>
      </c>
      <c r="Q32" s="41"/>
      <c r="R32" s="42"/>
      <c r="S32" s="42"/>
      <c r="T32" s="41"/>
      <c r="U32" s="44"/>
      <c r="V32" s="41"/>
      <c r="W32" s="150"/>
      <c r="X32" s="170" cm="1">
        <f t="array" ref="X32">(L32+K32)/F32*100</f>
        <v>66.6666666666667</v>
      </c>
      <c r="Y32" s="240"/>
      <c r="Z32" s="232"/>
      <c r="AA32" s="233"/>
    </row>
    <row r="33" ht="19.5" customHeight="1">
      <c r="A33" t="s" s="8">
        <v>36</v>
      </c>
      <c r="B33" s="10">
        <v>7</v>
      </c>
      <c r="C33" s="10">
        <v>2</v>
      </c>
      <c r="D33" s="10">
        <v>2</v>
      </c>
      <c r="E33" s="10">
        <v>0</v>
      </c>
      <c r="F33" s="10">
        <v>64</v>
      </c>
      <c r="G33" s="10">
        <v>42</v>
      </c>
      <c r="H33" s="39">
        <v>7.66666</v>
      </c>
      <c r="I33" s="239">
        <v>17</v>
      </c>
      <c r="J33" s="10">
        <v>0</v>
      </c>
      <c r="K33" s="168">
        <v>23</v>
      </c>
      <c r="L33" s="168">
        <v>1</v>
      </c>
      <c r="M33" s="239">
        <v>6</v>
      </c>
      <c r="N33" s="10">
        <v>29</v>
      </c>
      <c r="O33" s="10">
        <v>27</v>
      </c>
      <c r="P33" s="169" cm="1">
        <f t="array" ref="P33">O33*9/H33</f>
        <v>31.6956797353737</v>
      </c>
      <c r="Q33" s="41" cm="1">
        <f t="array" ref="Q33">(K33+L33)/H33</f>
        <v>3.13043750472826</v>
      </c>
      <c r="R33" s="42" cm="1">
        <f t="array" ref="R33">I33/H33</f>
        <v>2.21739323251585</v>
      </c>
      <c r="S33" s="42" cm="1">
        <f t="array" ref="S33">H33/B33</f>
        <v>1.09523714285714</v>
      </c>
      <c r="T33" s="41" cm="1">
        <f t="array" ref="T33">M33/H33</f>
        <v>0.7826093761820661</v>
      </c>
      <c r="U33" s="44" cm="1">
        <f t="array" ref="U33">O33/N33</f>
        <v>0.931034482758621</v>
      </c>
      <c r="V33" s="41" cm="1">
        <f t="array" ref="V33">(I33+K33+L33)/H33</f>
        <v>5.34783073724412</v>
      </c>
      <c r="W33" s="150"/>
      <c r="X33" s="170" cm="1">
        <f t="array" ref="X33">(L33+K33)/F33*100</f>
        <v>37.5</v>
      </c>
      <c r="Y33" s="240"/>
      <c r="Z33" s="232"/>
      <c r="AA33" s="233"/>
    </row>
    <row r="34" ht="19.5" customHeight="1">
      <c r="A34" t="s" s="8">
        <v>37</v>
      </c>
      <c r="B34" s="10">
        <v>10</v>
      </c>
      <c r="C34" s="10">
        <v>2</v>
      </c>
      <c r="D34" s="10">
        <v>3</v>
      </c>
      <c r="E34" s="10">
        <v>0</v>
      </c>
      <c r="F34" s="10">
        <v>170</v>
      </c>
      <c r="G34" s="10">
        <v>125</v>
      </c>
      <c r="H34" s="39">
        <v>22.999966</v>
      </c>
      <c r="I34" s="239">
        <v>65</v>
      </c>
      <c r="J34" s="10">
        <v>1</v>
      </c>
      <c r="K34" s="168">
        <v>32</v>
      </c>
      <c r="L34" s="168">
        <v>9</v>
      </c>
      <c r="M34" s="239">
        <v>26</v>
      </c>
      <c r="N34" s="10">
        <v>74</v>
      </c>
      <c r="O34" s="10">
        <v>62</v>
      </c>
      <c r="P34" s="169" cm="1">
        <f t="array" ref="P34">O34*9/H34</f>
        <v>24.2609054291645</v>
      </c>
      <c r="Q34" s="41" cm="1">
        <f t="array" ref="Q34">(K34+L34)/H34</f>
        <v>1.78261133081675</v>
      </c>
      <c r="R34" s="42" cm="1">
        <f t="array" ref="R34">I34/H34</f>
        <v>2.82609113422168</v>
      </c>
      <c r="S34" s="42" cm="1">
        <f t="array" ref="S34">H34/B34</f>
        <v>2.2999966</v>
      </c>
      <c r="T34" s="41" cm="1">
        <f t="array" ref="T34">M34/H34</f>
        <v>1.13043645368867</v>
      </c>
      <c r="U34" s="44" cm="1">
        <f t="array" ref="U34">O34/N34</f>
        <v>0.8378378378378381</v>
      </c>
      <c r="V34" s="41" cm="1">
        <f t="array" ref="V34">(I34+K34+L34)/H34</f>
        <v>4.60870246503843</v>
      </c>
      <c r="W34" s="150"/>
      <c r="X34" s="170" cm="1">
        <f t="array" ref="X34">(L34+K34)/F34*100</f>
        <v>24.1176470588235</v>
      </c>
      <c r="Y34" s="240"/>
      <c r="Z34" s="232"/>
      <c r="AA34" s="233"/>
    </row>
    <row r="35" ht="19.5" customHeight="1">
      <c r="A35" t="s" s="8">
        <v>40</v>
      </c>
      <c r="B35" s="10">
        <v>4</v>
      </c>
      <c r="C35" s="10">
        <v>0</v>
      </c>
      <c r="D35" s="10">
        <v>2</v>
      </c>
      <c r="E35" s="10">
        <v>0</v>
      </c>
      <c r="F35" s="10">
        <v>50</v>
      </c>
      <c r="G35" s="10">
        <v>41</v>
      </c>
      <c r="H35" s="39">
        <v>4.666666666660</v>
      </c>
      <c r="I35" s="239">
        <v>25</v>
      </c>
      <c r="J35" s="10">
        <v>2</v>
      </c>
      <c r="K35" s="168">
        <v>7</v>
      </c>
      <c r="L35" s="168">
        <v>2</v>
      </c>
      <c r="M35" s="239">
        <v>5</v>
      </c>
      <c r="N35" s="10">
        <v>31</v>
      </c>
      <c r="O35" s="10">
        <v>23</v>
      </c>
      <c r="P35" s="169" cm="1">
        <f t="array" ref="P35">O35*9/H35</f>
        <v>44.3571428572062</v>
      </c>
      <c r="Q35" s="41" cm="1">
        <f t="array" ref="Q35">(K35+L35)/H35</f>
        <v>1.92857142857418</v>
      </c>
      <c r="R35" s="42" cm="1">
        <f t="array" ref="R35">I35/H35</f>
        <v>5.35714285715051</v>
      </c>
      <c r="S35" s="42" cm="1">
        <f t="array" ref="S35">H35/B35</f>
        <v>1.166666666665</v>
      </c>
      <c r="T35" s="41" cm="1">
        <f t="array" ref="T35">M35/H35</f>
        <v>1.0714285714301</v>
      </c>
      <c r="U35" s="44" cm="1">
        <f t="array" ref="U35">O35/N35</f>
        <v>0.741935483870968</v>
      </c>
      <c r="V35" s="41" cm="1">
        <f t="array" ref="V35">(I35+K35+L35)/H35</f>
        <v>7.28571428572469</v>
      </c>
      <c r="W35" s="150"/>
      <c r="X35" s="170" cm="1">
        <f t="array" ref="X35">(L35+K35)/F35*100</f>
        <v>18</v>
      </c>
      <c r="Y35" s="240"/>
      <c r="Z35" s="232"/>
      <c r="AA35" s="233"/>
    </row>
    <row r="36" ht="19.5" customHeight="1">
      <c r="A36" t="s" s="8">
        <v>42</v>
      </c>
      <c r="B36" s="10">
        <v>2</v>
      </c>
      <c r="C36" s="10">
        <v>0</v>
      </c>
      <c r="D36" s="10">
        <v>0</v>
      </c>
      <c r="E36" s="10">
        <v>1</v>
      </c>
      <c r="F36" s="10">
        <v>5</v>
      </c>
      <c r="G36" s="10">
        <v>2</v>
      </c>
      <c r="H36" s="39">
        <v>0.666666663333</v>
      </c>
      <c r="I36" s="239">
        <v>0</v>
      </c>
      <c r="J36" s="10">
        <v>0</v>
      </c>
      <c r="K36" s="168">
        <v>2</v>
      </c>
      <c r="L36" s="168">
        <v>1</v>
      </c>
      <c r="M36" s="239">
        <v>0</v>
      </c>
      <c r="N36" s="10">
        <v>1</v>
      </c>
      <c r="O36" s="10">
        <v>0</v>
      </c>
      <c r="P36" s="169" cm="1">
        <f t="array" ref="P36">O36*9/H36</f>
        <v>0</v>
      </c>
      <c r="Q36" s="41" cm="1">
        <f t="array" ref="Q36">(K36+L36)/H36</f>
        <v>4.50000002250225</v>
      </c>
      <c r="R36" s="42" cm="1">
        <f t="array" ref="R36">I36/H36</f>
        <v>0</v>
      </c>
      <c r="S36" s="42" cm="1">
        <f t="array" ref="S36">H36/B36</f>
        <v>0.3333333316665</v>
      </c>
      <c r="T36" s="41" cm="1">
        <f t="array" ref="T36">M36/H36</f>
        <v>0</v>
      </c>
      <c r="U36" s="44" cm="1">
        <f t="array" ref="U36">O36/N36</f>
        <v>0</v>
      </c>
      <c r="V36" s="41" cm="1">
        <f t="array" ref="V36">(I36+K36+L36)/H36</f>
        <v>4.50000002250225</v>
      </c>
      <c r="W36" s="150"/>
      <c r="X36" s="170" cm="1">
        <f t="array" ref="X36">(L36+K36)/F36*100</f>
        <v>60</v>
      </c>
      <c r="Y36" s="240"/>
      <c r="Z36" s="232"/>
      <c r="AA36" s="233"/>
    </row>
    <row r="37" ht="19.5" customHeight="1">
      <c r="A37" t="s" s="8">
        <v>43</v>
      </c>
      <c r="B37" s="10">
        <v>14</v>
      </c>
      <c r="C37" s="10">
        <v>3</v>
      </c>
      <c r="D37" s="10">
        <v>3</v>
      </c>
      <c r="E37" s="10">
        <v>0</v>
      </c>
      <c r="F37" s="10">
        <v>160</v>
      </c>
      <c r="G37" s="10">
        <v>113</v>
      </c>
      <c r="H37" s="39">
        <v>26.66666632</v>
      </c>
      <c r="I37" s="239">
        <v>31</v>
      </c>
      <c r="J37" s="10">
        <v>0</v>
      </c>
      <c r="K37" s="168">
        <v>33</v>
      </c>
      <c r="L37" s="168">
        <v>10</v>
      </c>
      <c r="M37" s="239">
        <v>45</v>
      </c>
      <c r="N37" s="10">
        <v>42</v>
      </c>
      <c r="O37" s="10">
        <v>35</v>
      </c>
      <c r="P37" s="169" cm="1">
        <f t="array" ref="P37">O37*9/H37</f>
        <v>11.8125001535625</v>
      </c>
      <c r="Q37" s="41" cm="1">
        <f t="array" ref="Q37">(K37+L37)/H37</f>
        <v>1.6125000209625</v>
      </c>
      <c r="R37" s="42" cm="1">
        <f t="array" ref="R37">I37/H37</f>
        <v>1.1625000151125</v>
      </c>
      <c r="S37" s="42" cm="1">
        <f t="array" ref="S37">H37/B37</f>
        <v>1.90476188</v>
      </c>
      <c r="T37" s="41" cm="1">
        <f t="array" ref="T37">M37/H37</f>
        <v>1.6875000219375</v>
      </c>
      <c r="U37" s="44" cm="1">
        <f t="array" ref="U37">O37/N37</f>
        <v>0.833333333333333</v>
      </c>
      <c r="V37" s="41" cm="1">
        <f t="array" ref="V37">(I37+K37+L37)/H37</f>
        <v>2.775000036075</v>
      </c>
      <c r="W37" s="150"/>
      <c r="X37" s="170" cm="1">
        <f t="array" ref="X37">(L37+K37)/F37*100</f>
        <v>26.875</v>
      </c>
      <c r="Y37" s="240"/>
      <c r="Z37" s="232"/>
      <c r="AA37" s="233"/>
    </row>
    <row r="38" ht="19.5" customHeight="1">
      <c r="A38" t="s" s="29">
        <v>45</v>
      </c>
      <c r="B38" s="124"/>
      <c r="C38" s="49" cm="1">
        <f t="array" ref="C38">SUM(C28:C37)</f>
        <v>16</v>
      </c>
      <c r="D38" s="49" cm="1">
        <f t="array" ref="D38">SUM(D28:D37)</f>
        <v>14</v>
      </c>
      <c r="E38" s="49" cm="1">
        <f t="array" ref="E38">SUM(E28:E37)</f>
        <v>2</v>
      </c>
      <c r="F38" s="49" cm="1">
        <f t="array" ref="F38">SUM(F28:F37)</f>
        <v>823</v>
      </c>
      <c r="G38" s="49" cm="1">
        <f t="array" ref="G38">SUM(G28:G37)</f>
        <v>623</v>
      </c>
      <c r="H38" s="50" cm="1">
        <f t="array" ref="H38">SUM(H28:H37)</f>
        <v>127.999625283323</v>
      </c>
      <c r="I38" s="49" cm="1">
        <f t="array" ref="I38">SUM(I28:I37)</f>
        <v>217</v>
      </c>
      <c r="J38" s="49" cm="1">
        <f t="array" ref="J38">SUM(J28:J37)</f>
        <v>4</v>
      </c>
      <c r="K38" s="49" cm="1">
        <f t="array" ref="K38">SUM(K28:K37)</f>
        <v>167</v>
      </c>
      <c r="L38" s="49" cm="1">
        <f t="array" ref="L38">SUM(L28:L37)</f>
        <v>33</v>
      </c>
      <c r="M38" s="49" cm="1">
        <f t="array" ref="M38">SUM(M28:M37)</f>
        <v>167</v>
      </c>
      <c r="N38" s="49" cm="1">
        <f t="array" ref="N38">SUM(N28:N37)</f>
        <v>285</v>
      </c>
      <c r="O38" s="49" cm="1">
        <f t="array" ref="O38">SUM(O28:O37)</f>
        <v>215</v>
      </c>
      <c r="P38" s="51" cm="1">
        <f t="array" ref="P38">O38*9/H38</f>
        <v>15.1172317553035</v>
      </c>
      <c r="Q38" s="52" cm="1">
        <f t="array" ref="Q38">(K38+L38)/H38</f>
        <v>1.56250457419158</v>
      </c>
      <c r="R38" s="53" cm="1">
        <f t="array" ref="R38">I38/H38</f>
        <v>1.69531746299786</v>
      </c>
      <c r="S38" s="53"/>
      <c r="T38" s="52" cm="1">
        <f t="array" ref="T38">M38/H38</f>
        <v>1.30469131944997</v>
      </c>
      <c r="U38" s="55" cm="1">
        <f t="array" ref="U38">O38/N38</f>
        <v>0.754385964912281</v>
      </c>
      <c r="V38" s="52" cm="1">
        <f t="array" ref="V38">(I38+K38+L38)/H38</f>
        <v>3.25782203718944</v>
      </c>
      <c r="W38" s="150"/>
      <c r="X38" s="52"/>
      <c r="Y38" s="240"/>
      <c r="Z38" s="232"/>
      <c r="AA38" s="233"/>
    </row>
    <row r="39" ht="16.5" customHeight="1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48"/>
      <c r="X39" s="163"/>
      <c r="Y39" s="148"/>
      <c r="Z39" s="232"/>
      <c r="AA39" s="233"/>
    </row>
    <row r="40" ht="16.5" customHeight="1">
      <c r="A40" s="17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232"/>
      <c r="AA40" s="233"/>
    </row>
    <row r="41" ht="16.5" customHeight="1">
      <c r="A41" s="179"/>
      <c r="B41" s="180"/>
      <c r="C41" s="180"/>
      <c r="D41" s="180"/>
      <c r="E41" s="180"/>
      <c r="F41" s="180"/>
      <c r="G41" s="244" cm="1">
        <f t="array" ref="G41">(K38+L38)/F38</f>
        <v>0.243013365735115</v>
      </c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245"/>
      <c r="AA41" s="246"/>
    </row>
  </sheetData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dimension ref="A1:AI48"/>
  <sheetViews>
    <sheetView workbookViewId="0" showGridLines="0" defaultGridColor="1"/>
  </sheetViews>
  <sheetFormatPr defaultColWidth="9" defaultRowHeight="16.5" customHeight="1" outlineLevelRow="0" outlineLevelCol="0"/>
  <cols>
    <col min="1" max="1" width="8.85156" style="247" customWidth="1"/>
    <col min="2" max="2" width="15.6719" style="247" customWidth="1"/>
    <col min="3" max="20" width="8.85156" style="247" customWidth="1"/>
    <col min="21" max="35" width="9" style="247" customWidth="1"/>
    <col min="36" max="16384" width="9" style="247" customWidth="1"/>
  </cols>
  <sheetData>
    <row r="1" ht="26.25" customHeight="1">
      <c r="A1" t="s" s="143">
        <v>176</v>
      </c>
      <c r="B1" s="248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5"/>
    </row>
    <row r="2" ht="17.25" customHeight="1">
      <c r="A2" t="s" s="146">
        <v>1</v>
      </c>
      <c r="B2" s="249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66"/>
    </row>
    <row r="3" ht="17.25" customHeight="1">
      <c r="A3" t="s" s="8">
        <v>2</v>
      </c>
      <c r="B3" t="s" s="8">
        <v>177</v>
      </c>
      <c r="C3" t="s" s="8">
        <v>3</v>
      </c>
      <c r="D3" t="s" s="8">
        <v>4</v>
      </c>
      <c r="E3" t="s" s="8">
        <v>5</v>
      </c>
      <c r="F3" t="s" s="8">
        <v>6</v>
      </c>
      <c r="G3" t="s" s="8">
        <v>7</v>
      </c>
      <c r="H3" t="s" s="8">
        <v>8</v>
      </c>
      <c r="I3" t="s" s="8">
        <v>9</v>
      </c>
      <c r="J3" t="s" s="8">
        <v>10</v>
      </c>
      <c r="K3" t="s" s="8">
        <v>11</v>
      </c>
      <c r="L3" t="s" s="8">
        <v>12</v>
      </c>
      <c r="M3" t="s" s="8">
        <v>13</v>
      </c>
      <c r="N3" t="s" s="8">
        <v>14</v>
      </c>
      <c r="O3" t="s" s="8">
        <v>15</v>
      </c>
      <c r="P3" t="s" s="8">
        <v>16</v>
      </c>
      <c r="Q3" t="s" s="8">
        <v>17</v>
      </c>
      <c r="R3" t="s" s="8">
        <v>18</v>
      </c>
      <c r="S3" t="s" s="8">
        <v>19</v>
      </c>
      <c r="T3" t="s" s="8">
        <v>20</v>
      </c>
      <c r="U3" s="167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66"/>
    </row>
    <row r="4" ht="15" customHeight="1">
      <c r="A4" t="s" s="8">
        <v>24</v>
      </c>
      <c r="B4" t="s" s="250">
        <v>178</v>
      </c>
      <c r="C4" s="10">
        <v>52</v>
      </c>
      <c r="D4" s="65" cm="1">
        <f t="array" ref="D4">G4/F4</f>
        <v>0.52212389380531</v>
      </c>
      <c r="E4" s="10">
        <v>137</v>
      </c>
      <c r="F4" s="10">
        <v>113</v>
      </c>
      <c r="G4" s="10">
        <v>59</v>
      </c>
      <c r="H4" s="10">
        <v>42</v>
      </c>
      <c r="I4" s="10">
        <v>8</v>
      </c>
      <c r="J4" s="10">
        <v>5</v>
      </c>
      <c r="K4" s="10">
        <v>4</v>
      </c>
      <c r="L4" s="10">
        <v>78</v>
      </c>
      <c r="M4" s="10">
        <v>48</v>
      </c>
      <c r="N4" s="10">
        <v>68</v>
      </c>
      <c r="O4" s="10">
        <v>18</v>
      </c>
      <c r="P4" s="10">
        <v>19</v>
      </c>
      <c r="Q4" s="19" cm="1">
        <f t="array" ref="Q4">P4/E4</f>
        <v>0.138686131386861</v>
      </c>
      <c r="R4" s="13" cm="1">
        <f t="array" ref="R4">(H4*1+I4*2+J4*3+K4*4)/F4</f>
        <v>0.787610619469027</v>
      </c>
      <c r="S4" s="14" cm="1">
        <f t="array" ref="S4">(G4+O4)/E4</f>
        <v>0.562043795620438</v>
      </c>
      <c r="T4" s="15" cm="1">
        <f t="array" ref="T4">S4+R4</f>
        <v>1.34965441508947</v>
      </c>
      <c r="U4" s="167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66"/>
    </row>
    <row r="5" ht="17.25" customHeight="1">
      <c r="A5" t="s" s="8">
        <v>25</v>
      </c>
      <c r="B5" t="s" s="250">
        <v>179</v>
      </c>
      <c r="C5" s="10">
        <v>63</v>
      </c>
      <c r="D5" s="65" cm="1">
        <f t="array" ref="D5">G5/F5</f>
        <v>0.440944881889764</v>
      </c>
      <c r="E5" s="10">
        <v>171</v>
      </c>
      <c r="F5" s="10">
        <v>127</v>
      </c>
      <c r="G5" s="10">
        <v>56</v>
      </c>
      <c r="H5" s="10">
        <v>26</v>
      </c>
      <c r="I5" s="10">
        <v>24</v>
      </c>
      <c r="J5" s="10">
        <v>4</v>
      </c>
      <c r="K5" s="10">
        <v>2</v>
      </c>
      <c r="L5" s="10">
        <v>64</v>
      </c>
      <c r="M5" s="10">
        <v>56</v>
      </c>
      <c r="N5" s="10">
        <v>40</v>
      </c>
      <c r="O5" s="10">
        <v>37</v>
      </c>
      <c r="P5" s="10">
        <v>23</v>
      </c>
      <c r="Q5" s="19" cm="1">
        <f t="array" ref="Q5">P5/E5</f>
        <v>0.134502923976608</v>
      </c>
      <c r="R5" s="13" cm="1">
        <f t="array" ref="R5">(H5*1+I5*2+J5*3+K5*4)/F5</f>
        <v>0.740157480314961</v>
      </c>
      <c r="S5" s="14" cm="1">
        <f t="array" ref="S5">(G5+O5)/E5</f>
        <v>0.543859649122807</v>
      </c>
      <c r="T5" s="15" cm="1">
        <f t="array" ref="T5">S5+R5</f>
        <v>1.28401712943777</v>
      </c>
      <c r="U5" s="167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66"/>
    </row>
    <row r="6" ht="17.25" customHeight="1">
      <c r="A6" t="s" s="8">
        <v>26</v>
      </c>
      <c r="B6" t="s" s="250">
        <v>180</v>
      </c>
      <c r="C6" s="10">
        <v>80</v>
      </c>
      <c r="D6" s="65" cm="1">
        <f t="array" ref="D6">G6/F6</f>
        <v>0.527638190954774</v>
      </c>
      <c r="E6" s="10">
        <v>234</v>
      </c>
      <c r="F6" s="10">
        <v>199</v>
      </c>
      <c r="G6" s="10">
        <v>105</v>
      </c>
      <c r="H6" s="10">
        <v>68</v>
      </c>
      <c r="I6" s="10">
        <v>30</v>
      </c>
      <c r="J6" s="10">
        <v>6</v>
      </c>
      <c r="K6" s="10">
        <v>1</v>
      </c>
      <c r="L6" s="10">
        <v>93</v>
      </c>
      <c r="M6" s="10">
        <v>98</v>
      </c>
      <c r="N6" s="10">
        <v>61</v>
      </c>
      <c r="O6" s="10">
        <v>33</v>
      </c>
      <c r="P6" s="10">
        <v>15</v>
      </c>
      <c r="Q6" s="19" cm="1">
        <f t="array" ref="Q6">P6/E6</f>
        <v>0.0641025641025641</v>
      </c>
      <c r="R6" s="13" cm="1">
        <f t="array" ref="R6">(H6*1+I6*2+J6*3+K6*4)/F6</f>
        <v>0.753768844221106</v>
      </c>
      <c r="S6" s="14" cm="1">
        <f t="array" ref="S6">(G6+O6)/E6</f>
        <v>0.58974358974359</v>
      </c>
      <c r="T6" s="15" cm="1">
        <f t="array" ref="T6">S6+R6</f>
        <v>1.3435124339647</v>
      </c>
      <c r="U6" s="167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66"/>
    </row>
    <row r="7" ht="17.25" customHeight="1">
      <c r="A7" t="s" s="8">
        <v>28</v>
      </c>
      <c r="B7" t="s" s="250">
        <v>181</v>
      </c>
      <c r="C7" s="10">
        <v>62</v>
      </c>
      <c r="D7" s="65" cm="1">
        <f t="array" ref="D7">G7/F7</f>
        <v>0.387387387387387</v>
      </c>
      <c r="E7" s="10">
        <v>144</v>
      </c>
      <c r="F7" s="10">
        <v>111</v>
      </c>
      <c r="G7" s="10">
        <v>43</v>
      </c>
      <c r="H7" s="10">
        <v>32</v>
      </c>
      <c r="I7" s="10">
        <v>7</v>
      </c>
      <c r="J7" s="10">
        <v>3</v>
      </c>
      <c r="K7" s="10">
        <v>1</v>
      </c>
      <c r="L7" s="10">
        <v>47</v>
      </c>
      <c r="M7" s="10">
        <v>39</v>
      </c>
      <c r="N7" s="10">
        <v>23</v>
      </c>
      <c r="O7" s="10">
        <v>30</v>
      </c>
      <c r="P7" s="10">
        <v>27</v>
      </c>
      <c r="Q7" s="19" cm="1">
        <f t="array" ref="Q7">P7/E7</f>
        <v>0.1875</v>
      </c>
      <c r="R7" s="13" cm="1">
        <f t="array" ref="R7">(H7*1+I7*2+J7*3+K7*4)/F7</f>
        <v>0.531531531531532</v>
      </c>
      <c r="S7" s="14" cm="1">
        <f t="array" ref="S7">(G7+O7)/E7</f>
        <v>0.506944444444444</v>
      </c>
      <c r="T7" s="15" cm="1">
        <f t="array" ref="T7">S7+R7</f>
        <v>1.03847597597598</v>
      </c>
      <c r="U7" s="167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66"/>
    </row>
    <row r="8" ht="17.25" customHeight="1">
      <c r="A8" t="s" s="8">
        <v>29</v>
      </c>
      <c r="B8" t="s" s="250">
        <v>182</v>
      </c>
      <c r="C8" s="10">
        <v>48</v>
      </c>
      <c r="D8" s="65" cm="1">
        <f t="array" ref="D8">G8/F8</f>
        <v>0.333333333333333</v>
      </c>
      <c r="E8" s="10">
        <v>108</v>
      </c>
      <c r="F8" s="10">
        <v>93</v>
      </c>
      <c r="G8" s="10">
        <v>31</v>
      </c>
      <c r="H8" s="10">
        <v>24</v>
      </c>
      <c r="I8" s="10">
        <v>7</v>
      </c>
      <c r="J8" s="10">
        <v>0</v>
      </c>
      <c r="K8" s="10">
        <v>0</v>
      </c>
      <c r="L8" s="10">
        <v>30</v>
      </c>
      <c r="M8" s="10">
        <v>20</v>
      </c>
      <c r="N8" s="10">
        <v>40</v>
      </c>
      <c r="O8" s="10">
        <v>18</v>
      </c>
      <c r="P8" s="10">
        <v>30</v>
      </c>
      <c r="Q8" s="19" cm="1">
        <f t="array" ref="Q8">P8/E8</f>
        <v>0.277777777777778</v>
      </c>
      <c r="R8" s="13" cm="1">
        <f t="array" ref="R8">(H8*1+I8*2+J8*3+K8*4)/F8</f>
        <v>0.408602150537634</v>
      </c>
      <c r="S8" s="14" cm="1">
        <f t="array" ref="S8">(G8+O8)/E8</f>
        <v>0.453703703703704</v>
      </c>
      <c r="T8" s="15" cm="1">
        <f t="array" ref="T8">S8+R8</f>
        <v>0.862305854241338</v>
      </c>
      <c r="U8" s="167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66"/>
    </row>
    <row r="9" ht="17.25" customHeight="1">
      <c r="A9" t="s" s="8">
        <v>69</v>
      </c>
      <c r="B9" t="s" s="250">
        <v>183</v>
      </c>
      <c r="C9" s="10">
        <v>22</v>
      </c>
      <c r="D9" s="65" cm="1">
        <f t="array" ref="D9">G9/F9</f>
        <v>0.431372549019608</v>
      </c>
      <c r="E9" s="10">
        <v>62</v>
      </c>
      <c r="F9" s="10">
        <v>51</v>
      </c>
      <c r="G9" s="10">
        <v>22</v>
      </c>
      <c r="H9" s="10">
        <v>17</v>
      </c>
      <c r="I9" s="10">
        <v>5</v>
      </c>
      <c r="J9" s="10">
        <v>0</v>
      </c>
      <c r="K9" s="10">
        <v>0</v>
      </c>
      <c r="L9" s="10">
        <v>15</v>
      </c>
      <c r="M9" s="10">
        <v>19</v>
      </c>
      <c r="N9" s="10">
        <v>18</v>
      </c>
      <c r="O9" s="10">
        <v>11</v>
      </c>
      <c r="P9" s="10">
        <v>3</v>
      </c>
      <c r="Q9" s="19" cm="1">
        <f t="array" ref="Q9">P9/E9</f>
        <v>0.0483870967741935</v>
      </c>
      <c r="R9" s="13" cm="1">
        <f t="array" ref="R9">(H9*1+I9*2+J9*3+K9*4)/F9</f>
        <v>0.529411764705882</v>
      </c>
      <c r="S9" s="14" cm="1">
        <f t="array" ref="S9">(G9+O9)/E9</f>
        <v>0.532258064516129</v>
      </c>
      <c r="T9" s="15" cm="1">
        <f t="array" ref="T9">S9+R9</f>
        <v>1.06166982922201</v>
      </c>
      <c r="U9" s="167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66"/>
    </row>
    <row r="10" ht="17.25" customHeight="1">
      <c r="A10" t="s" s="8">
        <v>30</v>
      </c>
      <c r="B10" t="s" s="250">
        <v>184</v>
      </c>
      <c r="C10" s="10">
        <v>90</v>
      </c>
      <c r="D10" s="65" cm="1">
        <f t="array" ref="D10">G10/F10</f>
        <v>0.508196721311475</v>
      </c>
      <c r="E10" s="10">
        <v>242</v>
      </c>
      <c r="F10" s="10">
        <v>183</v>
      </c>
      <c r="G10" s="10">
        <v>93</v>
      </c>
      <c r="H10" s="10">
        <v>72</v>
      </c>
      <c r="I10" s="10">
        <v>14</v>
      </c>
      <c r="J10" s="10">
        <v>10</v>
      </c>
      <c r="K10" s="10">
        <v>1</v>
      </c>
      <c r="L10" s="10">
        <v>101</v>
      </c>
      <c r="M10" s="10">
        <v>66</v>
      </c>
      <c r="N10" s="10">
        <v>111</v>
      </c>
      <c r="O10" s="10">
        <v>52</v>
      </c>
      <c r="P10" s="10">
        <v>22</v>
      </c>
      <c r="Q10" s="19" cm="1">
        <f t="array" ref="Q10">P10/E10</f>
        <v>0.0909090909090909</v>
      </c>
      <c r="R10" s="13" cm="1">
        <f t="array" ref="R10">(H10*1+I10*2+J10*3+K10*4)/F10</f>
        <v>0.73224043715847</v>
      </c>
      <c r="S10" s="14" cm="1">
        <f t="array" ref="S10">(G10+O10)/E10</f>
        <v>0.599173553719008</v>
      </c>
      <c r="T10" s="15" cm="1">
        <f t="array" ref="T10">S10+R10</f>
        <v>1.33141399087748</v>
      </c>
      <c r="U10" s="167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66"/>
    </row>
    <row r="11" ht="17.25" customHeight="1">
      <c r="A11" t="s" s="8">
        <v>32</v>
      </c>
      <c r="B11" t="s" s="250">
        <v>185</v>
      </c>
      <c r="C11" s="10">
        <v>36</v>
      </c>
      <c r="D11" s="65" cm="1">
        <f t="array" ref="D11">G11/F11</f>
        <v>0.36</v>
      </c>
      <c r="E11" s="10">
        <v>71</v>
      </c>
      <c r="F11" s="10">
        <v>50</v>
      </c>
      <c r="G11" s="10">
        <v>18</v>
      </c>
      <c r="H11" s="10">
        <v>13</v>
      </c>
      <c r="I11" s="10">
        <v>3</v>
      </c>
      <c r="J11" s="10">
        <v>2</v>
      </c>
      <c r="K11" s="10">
        <v>0</v>
      </c>
      <c r="L11" s="10">
        <v>26</v>
      </c>
      <c r="M11" s="10">
        <v>17</v>
      </c>
      <c r="N11" s="10">
        <v>19</v>
      </c>
      <c r="O11" s="10">
        <v>14</v>
      </c>
      <c r="P11" s="10">
        <v>6</v>
      </c>
      <c r="Q11" s="19" cm="1">
        <f t="array" ref="Q11">P11/E11</f>
        <v>0.0845070422535211</v>
      </c>
      <c r="R11" s="13" cm="1">
        <f t="array" ref="R11">(H11*1+I11*2+J11*3+K11*4)/F11</f>
        <v>0.5</v>
      </c>
      <c r="S11" s="14" cm="1">
        <f t="array" ref="S11">(G11+O11)/E11</f>
        <v>0.450704225352113</v>
      </c>
      <c r="T11" s="15" cm="1">
        <f t="array" ref="T11">S11+R11</f>
        <v>0.950704225352113</v>
      </c>
      <c r="U11" s="167"/>
      <c r="V11" s="148"/>
      <c r="W11" s="148"/>
      <c r="X11" s="148"/>
      <c r="Y11" t="s" s="251">
        <v>186</v>
      </c>
      <c r="Z11" s="147"/>
      <c r="AA11" s="147"/>
      <c r="AB11" s="147"/>
      <c r="AC11" s="147"/>
      <c r="AD11" s="148"/>
      <c r="AE11" t="s" s="251">
        <v>187</v>
      </c>
      <c r="AF11" s="147"/>
      <c r="AG11" s="147"/>
      <c r="AH11" s="147"/>
      <c r="AI11" s="149"/>
    </row>
    <row r="12" ht="17.25" customHeight="1">
      <c r="A12" t="s" s="8">
        <v>33</v>
      </c>
      <c r="B12" t="s" s="250">
        <v>188</v>
      </c>
      <c r="C12" s="10">
        <v>61</v>
      </c>
      <c r="D12" s="65" cm="1">
        <f t="array" ref="D12">G12/F12</f>
        <v>0.478260869565217</v>
      </c>
      <c r="E12" s="10">
        <v>165</v>
      </c>
      <c r="F12" s="10">
        <v>138</v>
      </c>
      <c r="G12" s="10">
        <v>66</v>
      </c>
      <c r="H12" s="10">
        <v>41</v>
      </c>
      <c r="I12" s="10">
        <v>22</v>
      </c>
      <c r="J12" s="10">
        <v>2</v>
      </c>
      <c r="K12" s="10">
        <v>1</v>
      </c>
      <c r="L12" s="10">
        <v>50</v>
      </c>
      <c r="M12" s="10">
        <v>60</v>
      </c>
      <c r="N12" s="10">
        <v>25</v>
      </c>
      <c r="O12" s="10">
        <v>26</v>
      </c>
      <c r="P12" s="10">
        <v>7</v>
      </c>
      <c r="Q12" s="19" cm="1">
        <f t="array" ref="Q12">P12/E12</f>
        <v>0.0424242424242424</v>
      </c>
      <c r="R12" s="13" cm="1">
        <f t="array" ref="R12">(H12*1+I12*2+J12*3+K12*4)/F12</f>
        <v>0.688405797101449</v>
      </c>
      <c r="S12" s="14" cm="1">
        <f t="array" ref="S12">(G12+O12)/E12</f>
        <v>0.5575757575757579</v>
      </c>
      <c r="T12" s="15" cm="1">
        <f t="array" ref="T12">S12+R12</f>
        <v>1.24598155467721</v>
      </c>
      <c r="U12" s="167"/>
      <c r="V12" s="148"/>
      <c r="W12" s="148"/>
      <c r="X12" s="252"/>
      <c r="Y12" t="s" s="253">
        <v>189</v>
      </c>
      <c r="Z12" t="s" s="254">
        <v>190</v>
      </c>
      <c r="AA12" s="255"/>
      <c r="AB12" t="s" s="256">
        <v>191</v>
      </c>
      <c r="AC12" s="121"/>
      <c r="AD12" s="150"/>
      <c r="AE12" t="s" s="253">
        <v>189</v>
      </c>
      <c r="AF12" t="s" s="254">
        <v>190</v>
      </c>
      <c r="AG12" s="255"/>
      <c r="AH12" t="s" s="256">
        <v>191</v>
      </c>
      <c r="AI12" s="121"/>
    </row>
    <row r="13" ht="17.25" customHeight="1">
      <c r="A13" t="s" s="8">
        <v>35</v>
      </c>
      <c r="B13" t="s" s="250">
        <v>192</v>
      </c>
      <c r="C13" s="10">
        <v>59</v>
      </c>
      <c r="D13" s="65" cm="1">
        <f t="array" ref="D13">G13/F13</f>
        <v>0.3</v>
      </c>
      <c r="E13" s="10">
        <v>144</v>
      </c>
      <c r="F13" s="10">
        <v>110</v>
      </c>
      <c r="G13" s="10">
        <v>33</v>
      </c>
      <c r="H13" s="10">
        <v>30</v>
      </c>
      <c r="I13" s="10">
        <v>3</v>
      </c>
      <c r="J13" s="10">
        <v>0</v>
      </c>
      <c r="K13" s="10">
        <v>0</v>
      </c>
      <c r="L13" s="10">
        <v>36</v>
      </c>
      <c r="M13" s="10">
        <v>31</v>
      </c>
      <c r="N13" s="10">
        <v>22</v>
      </c>
      <c r="O13" s="10">
        <v>28</v>
      </c>
      <c r="P13" s="10">
        <v>34</v>
      </c>
      <c r="Q13" s="19" cm="1">
        <f t="array" ref="Q13">P13/E13</f>
        <v>0.236111111111111</v>
      </c>
      <c r="R13" s="13" cm="1">
        <f t="array" ref="R13">(H13*1+I13*2+J13*3+K13*4)/F13</f>
        <v>0.327272727272727</v>
      </c>
      <c r="S13" s="14" cm="1">
        <f t="array" ref="S13">(G13+O13)/E13</f>
        <v>0.423611111111111</v>
      </c>
      <c r="T13" s="15" cm="1">
        <f t="array" ref="T13">S13+R13</f>
        <v>0.750883838383838</v>
      </c>
      <c r="U13" s="167"/>
      <c r="V13" s="148"/>
      <c r="W13" s="148"/>
      <c r="X13" s="252"/>
      <c r="Y13" s="257"/>
      <c r="Z13" t="s" s="256">
        <v>177</v>
      </c>
      <c r="AA13" t="s" s="256">
        <v>2</v>
      </c>
      <c r="AB13" t="s" s="256">
        <v>177</v>
      </c>
      <c r="AC13" t="s" s="256">
        <v>2</v>
      </c>
      <c r="AD13" s="150"/>
      <c r="AE13" s="257"/>
      <c r="AF13" t="s" s="256">
        <v>177</v>
      </c>
      <c r="AG13" t="s" s="256">
        <v>2</v>
      </c>
      <c r="AH13" t="s" s="256">
        <v>177</v>
      </c>
      <c r="AI13" t="s" s="256">
        <v>2</v>
      </c>
    </row>
    <row r="14" ht="17.25" customHeight="1">
      <c r="A14" t="s" s="8">
        <v>38</v>
      </c>
      <c r="B14" t="s" s="250">
        <v>193</v>
      </c>
      <c r="C14" s="10">
        <v>71</v>
      </c>
      <c r="D14" s="65" cm="1">
        <f t="array" ref="D14">G14/F14</f>
        <v>0.386861313868613</v>
      </c>
      <c r="E14" s="10">
        <v>162</v>
      </c>
      <c r="F14" s="10">
        <v>137</v>
      </c>
      <c r="G14" s="10">
        <v>53</v>
      </c>
      <c r="H14" s="10">
        <v>44</v>
      </c>
      <c r="I14" s="10">
        <v>7</v>
      </c>
      <c r="J14" s="10">
        <v>1</v>
      </c>
      <c r="K14" s="10">
        <v>1</v>
      </c>
      <c r="L14" s="10">
        <v>35</v>
      </c>
      <c r="M14" s="10">
        <v>29</v>
      </c>
      <c r="N14" s="10">
        <v>18</v>
      </c>
      <c r="O14" s="10">
        <v>19</v>
      </c>
      <c r="P14" s="10">
        <v>25</v>
      </c>
      <c r="Q14" s="19" cm="1">
        <f t="array" ref="Q14">P14/E14</f>
        <v>0.154320987654321</v>
      </c>
      <c r="R14" s="13" cm="1">
        <f t="array" ref="R14">(H14*1+I14*2+J14*3+K14*4)/F14</f>
        <v>0.474452554744526</v>
      </c>
      <c r="S14" s="14" cm="1">
        <f t="array" ref="S14">(G14+O14)/E14</f>
        <v>0.444444444444444</v>
      </c>
      <c r="T14" s="15" cm="1">
        <f t="array" ref="T14">S14+R14</f>
        <v>0.9188969991889701</v>
      </c>
      <c r="U14" s="167"/>
      <c r="V14" s="148"/>
      <c r="W14" s="148"/>
      <c r="X14" s="252"/>
      <c r="Y14" s="258">
        <v>1</v>
      </c>
      <c r="Z14" t="s" s="259">
        <v>194</v>
      </c>
      <c r="AA14" t="s" s="259">
        <v>30</v>
      </c>
      <c r="AB14" t="s" s="259">
        <v>195</v>
      </c>
      <c r="AC14" t="s" s="259">
        <v>29</v>
      </c>
      <c r="AD14" s="150"/>
      <c r="AE14" s="260">
        <v>1</v>
      </c>
      <c r="AF14" t="s" s="45">
        <v>195</v>
      </c>
      <c r="AG14" t="s" s="45">
        <v>32</v>
      </c>
      <c r="AH14" t="s" s="45">
        <v>194</v>
      </c>
      <c r="AI14" t="s" s="45">
        <v>30</v>
      </c>
    </row>
    <row r="15" ht="17.25" customHeight="1">
      <c r="A15" t="s" s="8">
        <v>39</v>
      </c>
      <c r="B15" t="s" s="250">
        <v>196</v>
      </c>
      <c r="C15" s="10">
        <v>47</v>
      </c>
      <c r="D15" s="65" cm="1">
        <f t="array" ref="D15">G15/F15</f>
        <v>0.333333333333333</v>
      </c>
      <c r="E15" s="10">
        <v>130</v>
      </c>
      <c r="F15" s="10">
        <v>105</v>
      </c>
      <c r="G15" s="10">
        <v>35</v>
      </c>
      <c r="H15" s="10">
        <v>28</v>
      </c>
      <c r="I15" s="10">
        <v>2</v>
      </c>
      <c r="J15" s="10">
        <v>2</v>
      </c>
      <c r="K15" s="10">
        <v>3</v>
      </c>
      <c r="L15" s="10">
        <v>34</v>
      </c>
      <c r="M15" s="10">
        <v>42</v>
      </c>
      <c r="N15" s="10">
        <v>17</v>
      </c>
      <c r="O15" s="10">
        <v>19</v>
      </c>
      <c r="P15" s="10">
        <v>16</v>
      </c>
      <c r="Q15" s="19" cm="1">
        <f t="array" ref="Q15">P15/E15</f>
        <v>0.123076923076923</v>
      </c>
      <c r="R15" s="13" cm="1">
        <f t="array" ref="R15">(H15*1+I15*2+J15*3+K15*4)/F15</f>
        <v>0.476190476190476</v>
      </c>
      <c r="S15" s="14" cm="1">
        <f t="array" ref="S15">(G15+O15)/E15</f>
        <v>0.415384615384615</v>
      </c>
      <c r="T15" s="15" cm="1">
        <f t="array" ref="T15">S15+R15</f>
        <v>0.891575091575091</v>
      </c>
      <c r="U15" s="167"/>
      <c r="V15" s="148"/>
      <c r="W15" s="148"/>
      <c r="X15" s="252"/>
      <c r="Y15" s="258">
        <v>2</v>
      </c>
      <c r="Z15" t="s" s="259">
        <v>197</v>
      </c>
      <c r="AA15" t="s" s="259">
        <v>41</v>
      </c>
      <c r="AB15" t="s" s="259">
        <v>198</v>
      </c>
      <c r="AC15" t="s" s="259">
        <v>44</v>
      </c>
      <c r="AD15" s="150"/>
      <c r="AE15" s="260">
        <v>2</v>
      </c>
      <c r="AF15" t="s" s="45">
        <v>199</v>
      </c>
      <c r="AG15" t="s" s="45">
        <v>28</v>
      </c>
      <c r="AH15" t="s" s="45">
        <v>199</v>
      </c>
      <c r="AI15" t="s" s="45">
        <v>39</v>
      </c>
    </row>
    <row r="16" ht="17.25" customHeight="1">
      <c r="A16" t="s" s="8">
        <v>70</v>
      </c>
      <c r="B16" t="s" s="250">
        <v>180</v>
      </c>
      <c r="C16" s="10">
        <v>9</v>
      </c>
      <c r="D16" s="65" cm="1">
        <f t="array" ref="D16">G16/F16</f>
        <v>0.294117647058824</v>
      </c>
      <c r="E16" s="10">
        <v>20</v>
      </c>
      <c r="F16" s="10">
        <v>17</v>
      </c>
      <c r="G16" s="10">
        <v>5</v>
      </c>
      <c r="H16" s="10">
        <v>5</v>
      </c>
      <c r="I16" s="10">
        <v>0</v>
      </c>
      <c r="J16" s="10">
        <v>0</v>
      </c>
      <c r="K16" s="10">
        <v>0</v>
      </c>
      <c r="L16" s="10">
        <v>4</v>
      </c>
      <c r="M16" s="10">
        <v>2</v>
      </c>
      <c r="N16" s="10">
        <v>3</v>
      </c>
      <c r="O16" s="10">
        <v>2</v>
      </c>
      <c r="P16" s="10">
        <v>2</v>
      </c>
      <c r="Q16" s="19" cm="1">
        <f t="array" ref="Q16">P16/E16</f>
        <v>0.1</v>
      </c>
      <c r="R16" s="13" cm="1">
        <f t="array" ref="R16">(H16*1+I16*2+J16*3+K16*4)/F16</f>
        <v>0.294117647058824</v>
      </c>
      <c r="S16" s="14" cm="1">
        <f t="array" ref="S16">(G16+O16)/E16</f>
        <v>0.35</v>
      </c>
      <c r="T16" s="15" cm="1">
        <f t="array" ref="T16">S16+R16</f>
        <v>0.644117647058824</v>
      </c>
      <c r="U16" s="167"/>
      <c r="V16" s="148"/>
      <c r="W16" s="148"/>
      <c r="X16" s="252"/>
      <c r="Y16" s="258">
        <v>3</v>
      </c>
      <c r="Z16" t="s" s="259">
        <v>194</v>
      </c>
      <c r="AA16" t="s" s="259">
        <v>26</v>
      </c>
      <c r="AB16" t="s" s="259">
        <v>200</v>
      </c>
      <c r="AC16" t="s" s="259">
        <v>33</v>
      </c>
      <c r="AD16" s="150"/>
      <c r="AE16" s="260">
        <v>3</v>
      </c>
      <c r="AF16" t="s" s="45">
        <v>201</v>
      </c>
      <c r="AG16" t="s" s="45">
        <v>26</v>
      </c>
      <c r="AH16" t="s" s="45">
        <v>200</v>
      </c>
      <c r="AI16" t="s" s="45">
        <v>33</v>
      </c>
    </row>
    <row r="17" ht="17.25" customHeight="1">
      <c r="A17" t="s" s="8">
        <v>41</v>
      </c>
      <c r="B17" t="s" s="250">
        <v>181</v>
      </c>
      <c r="C17" s="10">
        <v>70</v>
      </c>
      <c r="D17" s="65" cm="1">
        <f t="array" ref="D17">G17/F17</f>
        <v>0.446043165467626</v>
      </c>
      <c r="E17" s="10">
        <v>166</v>
      </c>
      <c r="F17" s="10">
        <v>139</v>
      </c>
      <c r="G17" s="10">
        <v>62</v>
      </c>
      <c r="H17" s="10">
        <v>47</v>
      </c>
      <c r="I17" s="10">
        <v>13</v>
      </c>
      <c r="J17" s="10">
        <v>0</v>
      </c>
      <c r="K17" s="10">
        <v>2</v>
      </c>
      <c r="L17" s="10">
        <v>55</v>
      </c>
      <c r="M17" s="10">
        <v>51</v>
      </c>
      <c r="N17" s="10">
        <v>32</v>
      </c>
      <c r="O17" s="10">
        <v>27</v>
      </c>
      <c r="P17" s="10">
        <v>24</v>
      </c>
      <c r="Q17" s="19" cm="1">
        <f t="array" ref="Q17">P17/E17</f>
        <v>0.144578313253012</v>
      </c>
      <c r="R17" s="13" cm="1">
        <f t="array" ref="R17">(H17*1+I17*2+J17*3+K17*4)/F17</f>
        <v>0.58273381294964</v>
      </c>
      <c r="S17" s="14" cm="1">
        <f t="array" ref="S17">(G17+O17)/E17</f>
        <v>0.536144578313253</v>
      </c>
      <c r="T17" s="15" cm="1">
        <f t="array" ref="T17">S17+R17</f>
        <v>1.11887839126289</v>
      </c>
      <c r="U17" s="167"/>
      <c r="V17" s="148"/>
      <c r="W17" s="148"/>
      <c r="X17" s="252"/>
      <c r="Y17" s="258">
        <v>4</v>
      </c>
      <c r="Z17" t="s" s="259">
        <v>202</v>
      </c>
      <c r="AA17" t="s" s="259">
        <v>43</v>
      </c>
      <c r="AB17" t="s" s="259">
        <v>199</v>
      </c>
      <c r="AC17" t="s" s="259">
        <v>39</v>
      </c>
      <c r="AD17" s="150"/>
      <c r="AE17" s="260">
        <v>4</v>
      </c>
      <c r="AF17" t="s" s="45">
        <v>200</v>
      </c>
      <c r="AG17" t="s" s="45">
        <v>43</v>
      </c>
      <c r="AH17" t="s" s="45">
        <v>201</v>
      </c>
      <c r="AI17" t="s" s="45">
        <v>70</v>
      </c>
    </row>
    <row r="18" ht="17.25" customHeight="1">
      <c r="A18" t="s" s="8">
        <v>42</v>
      </c>
      <c r="B18" t="s" s="250">
        <v>203</v>
      </c>
      <c r="C18" s="10">
        <v>46</v>
      </c>
      <c r="D18" s="65" cm="1">
        <f t="array" ref="D18">G18/F18</f>
        <v>0.302631578947368</v>
      </c>
      <c r="E18" s="10">
        <v>104</v>
      </c>
      <c r="F18" s="10">
        <v>76</v>
      </c>
      <c r="G18" s="10">
        <v>23</v>
      </c>
      <c r="H18" s="10">
        <v>17</v>
      </c>
      <c r="I18" s="10">
        <v>6</v>
      </c>
      <c r="J18" s="10">
        <v>0</v>
      </c>
      <c r="K18" s="10">
        <v>0</v>
      </c>
      <c r="L18" s="10">
        <v>26</v>
      </c>
      <c r="M18" s="10">
        <v>17</v>
      </c>
      <c r="N18" s="10">
        <v>18</v>
      </c>
      <c r="O18" s="10">
        <v>26</v>
      </c>
      <c r="P18" s="10">
        <v>26</v>
      </c>
      <c r="Q18" s="19" cm="1">
        <f t="array" ref="Q18">P18/E18</f>
        <v>0.25</v>
      </c>
      <c r="R18" s="13" cm="1">
        <f t="array" ref="R18">(H18*1+I18*2+J18*3+K18*4)/F18</f>
        <v>0.381578947368421</v>
      </c>
      <c r="S18" s="14" cm="1">
        <f t="array" ref="S18">(G18+O18)/E18</f>
        <v>0.471153846153846</v>
      </c>
      <c r="T18" s="15" cm="1">
        <f t="array" ref="T18">S18+R18</f>
        <v>0.8527327935222671</v>
      </c>
      <c r="U18" s="167"/>
      <c r="V18" s="148"/>
      <c r="W18" s="148"/>
      <c r="X18" s="252"/>
      <c r="Y18" s="258">
        <v>5</v>
      </c>
      <c r="Z18" t="s" s="259">
        <v>200</v>
      </c>
      <c r="AA18" t="s" s="259">
        <v>42</v>
      </c>
      <c r="AB18" t="s" s="259">
        <v>202</v>
      </c>
      <c r="AC18" t="s" s="259">
        <v>38</v>
      </c>
      <c r="AD18" s="150"/>
      <c r="AE18" s="260">
        <v>5</v>
      </c>
      <c r="AF18" t="s" s="45">
        <v>202</v>
      </c>
      <c r="AG18" t="s" s="45">
        <v>29</v>
      </c>
      <c r="AH18" t="s" s="45">
        <v>202</v>
      </c>
      <c r="AI18" t="s" s="45">
        <v>38</v>
      </c>
    </row>
    <row r="19" ht="17.25" customHeight="1">
      <c r="A19" t="s" s="8">
        <v>43</v>
      </c>
      <c r="B19" t="s" s="250">
        <v>204</v>
      </c>
      <c r="C19" s="10">
        <v>60</v>
      </c>
      <c r="D19" s="65" cm="1">
        <f t="array" ref="D19">G19/F19</f>
        <v>0.303571428571429</v>
      </c>
      <c r="E19" s="10">
        <v>147</v>
      </c>
      <c r="F19" s="10">
        <v>112</v>
      </c>
      <c r="G19" s="10">
        <v>34</v>
      </c>
      <c r="H19" s="10">
        <v>22</v>
      </c>
      <c r="I19" s="10">
        <v>10</v>
      </c>
      <c r="J19" s="10">
        <v>2</v>
      </c>
      <c r="K19" s="10">
        <v>0</v>
      </c>
      <c r="L19" s="10">
        <v>34</v>
      </c>
      <c r="M19" s="10">
        <v>27</v>
      </c>
      <c r="N19" s="10">
        <v>19</v>
      </c>
      <c r="O19" s="10">
        <v>34</v>
      </c>
      <c r="P19" s="10">
        <v>32</v>
      </c>
      <c r="Q19" s="19" cm="1">
        <f t="array" ref="Q19">P19/E19</f>
        <v>0.217687074829932</v>
      </c>
      <c r="R19" s="13" cm="1">
        <f t="array" ref="R19">(H19*1+I19*2+J19*3+K19*4)/F19</f>
        <v>0.428571428571429</v>
      </c>
      <c r="S19" s="14" cm="1">
        <f t="array" ref="S19">(G19+O19)/E19</f>
        <v>0.462585034013605</v>
      </c>
      <c r="T19" s="15" cm="1">
        <f t="array" ref="T19">S19+R19</f>
        <v>0.891156462585034</v>
      </c>
      <c r="U19" s="167"/>
      <c r="V19" s="148"/>
      <c r="W19" s="148"/>
      <c r="X19" s="252"/>
      <c r="Y19" s="258">
        <v>6</v>
      </c>
      <c r="Z19" t="s" s="259">
        <v>199</v>
      </c>
      <c r="AA19" t="s" s="259">
        <v>24</v>
      </c>
      <c r="AB19" t="s" s="259">
        <v>201</v>
      </c>
      <c r="AC19" t="s" s="259">
        <v>70</v>
      </c>
      <c r="AD19" s="150"/>
      <c r="AE19" s="260">
        <v>6</v>
      </c>
      <c r="AF19" t="s" s="45">
        <v>198</v>
      </c>
      <c r="AG19" t="s" s="45">
        <v>44</v>
      </c>
      <c r="AH19" t="s" s="45">
        <v>197</v>
      </c>
      <c r="AI19" t="s" s="45">
        <v>42</v>
      </c>
    </row>
    <row r="20" ht="17.25" customHeight="1">
      <c r="A20" t="s" s="8">
        <v>71</v>
      </c>
      <c r="B20" t="s" s="250">
        <v>205</v>
      </c>
      <c r="C20" s="10">
        <v>1</v>
      </c>
      <c r="D20" s="65" cm="1">
        <f t="array" ref="D20">G20/F20</f>
        <v>0</v>
      </c>
      <c r="E20" s="10">
        <v>2</v>
      </c>
      <c r="F20" s="10">
        <v>2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1</v>
      </c>
      <c r="Q20" s="19" cm="1">
        <f t="array" ref="Q20">P20/E20</f>
        <v>0.5</v>
      </c>
      <c r="R20" s="13" cm="1">
        <f t="array" ref="R20">(H20*1+I20*2+J20*3+K20*4)/F20</f>
        <v>0</v>
      </c>
      <c r="S20" s="14" cm="1">
        <f t="array" ref="S20">(G20+O20)/E20</f>
        <v>0</v>
      </c>
      <c r="T20" s="15" cm="1">
        <f t="array" ref="T20">S20+R20</f>
        <v>0</v>
      </c>
      <c r="U20" s="167"/>
      <c r="V20" s="148"/>
      <c r="W20" s="148"/>
      <c r="X20" s="252"/>
      <c r="Y20" s="258">
        <v>7</v>
      </c>
      <c r="Z20" t="s" s="259">
        <v>198</v>
      </c>
      <c r="AA20" t="s" s="259">
        <v>32</v>
      </c>
      <c r="AB20" t="s" s="259">
        <v>197</v>
      </c>
      <c r="AC20" t="s" s="259">
        <v>28</v>
      </c>
      <c r="AD20" s="150"/>
      <c r="AE20" s="260">
        <v>7</v>
      </c>
      <c r="AF20" t="s" s="45">
        <v>194</v>
      </c>
      <c r="AG20" t="s" s="45">
        <v>24</v>
      </c>
      <c r="AH20" t="s" s="45">
        <v>206</v>
      </c>
      <c r="AI20" t="s" s="45">
        <v>69</v>
      </c>
    </row>
    <row r="21" ht="17.25" customHeight="1">
      <c r="A21" t="s" s="8">
        <v>44</v>
      </c>
      <c r="B21" t="s" s="250">
        <v>205</v>
      </c>
      <c r="C21" s="10">
        <v>24</v>
      </c>
      <c r="D21" s="65" cm="1">
        <f t="array" ref="D21">G21/F21</f>
        <v>0.205128205128205</v>
      </c>
      <c r="E21" s="10">
        <v>60</v>
      </c>
      <c r="F21" s="10">
        <v>39</v>
      </c>
      <c r="G21" s="10">
        <v>8</v>
      </c>
      <c r="H21" s="10">
        <v>8</v>
      </c>
      <c r="I21" s="10">
        <v>0</v>
      </c>
      <c r="J21" s="10">
        <v>0</v>
      </c>
      <c r="K21" s="10">
        <v>0</v>
      </c>
      <c r="L21" s="10">
        <v>16</v>
      </c>
      <c r="M21" s="10">
        <v>5</v>
      </c>
      <c r="N21" s="10">
        <v>8</v>
      </c>
      <c r="O21" s="10">
        <v>14</v>
      </c>
      <c r="P21" s="10">
        <v>9</v>
      </c>
      <c r="Q21" s="19" cm="1">
        <f t="array" ref="Q21">P21/E21</f>
        <v>0.15</v>
      </c>
      <c r="R21" s="13" cm="1">
        <f t="array" ref="R21">(H21*1+I21*2+J21*3+K21*4)/F21</f>
        <v>0.205128205128205</v>
      </c>
      <c r="S21" s="14" cm="1">
        <f t="array" ref="S21">(G21+O21)/E21</f>
        <v>0.366666666666667</v>
      </c>
      <c r="T21" s="15" cm="1">
        <f t="array" ref="T21">S21+R21</f>
        <v>0.571794871794872</v>
      </c>
      <c r="U21" s="167"/>
      <c r="V21" s="148"/>
      <c r="W21" s="148"/>
      <c r="X21" s="252"/>
      <c r="Y21" s="258">
        <v>8</v>
      </c>
      <c r="Z21" t="s" s="259">
        <v>206</v>
      </c>
      <c r="AA21" t="s" s="259">
        <v>25</v>
      </c>
      <c r="AB21" t="s" s="259">
        <v>206</v>
      </c>
      <c r="AC21" t="s" s="259">
        <v>69</v>
      </c>
      <c r="AD21" s="150"/>
      <c r="AE21" s="260">
        <v>8</v>
      </c>
      <c r="AF21" t="s" s="45">
        <v>206</v>
      </c>
      <c r="AG21" t="s" s="45">
        <v>25</v>
      </c>
      <c r="AH21" t="s" s="45">
        <v>198</v>
      </c>
      <c r="AI21" t="s" s="45">
        <v>71</v>
      </c>
    </row>
    <row r="22" ht="17.25" customHeight="1">
      <c r="A22" t="s" s="29">
        <v>45</v>
      </c>
      <c r="B22" s="124"/>
      <c r="C22" s="30"/>
      <c r="D22" s="31" cm="1">
        <f t="array" ref="D22">G22/F22</f>
        <v>0.413984461709212</v>
      </c>
      <c r="E22" s="32" cm="1">
        <f t="array" ref="E22">SUM(E4:E21)</f>
        <v>2269</v>
      </c>
      <c r="F22" s="32" cm="1">
        <f t="array" ref="F22">SUM(F4:F21)</f>
        <v>1802</v>
      </c>
      <c r="G22" s="32" cm="1">
        <f t="array" ref="G22">SUM(G4:G21)</f>
        <v>746</v>
      </c>
      <c r="H22" s="32" cm="1">
        <f t="array" ref="H22">SUM(H4:H21)</f>
        <v>536</v>
      </c>
      <c r="I22" s="32" cm="1">
        <f t="array" ref="I22">SUM(I4:I21)</f>
        <v>161</v>
      </c>
      <c r="J22" s="32" cm="1">
        <f t="array" ref="J22">SUM(J4:J21)</f>
        <v>37</v>
      </c>
      <c r="K22" s="32" cm="1">
        <f t="array" ref="K22">SUM(K4:K21)</f>
        <v>16</v>
      </c>
      <c r="L22" s="32" cm="1">
        <f t="array" ref="L22">SUM(L4:L21)</f>
        <v>744</v>
      </c>
      <c r="M22" s="32" cm="1">
        <f t="array" ref="M22">SUM(M4:M21)</f>
        <v>627</v>
      </c>
      <c r="N22" s="32" cm="1">
        <f t="array" ref="N22">SUM(N4:N21)</f>
        <v>542</v>
      </c>
      <c r="O22" s="32" cm="1">
        <f t="array" ref="O22">SUM(O4:O21)</f>
        <v>408</v>
      </c>
      <c r="P22" s="32" cm="1">
        <f t="array" ref="P22">SUM(P4:P21)</f>
        <v>321</v>
      </c>
      <c r="Q22" s="33" cm="1">
        <f t="array" ref="Q22">P22/E22</f>
        <v>0.141472014103129</v>
      </c>
      <c r="R22" s="31" cm="1">
        <f t="array" ref="R22">(H22*1+I22*2+J22*3+K22*4)/F22</f>
        <v>0.573251942286349</v>
      </c>
      <c r="S22" s="31" cm="1">
        <f t="array" ref="S22">(G22+O22)/E22</f>
        <v>0.5085940943146759</v>
      </c>
      <c r="T22" s="31" cm="1">
        <f t="array" ref="T22">S22+R22</f>
        <v>1.08184603660103</v>
      </c>
      <c r="U22" s="167"/>
      <c r="V22" s="148"/>
      <c r="W22" s="148"/>
      <c r="X22" s="252"/>
      <c r="Y22" s="258">
        <v>9</v>
      </c>
      <c r="Z22" t="s" s="259">
        <v>195</v>
      </c>
      <c r="AA22" t="s" s="259">
        <v>35</v>
      </c>
      <c r="AB22" t="s" s="259">
        <v>194</v>
      </c>
      <c r="AC22" t="s" s="259">
        <v>71</v>
      </c>
      <c r="AD22" s="167"/>
      <c r="AE22" s="163"/>
      <c r="AF22" s="163"/>
      <c r="AG22" s="163"/>
      <c r="AH22" s="163"/>
      <c r="AI22" s="164"/>
    </row>
    <row r="23" ht="16.5" customHeight="1">
      <c r="A23" s="162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48"/>
      <c r="V23" s="148"/>
      <c r="W23" s="148"/>
      <c r="X23" s="148"/>
      <c r="Y23" s="163"/>
      <c r="Z23" s="163"/>
      <c r="AA23" s="163"/>
      <c r="AB23" s="163"/>
      <c r="AC23" s="163"/>
      <c r="AD23" s="148"/>
      <c r="AE23" s="148"/>
      <c r="AF23" s="148"/>
      <c r="AG23" s="148"/>
      <c r="AH23" s="148"/>
      <c r="AI23" s="166"/>
    </row>
    <row r="24" ht="17.25" customHeight="1">
      <c r="A24" t="s" s="146">
        <v>46</v>
      </c>
      <c r="B24" s="249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48"/>
      <c r="V24" s="148"/>
      <c r="W24" s="148"/>
      <c r="X24" s="148"/>
      <c r="Y24" t="s" s="251">
        <v>207</v>
      </c>
      <c r="Z24" s="147"/>
      <c r="AA24" s="147"/>
      <c r="AB24" s="147"/>
      <c r="AC24" s="147"/>
      <c r="AD24" s="148"/>
      <c r="AE24" s="148"/>
      <c r="AF24" s="148"/>
      <c r="AG24" s="148"/>
      <c r="AH24" s="148"/>
      <c r="AI24" s="166"/>
    </row>
    <row r="25" ht="34.5" customHeight="1">
      <c r="A25" t="s" s="8">
        <v>2</v>
      </c>
      <c r="B25" s="261"/>
      <c r="C25" t="s" s="8">
        <v>3</v>
      </c>
      <c r="D25" t="s" s="8">
        <v>47</v>
      </c>
      <c r="E25" t="s" s="8">
        <v>48</v>
      </c>
      <c r="F25" t="s" s="8">
        <v>49</v>
      </c>
      <c r="G25" t="s" s="8">
        <v>50</v>
      </c>
      <c r="H25" t="s" s="8">
        <v>6</v>
      </c>
      <c r="I25" t="s" s="8">
        <v>51</v>
      </c>
      <c r="J25" t="s" s="8">
        <v>52</v>
      </c>
      <c r="K25" t="s" s="8">
        <v>53</v>
      </c>
      <c r="L25" t="s" s="8">
        <v>54</v>
      </c>
      <c r="M25" t="s" s="8">
        <v>55</v>
      </c>
      <c r="N25" t="s" s="8">
        <v>56</v>
      </c>
      <c r="O25" t="s" s="8">
        <v>57</v>
      </c>
      <c r="P25" t="s" s="8">
        <v>58</v>
      </c>
      <c r="Q25" t="s" s="8">
        <v>59</v>
      </c>
      <c r="R25" t="s" s="8">
        <v>60</v>
      </c>
      <c r="S25" t="s" s="8">
        <v>61</v>
      </c>
      <c r="T25" t="s" s="8">
        <v>62</v>
      </c>
      <c r="U25" s="167"/>
      <c r="V25" s="148"/>
      <c r="W25" s="148"/>
      <c r="X25" s="252"/>
      <c r="Y25" t="s" s="253">
        <v>189</v>
      </c>
      <c r="Z25" t="s" s="254">
        <v>190</v>
      </c>
      <c r="AA25" s="255"/>
      <c r="AB25" t="s" s="256">
        <v>191</v>
      </c>
      <c r="AC25" s="121"/>
      <c r="AD25" s="167"/>
      <c r="AE25" s="148"/>
      <c r="AF25" s="148"/>
      <c r="AG25" s="148"/>
      <c r="AH25" s="148"/>
      <c r="AI25" s="166"/>
    </row>
    <row r="26" ht="17.25" customHeight="1">
      <c r="A26" t="s" s="38">
        <v>24</v>
      </c>
      <c r="B26" s="262"/>
      <c r="C26" s="10">
        <v>26</v>
      </c>
      <c r="D26" s="10">
        <v>4</v>
      </c>
      <c r="E26" s="10">
        <v>2</v>
      </c>
      <c r="F26" s="10">
        <v>0</v>
      </c>
      <c r="G26" s="10">
        <v>280</v>
      </c>
      <c r="H26" s="10">
        <v>189</v>
      </c>
      <c r="I26" s="39">
        <v>36.999659999330</v>
      </c>
      <c r="J26" s="10">
        <v>71</v>
      </c>
      <c r="K26" s="10">
        <v>1</v>
      </c>
      <c r="L26" s="10">
        <v>76</v>
      </c>
      <c r="M26" s="10">
        <v>13</v>
      </c>
      <c r="N26" s="10">
        <v>28</v>
      </c>
      <c r="O26" s="10">
        <v>104</v>
      </c>
      <c r="P26" s="10">
        <v>73</v>
      </c>
      <c r="Q26" s="40" cm="1">
        <f t="array" ref="Q26">P26*9/I26</f>
        <v>17.7569199287749</v>
      </c>
      <c r="R26" s="41" cm="1">
        <f t="array" ref="R26">(L26+M26)/I26</f>
        <v>2.40542750937743</v>
      </c>
      <c r="S26" s="42" cm="1">
        <f t="array" ref="S26">J26/I26</f>
        <v>1.91893655242469</v>
      </c>
      <c r="T26" s="42" cm="1">
        <f t="array" ref="T26">I26/C26</f>
        <v>1.42306384612808</v>
      </c>
      <c r="U26" s="167"/>
      <c r="V26" s="148"/>
      <c r="W26" s="148"/>
      <c r="X26" s="252"/>
      <c r="Y26" s="257"/>
      <c r="Z26" t="s" s="256">
        <v>177</v>
      </c>
      <c r="AA26" t="s" s="256">
        <v>2</v>
      </c>
      <c r="AB26" t="s" s="256">
        <v>177</v>
      </c>
      <c r="AC26" t="s" s="256">
        <v>2</v>
      </c>
      <c r="AD26" s="167"/>
      <c r="AE26" s="148"/>
      <c r="AF26" s="148"/>
      <c r="AG26" s="148"/>
      <c r="AH26" s="148"/>
      <c r="AI26" s="166"/>
    </row>
    <row r="27" ht="17.25" customHeight="1">
      <c r="A27" t="s" s="38">
        <v>29</v>
      </c>
      <c r="B27" s="262"/>
      <c r="C27" s="10">
        <v>24</v>
      </c>
      <c r="D27" s="10">
        <v>4</v>
      </c>
      <c r="E27" s="10">
        <v>8</v>
      </c>
      <c r="F27" s="10">
        <v>0</v>
      </c>
      <c r="G27" s="10">
        <v>298</v>
      </c>
      <c r="H27" s="10">
        <v>215</v>
      </c>
      <c r="I27" s="39">
        <v>35.6666329966667</v>
      </c>
      <c r="J27" s="10">
        <v>77</v>
      </c>
      <c r="K27" s="10">
        <v>4</v>
      </c>
      <c r="L27" s="10">
        <v>69</v>
      </c>
      <c r="M27" s="10">
        <v>12</v>
      </c>
      <c r="N27" s="10">
        <v>42</v>
      </c>
      <c r="O27" s="10">
        <v>130</v>
      </c>
      <c r="P27" s="10">
        <v>78</v>
      </c>
      <c r="Q27" s="40" cm="1">
        <f t="array" ref="Q27">P27*9/I27</f>
        <v>19.682261571077</v>
      </c>
      <c r="R27" s="41" cm="1">
        <f t="array" ref="R27">(L27+M27)/I27</f>
        <v>2.27103018127812</v>
      </c>
      <c r="S27" s="42" cm="1">
        <f t="array" ref="S27">J27/I27</f>
        <v>2.15888054269648</v>
      </c>
      <c r="T27" s="42" cm="1">
        <f t="array" ref="T27">I27/C27</f>
        <v>1.48610970819445</v>
      </c>
      <c r="U27" s="167"/>
      <c r="V27" s="148"/>
      <c r="W27" s="148"/>
      <c r="X27" s="252"/>
      <c r="Y27" s="260">
        <v>1</v>
      </c>
      <c r="Z27" t="s" s="45">
        <v>198</v>
      </c>
      <c r="AA27" t="s" s="45">
        <v>32</v>
      </c>
      <c r="AB27" t="s" s="45">
        <v>194</v>
      </c>
      <c r="AC27" t="s" s="45">
        <v>30</v>
      </c>
      <c r="AD27" s="167"/>
      <c r="AE27" s="148"/>
      <c r="AF27" s="148"/>
      <c r="AG27" s="148"/>
      <c r="AH27" s="148"/>
      <c r="AI27" s="166"/>
    </row>
    <row r="28" ht="17.25" customHeight="1">
      <c r="A28" t="s" s="38">
        <v>33</v>
      </c>
      <c r="B28" s="262"/>
      <c r="C28" s="10">
        <v>42</v>
      </c>
      <c r="D28" s="10">
        <v>13</v>
      </c>
      <c r="E28" s="10">
        <v>8</v>
      </c>
      <c r="F28" s="10">
        <v>2</v>
      </c>
      <c r="G28" s="10">
        <v>569</v>
      </c>
      <c r="H28" s="10">
        <v>467</v>
      </c>
      <c r="I28" s="39">
        <v>99.999933233330</v>
      </c>
      <c r="J28" s="10">
        <v>141</v>
      </c>
      <c r="K28" s="10">
        <v>2</v>
      </c>
      <c r="L28" s="10">
        <v>89</v>
      </c>
      <c r="M28" s="10">
        <v>18</v>
      </c>
      <c r="N28" s="10">
        <v>132</v>
      </c>
      <c r="O28" s="10">
        <v>151</v>
      </c>
      <c r="P28" s="10">
        <v>95</v>
      </c>
      <c r="Q28" s="40" cm="1">
        <f t="array" ref="Q28">P28*9/I28</f>
        <v>8.550005708554099</v>
      </c>
      <c r="R28" s="41" cm="1">
        <f t="array" ref="R28">(L28+M28)/I28</f>
        <v>1.07000071440385</v>
      </c>
      <c r="S28" s="42" cm="1">
        <f t="array" ref="S28">J28/I28</f>
        <v>1.41000094141068</v>
      </c>
      <c r="T28" s="42" cm="1">
        <f t="array" ref="T28">I28/C28</f>
        <v>2.38095079126976</v>
      </c>
      <c r="U28" s="167"/>
      <c r="V28" s="148"/>
      <c r="W28" s="148"/>
      <c r="X28" s="252"/>
      <c r="Y28" s="260">
        <v>2</v>
      </c>
      <c r="Z28" t="s" s="45">
        <v>199</v>
      </c>
      <c r="AA28" t="s" s="45">
        <v>42</v>
      </c>
      <c r="AB28" t="s" s="45">
        <v>198</v>
      </c>
      <c r="AC28" t="s" s="45">
        <v>44</v>
      </c>
      <c r="AD28" s="167"/>
      <c r="AE28" s="148"/>
      <c r="AF28" s="148"/>
      <c r="AG28" s="148"/>
      <c r="AH28" s="148"/>
      <c r="AI28" s="166"/>
    </row>
    <row r="29" ht="17.25" customHeight="1">
      <c r="A29" t="s" s="38">
        <v>42</v>
      </c>
      <c r="B29" s="262"/>
      <c r="C29" s="10">
        <v>8</v>
      </c>
      <c r="D29" s="10">
        <v>2</v>
      </c>
      <c r="E29" s="10">
        <v>2</v>
      </c>
      <c r="F29" s="10">
        <v>1</v>
      </c>
      <c r="G29" s="10">
        <v>102</v>
      </c>
      <c r="H29" s="10">
        <v>55</v>
      </c>
      <c r="I29" s="39">
        <v>13.666633329933</v>
      </c>
      <c r="J29" s="10">
        <v>16</v>
      </c>
      <c r="K29" s="10">
        <v>1</v>
      </c>
      <c r="L29" s="10">
        <v>45</v>
      </c>
      <c r="M29" s="10">
        <v>1</v>
      </c>
      <c r="N29" s="10">
        <v>13</v>
      </c>
      <c r="O29" s="10">
        <v>36</v>
      </c>
      <c r="P29" s="10">
        <v>21</v>
      </c>
      <c r="Q29" s="40" cm="1">
        <f t="array" ref="Q29">P29*9/I29</f>
        <v>13.8293020261287</v>
      </c>
      <c r="R29" s="41" cm="1">
        <f t="array" ref="R29">(L29+M29)/I29</f>
        <v>3.36586186879322</v>
      </c>
      <c r="S29" s="42" cm="1">
        <f t="array" ref="S29">J29/I29</f>
        <v>1.17073456305851</v>
      </c>
      <c r="T29" s="42" cm="1">
        <f t="array" ref="T29">I29/C29</f>
        <v>1.70832916624163</v>
      </c>
      <c r="U29" s="167"/>
      <c r="V29" s="148"/>
      <c r="W29" s="148"/>
      <c r="X29" s="252"/>
      <c r="Y29" s="260">
        <v>3</v>
      </c>
      <c r="Z29" t="s" s="45">
        <v>197</v>
      </c>
      <c r="AA29" t="s" s="45">
        <v>41</v>
      </c>
      <c r="AB29" t="s" s="45">
        <v>202</v>
      </c>
      <c r="AC29" t="s" s="45">
        <v>38</v>
      </c>
      <c r="AD29" s="167"/>
      <c r="AE29" s="148"/>
      <c r="AF29" s="148"/>
      <c r="AG29" s="148"/>
      <c r="AH29" s="148"/>
      <c r="AI29" s="166"/>
    </row>
    <row r="30" ht="17.25" customHeight="1">
      <c r="A30" t="s" s="38">
        <v>43</v>
      </c>
      <c r="B30" s="262"/>
      <c r="C30" s="10">
        <v>38</v>
      </c>
      <c r="D30" s="10">
        <v>8</v>
      </c>
      <c r="E30" s="10">
        <v>11</v>
      </c>
      <c r="F30" s="10">
        <v>3</v>
      </c>
      <c r="G30" s="10">
        <v>550</v>
      </c>
      <c r="H30" s="10">
        <v>397</v>
      </c>
      <c r="I30" s="39">
        <v>81.666632983</v>
      </c>
      <c r="J30" s="10">
        <v>133</v>
      </c>
      <c r="K30" s="10">
        <v>1</v>
      </c>
      <c r="L30" s="10">
        <v>123</v>
      </c>
      <c r="M30" s="10">
        <v>25</v>
      </c>
      <c r="N30" s="10">
        <v>131</v>
      </c>
      <c r="O30" s="10">
        <v>183</v>
      </c>
      <c r="P30" s="10">
        <v>130</v>
      </c>
      <c r="Q30" s="40" cm="1">
        <f t="array" ref="Q30">P30*9/I30</f>
        <v>14.3265365212687</v>
      </c>
      <c r="R30" s="41" cm="1">
        <f t="array" ref="R30">(L30+M30)/I30</f>
        <v>1.81224564542545</v>
      </c>
      <c r="S30" s="42" cm="1">
        <f t="array" ref="S30">J30/I30</f>
        <v>1.62857210028098</v>
      </c>
      <c r="T30" s="42" cm="1">
        <f t="array" ref="T30">I30/C30</f>
        <v>2.14912192060526</v>
      </c>
      <c r="U30" s="167"/>
      <c r="V30" s="148"/>
      <c r="W30" s="148"/>
      <c r="X30" s="252"/>
      <c r="Y30" s="260">
        <v>4</v>
      </c>
      <c r="Z30" t="s" s="45">
        <v>200</v>
      </c>
      <c r="AA30" t="s" s="45">
        <v>33</v>
      </c>
      <c r="AB30" t="s" s="45">
        <v>194</v>
      </c>
      <c r="AC30" t="s" s="45">
        <v>26</v>
      </c>
      <c r="AD30" s="167"/>
      <c r="AE30" s="148"/>
      <c r="AF30" s="148"/>
      <c r="AG30" s="148"/>
      <c r="AH30" s="148"/>
      <c r="AI30" s="166"/>
    </row>
    <row r="31" ht="17.25" customHeight="1">
      <c r="A31" t="s" s="29">
        <v>45</v>
      </c>
      <c r="B31" s="124"/>
      <c r="C31" s="49" cm="1">
        <f t="array" ref="C31">SUM(C26:C30)</f>
        <v>138</v>
      </c>
      <c r="D31" s="49" cm="1">
        <f t="array" ref="D31">SUM(D26:D30)</f>
        <v>31</v>
      </c>
      <c r="E31" s="49" cm="1">
        <f t="array" ref="E31">SUM(E26:E30)</f>
        <v>31</v>
      </c>
      <c r="F31" s="49" cm="1">
        <f t="array" ref="F31">SUM(F26:F30)</f>
        <v>6</v>
      </c>
      <c r="G31" s="49" cm="1">
        <f t="array" ref="G31">SUM(G26:G30)</f>
        <v>1799</v>
      </c>
      <c r="H31" s="49" cm="1">
        <f t="array" ref="H31">SUM(H26:H30)</f>
        <v>1323</v>
      </c>
      <c r="I31" s="50" cm="1">
        <f t="array" ref="I31">SUM(I26:I30)</f>
        <v>267.999492542260</v>
      </c>
      <c r="J31" s="49" cm="1">
        <f t="array" ref="J31">SUM(J26:J30)</f>
        <v>438</v>
      </c>
      <c r="K31" s="49" cm="1">
        <f t="array" ref="K31">SUM(K26:K30)</f>
        <v>9</v>
      </c>
      <c r="L31" s="49" cm="1">
        <f t="array" ref="L31">SUM(L26:L30)</f>
        <v>402</v>
      </c>
      <c r="M31" s="49" cm="1">
        <f t="array" ref="M31">SUM(M26:M30)</f>
        <v>69</v>
      </c>
      <c r="N31" s="49" cm="1">
        <f t="array" ref="N31">SUM(N26:N30)</f>
        <v>346</v>
      </c>
      <c r="O31" s="49" cm="1">
        <f t="array" ref="O31">SUM(O26:O30)</f>
        <v>604</v>
      </c>
      <c r="P31" s="49" cm="1">
        <f t="array" ref="P31">SUM(P26:P30)</f>
        <v>397</v>
      </c>
      <c r="Q31" s="51" cm="1">
        <f t="array" ref="Q31">P31*9/I31</f>
        <v>13.3321147965852</v>
      </c>
      <c r="R31" s="52" cm="1">
        <f t="array" ref="R31">(L31+M31)/I31</f>
        <v>1.75746601432736</v>
      </c>
      <c r="S31" s="53" cm="1">
        <f t="array" ref="S31">J31/I31</f>
        <v>1.63433145281398</v>
      </c>
      <c r="T31" s="53" cm="1">
        <f t="array" ref="T31">I31/C31</f>
        <v>1.94202530827725</v>
      </c>
      <c r="U31" s="167"/>
      <c r="V31" s="148"/>
      <c r="W31" s="148"/>
      <c r="X31" s="252"/>
      <c r="Y31" s="260">
        <v>5</v>
      </c>
      <c r="Z31" t="s" s="45">
        <v>194</v>
      </c>
      <c r="AA31" t="s" s="45">
        <v>28</v>
      </c>
      <c r="AB31" t="s" s="45">
        <v>200</v>
      </c>
      <c r="AC31" t="s" s="45">
        <v>43</v>
      </c>
      <c r="AD31" s="167"/>
      <c r="AE31" s="148"/>
      <c r="AF31" s="148"/>
      <c r="AG31" s="148"/>
      <c r="AH31" s="148"/>
      <c r="AI31" s="166"/>
    </row>
    <row r="32" ht="16.5" customHeight="1">
      <c r="A32" s="162"/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48"/>
      <c r="V32" s="148"/>
      <c r="W32" s="148"/>
      <c r="X32" s="252"/>
      <c r="Y32" s="260">
        <v>6</v>
      </c>
      <c r="Z32" t="s" s="45">
        <v>202</v>
      </c>
      <c r="AA32" t="s" s="45">
        <v>29</v>
      </c>
      <c r="AB32" t="s" s="45">
        <v>199</v>
      </c>
      <c r="AC32" t="s" s="45">
        <v>39</v>
      </c>
      <c r="AD32" s="167"/>
      <c r="AE32" s="148"/>
      <c r="AF32" s="148"/>
      <c r="AG32" s="148"/>
      <c r="AH32" s="148"/>
      <c r="AI32" s="166"/>
    </row>
    <row r="33" ht="16.5" customHeight="1">
      <c r="A33" s="17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252"/>
      <c r="Y33" s="260">
        <v>7</v>
      </c>
      <c r="Z33" t="s" s="45">
        <v>206</v>
      </c>
      <c r="AA33" t="s" s="45">
        <v>25</v>
      </c>
      <c r="AB33" t="s" s="45">
        <v>206</v>
      </c>
      <c r="AC33" t="s" s="45">
        <v>69</v>
      </c>
      <c r="AD33" s="167"/>
      <c r="AE33" s="148"/>
      <c r="AF33" s="148"/>
      <c r="AG33" s="148"/>
      <c r="AH33" s="148"/>
      <c r="AI33" s="166"/>
    </row>
    <row r="34" ht="16.5" customHeight="1">
      <c r="A34" s="17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252"/>
      <c r="Y34" s="260">
        <v>8</v>
      </c>
      <c r="Z34" t="s" s="45">
        <v>195</v>
      </c>
      <c r="AA34" t="s" s="45">
        <v>71</v>
      </c>
      <c r="AB34" t="s" s="45">
        <v>197</v>
      </c>
      <c r="AC34" t="s" s="45">
        <v>24</v>
      </c>
      <c r="AD34" s="167"/>
      <c r="AE34" s="148"/>
      <c r="AF34" s="148"/>
      <c r="AG34" s="148"/>
      <c r="AH34" s="148"/>
      <c r="AI34" s="166"/>
    </row>
    <row r="35" ht="16.5" customHeight="1">
      <c r="A35" s="17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252"/>
      <c r="Y35" s="260">
        <v>9</v>
      </c>
      <c r="Z35" t="s" s="45">
        <v>194</v>
      </c>
      <c r="AA35" t="s" s="45">
        <v>70</v>
      </c>
      <c r="AB35" t="s" s="45">
        <v>195</v>
      </c>
      <c r="AC35" t="s" s="45">
        <v>35</v>
      </c>
      <c r="AD35" s="167"/>
      <c r="AE35" s="148"/>
      <c r="AF35" s="148"/>
      <c r="AG35" s="148"/>
      <c r="AH35" s="148"/>
      <c r="AI35" s="166"/>
    </row>
    <row r="36" ht="16.5" customHeight="1">
      <c r="A36" s="17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63"/>
      <c r="Z36" s="163"/>
      <c r="AA36" s="163"/>
      <c r="AB36" s="163"/>
      <c r="AC36" s="163"/>
      <c r="AD36" s="148"/>
      <c r="AE36" s="148"/>
      <c r="AF36" s="148"/>
      <c r="AG36" s="148"/>
      <c r="AH36" s="148"/>
      <c r="AI36" s="166"/>
    </row>
    <row r="37" ht="16.5" customHeight="1">
      <c r="A37" s="17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t="s" s="251">
        <v>208</v>
      </c>
      <c r="Z37" s="147"/>
      <c r="AA37" s="147"/>
      <c r="AB37" s="147"/>
      <c r="AC37" s="147"/>
      <c r="AD37" s="148"/>
      <c r="AE37" s="148"/>
      <c r="AF37" s="148"/>
      <c r="AG37" s="148"/>
      <c r="AH37" s="148"/>
      <c r="AI37" s="166"/>
    </row>
    <row r="38" ht="16.5" customHeight="1">
      <c r="A38" s="17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252"/>
      <c r="Y38" t="s" s="253">
        <v>189</v>
      </c>
      <c r="Z38" t="s" s="254">
        <v>190</v>
      </c>
      <c r="AA38" s="255"/>
      <c r="AB38" t="s" s="256">
        <v>191</v>
      </c>
      <c r="AC38" s="121"/>
      <c r="AD38" s="167"/>
      <c r="AE38" s="148"/>
      <c r="AF38" s="148"/>
      <c r="AG38" s="148"/>
      <c r="AH38" s="148"/>
      <c r="AI38" s="166"/>
    </row>
    <row r="39" ht="16.5" customHeight="1">
      <c r="A39" s="17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252"/>
      <c r="Y39" s="257"/>
      <c r="Z39" t="s" s="256">
        <v>177</v>
      </c>
      <c r="AA39" t="s" s="256">
        <v>2</v>
      </c>
      <c r="AB39" t="s" s="256">
        <v>177</v>
      </c>
      <c r="AC39" t="s" s="256">
        <v>2</v>
      </c>
      <c r="AD39" s="167"/>
      <c r="AE39" s="148"/>
      <c r="AF39" s="148"/>
      <c r="AG39" s="148"/>
      <c r="AH39" s="148"/>
      <c r="AI39" s="166"/>
    </row>
    <row r="40" ht="16.5" customHeight="1">
      <c r="A40" s="17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252"/>
      <c r="Y40" s="258">
        <v>1</v>
      </c>
      <c r="Z40" t="s" s="259">
        <v>195</v>
      </c>
      <c r="AA40" t="s" s="259">
        <v>71</v>
      </c>
      <c r="AB40" t="s" s="259">
        <v>194</v>
      </c>
      <c r="AC40" t="s" s="259">
        <v>35</v>
      </c>
      <c r="AD40" s="167"/>
      <c r="AE40" s="148"/>
      <c r="AF40" s="148"/>
      <c r="AG40" s="148"/>
      <c r="AH40" s="148"/>
      <c r="AI40" s="166"/>
    </row>
    <row r="41" ht="16.5" customHeight="1">
      <c r="A41" s="17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252"/>
      <c r="Y41" s="258">
        <v>2</v>
      </c>
      <c r="Z41" t="s" s="259">
        <v>199</v>
      </c>
      <c r="AA41" t="s" s="259">
        <v>24</v>
      </c>
      <c r="AB41" t="s" s="259">
        <v>198</v>
      </c>
      <c r="AC41" t="s" s="259">
        <v>44</v>
      </c>
      <c r="AD41" s="167"/>
      <c r="AE41" s="148"/>
      <c r="AF41" s="148"/>
      <c r="AG41" s="148"/>
      <c r="AH41" s="148"/>
      <c r="AI41" s="166"/>
    </row>
    <row r="42" ht="16.5" customHeight="1">
      <c r="A42" s="17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252"/>
      <c r="Y42" s="258">
        <v>3</v>
      </c>
      <c r="Z42" t="s" s="259">
        <v>194</v>
      </c>
      <c r="AA42" t="s" s="259">
        <v>30</v>
      </c>
      <c r="AB42" t="s" s="259">
        <v>200</v>
      </c>
      <c r="AC42" t="s" s="259">
        <v>33</v>
      </c>
      <c r="AD42" s="167"/>
      <c r="AE42" s="148"/>
      <c r="AF42" s="148"/>
      <c r="AG42" s="148"/>
      <c r="AH42" s="148"/>
      <c r="AI42" s="166"/>
    </row>
    <row r="43" ht="16.5" customHeight="1">
      <c r="A43" s="17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252"/>
      <c r="Y43" s="258">
        <v>4</v>
      </c>
      <c r="Z43" t="s" s="259">
        <v>194</v>
      </c>
      <c r="AA43" t="s" s="259">
        <v>26</v>
      </c>
      <c r="AB43" t="s" s="259">
        <v>194</v>
      </c>
      <c r="AC43" t="s" s="259">
        <v>70</v>
      </c>
      <c r="AD43" s="167"/>
      <c r="AE43" s="148"/>
      <c r="AF43" s="148"/>
      <c r="AG43" s="148"/>
      <c r="AH43" s="148"/>
      <c r="AI43" s="166"/>
    </row>
    <row r="44" ht="16.5" customHeight="1">
      <c r="A44" s="17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252"/>
      <c r="Y44" s="258">
        <v>5</v>
      </c>
      <c r="Z44" t="s" s="259">
        <v>200</v>
      </c>
      <c r="AA44" t="s" s="259">
        <v>43</v>
      </c>
      <c r="AB44" t="s" s="259">
        <v>206</v>
      </c>
      <c r="AC44" t="s" s="259">
        <v>39</v>
      </c>
      <c r="AD44" s="167"/>
      <c r="AE44" s="148"/>
      <c r="AF44" s="148"/>
      <c r="AG44" s="148"/>
      <c r="AH44" s="148"/>
      <c r="AI44" s="166"/>
    </row>
    <row r="45" ht="16.5" customHeight="1">
      <c r="A45" s="17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252"/>
      <c r="Y45" s="258">
        <v>6</v>
      </c>
      <c r="Z45" t="s" s="259">
        <v>202</v>
      </c>
      <c r="AA45" t="s" s="259">
        <v>29</v>
      </c>
      <c r="AB45" t="s" s="259">
        <v>197</v>
      </c>
      <c r="AC45" t="s" s="259">
        <v>41</v>
      </c>
      <c r="AD45" s="167"/>
      <c r="AE45" s="148"/>
      <c r="AF45" s="148"/>
      <c r="AG45" s="148"/>
      <c r="AH45" s="148"/>
      <c r="AI45" s="166"/>
    </row>
    <row r="46" ht="16.5" customHeight="1">
      <c r="A46" s="17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252"/>
      <c r="Y46" s="258">
        <v>7</v>
      </c>
      <c r="Z46" t="s" s="259">
        <v>197</v>
      </c>
      <c r="AA46" t="s" s="259">
        <v>28</v>
      </c>
      <c r="AB46" t="s" s="259">
        <v>202</v>
      </c>
      <c r="AC46" t="s" s="259">
        <v>38</v>
      </c>
      <c r="AD46" s="167"/>
      <c r="AE46" s="148"/>
      <c r="AF46" s="148"/>
      <c r="AG46" s="148"/>
      <c r="AH46" s="148"/>
      <c r="AI46" s="166"/>
    </row>
    <row r="47" ht="16.5" customHeight="1">
      <c r="A47" s="17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252"/>
      <c r="Y47" s="258">
        <v>8</v>
      </c>
      <c r="Z47" t="s" s="259">
        <v>198</v>
      </c>
      <c r="AA47" t="s" s="259">
        <v>25</v>
      </c>
      <c r="AB47" t="s" s="259">
        <v>195</v>
      </c>
      <c r="AC47" t="s" s="259">
        <v>32</v>
      </c>
      <c r="AD47" s="167"/>
      <c r="AE47" s="148"/>
      <c r="AF47" s="148"/>
      <c r="AG47" s="148"/>
      <c r="AH47" s="148"/>
      <c r="AI47" s="166"/>
    </row>
    <row r="48" ht="16.5" customHeight="1">
      <c r="A48" s="179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263"/>
      <c r="Y48" s="258">
        <v>9</v>
      </c>
      <c r="Z48" t="s" s="259">
        <v>206</v>
      </c>
      <c r="AA48" t="s" s="259">
        <v>69</v>
      </c>
      <c r="AB48" t="s" s="259">
        <v>199</v>
      </c>
      <c r="AC48" t="s" s="259">
        <v>42</v>
      </c>
      <c r="AD48" s="264"/>
      <c r="AE48" s="180"/>
      <c r="AF48" s="180"/>
      <c r="AG48" s="180"/>
      <c r="AH48" s="180"/>
      <c r="AI48" s="182"/>
    </row>
  </sheetData>
  <mergeCells count="12">
    <mergeCell ref="AE12:AE13"/>
    <mergeCell ref="AF12:AG12"/>
    <mergeCell ref="AH12:AI12"/>
    <mergeCell ref="Y38:Y39"/>
    <mergeCell ref="Z38:AA38"/>
    <mergeCell ref="AB38:AC38"/>
    <mergeCell ref="AB12:AC12"/>
    <mergeCell ref="AB25:AC25"/>
    <mergeCell ref="Z25:AA25"/>
    <mergeCell ref="Y25:Y26"/>
    <mergeCell ref="Y12:Y13"/>
    <mergeCell ref="Z12:AA12"/>
  </mergeCells>
  <conditionalFormatting sqref="Q4:Q21">
    <cfRule type="cellIs" dxfId="20" priority="1" operator="greaterThan" stopIfTrue="1">
      <formula>0.3</formula>
    </cfRule>
  </conditionalFormatting>
  <pageMargins left="0.699722" right="0.699722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