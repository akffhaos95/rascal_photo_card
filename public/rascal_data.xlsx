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2815\Desktop\재영\3. RASCAL\"/>
    </mc:Choice>
  </mc:AlternateContent>
  <xr:revisionPtr revIDLastSave="0" documentId="13_ncr:1_{C96C7DEC-D29E-4DBD-B13C-D981428FF005}" xr6:coauthVersionLast="47" xr6:coauthVersionMax="47" xr10:uidLastSave="{00000000-0000-0000-0000-000000000000}"/>
  <bookViews>
    <workbookView xWindow="-120" yWindow="-120" windowWidth="29040" windowHeight="15840" tabRatio="864" firstSheet="1" activeTab="8" xr2:uid="{00000000-000D-0000-FFFF-FFFF00000000}"/>
  </bookViews>
  <sheets>
    <sheet name="통산 성적(~'23)" sheetId="1" state="hidden" r:id="rId1"/>
    <sheet name="통산 성적(~'25)" sheetId="11" r:id="rId2"/>
    <sheet name="시즌별 정리" sheetId="2" r:id="rId3"/>
    <sheet name="통산 성적(~'24) (김희제 포함)" sheetId="17" state="hidden" r:id="rId4"/>
    <sheet name="22년 샘프리그(22')" sheetId="4" state="hidden" r:id="rId5"/>
    <sheet name="22년 드림즈(23')" sheetId="6" state="hidden" r:id="rId6"/>
    <sheet name="23년 상반기 코모도(23')" sheetId="7" state="hidden" r:id="rId7"/>
    <sheet name="23년 디비전 리그(23')" sheetId="8" state="hidden" r:id="rId8"/>
    <sheet name="25년 시즌" sheetId="21" r:id="rId9"/>
    <sheet name="23 서구하반기('24)" sheetId="14" state="hidden" r:id="rId10"/>
    <sheet name="23 下코모도리그('24)" sheetId="13" state="hidden" r:id="rId11"/>
    <sheet name="24 上코모도리그('24)" sheetId="19" state="hidden" r:id="rId12"/>
    <sheet name="24 上디비전리그('24)" sheetId="20" state="hidden" r:id="rId13"/>
    <sheet name="24 下코모도(6-A)('25)" sheetId="24" r:id="rId14"/>
    <sheet name="24 下코모도(6-C)('25)" sheetId="22" r:id="rId15"/>
    <sheet name="25 上코모도(6-BB)('25)" sheetId="25" r:id="rId16"/>
    <sheet name="25 下디비전('26)" sheetId="28" r:id="rId17"/>
    <sheet name="22년 시즌" sheetId="3" r:id="rId18"/>
    <sheet name="23년 시즌" sheetId="5" r:id="rId19"/>
    <sheet name="24년 시즌" sheetId="10" r:id="rId20"/>
    <sheet name="팀짜보기" sheetId="27" r:id="rId21"/>
  </sheets>
  <definedNames>
    <definedName name="_xlnm._FilterDatabase" localSheetId="11" hidden="1">'24 上코모도리그(''24)'!#REF!</definedName>
    <definedName name="_xlnm._FilterDatabase" localSheetId="19" hidden="1">'24년 시즌'!$A$3:$X$23</definedName>
    <definedName name="_xlnm._FilterDatabase" localSheetId="8" hidden="1">'25년 시즌'!$A$3:$W$26</definedName>
    <definedName name="_xlnm._FilterDatabase" localSheetId="3" hidden="1">'통산 성적(~''24) (김희제 포함)'!$A$3:$V$25</definedName>
    <definedName name="_xlnm._FilterDatabase" localSheetId="1" hidden="1">'통산 성적(~''25)'!$A$3:$V$27</definedName>
    <definedName name="_xlnm._FilterDatabase" localSheetId="20" hidden="1">팀짜보기!$A$3:$T$22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25" l="1"/>
  <c r="V22" i="25"/>
  <c r="T22" i="25"/>
  <c r="S22" i="25"/>
  <c r="Q22" i="25"/>
  <c r="P22" i="25"/>
  <c r="R22" i="25"/>
  <c r="U22" i="25" s="1"/>
  <c r="C22" i="25"/>
  <c r="P34" i="25" l="1"/>
  <c r="P31" i="25"/>
  <c r="P32" i="25"/>
  <c r="P33" i="25"/>
  <c r="P35" i="25"/>
  <c r="P36" i="25"/>
  <c r="P37" i="25"/>
  <c r="P38" i="25"/>
  <c r="P39" i="25"/>
  <c r="P40" i="25"/>
  <c r="P41" i="25"/>
  <c r="G25" i="28"/>
  <c r="Q25" i="28" s="1"/>
  <c r="Z42" i="28"/>
  <c r="Y42" i="28"/>
  <c r="O42" i="28"/>
  <c r="P42" i="28" s="1"/>
  <c r="N42" i="28"/>
  <c r="M42" i="28"/>
  <c r="T42" i="28" s="1"/>
  <c r="L42" i="28"/>
  <c r="K42" i="28"/>
  <c r="Q42" i="28" s="1"/>
  <c r="J42" i="28"/>
  <c r="I42" i="28"/>
  <c r="H42" i="28"/>
  <c r="S42" i="28" s="1"/>
  <c r="G42" i="28"/>
  <c r="F42" i="28"/>
  <c r="E42" i="28"/>
  <c r="D42" i="28"/>
  <c r="C42" i="28"/>
  <c r="W41" i="28"/>
  <c r="V41" i="28"/>
  <c r="U41" i="28"/>
  <c r="T41" i="28"/>
  <c r="S41" i="28"/>
  <c r="R41" i="28"/>
  <c r="Q41" i="28"/>
  <c r="P41" i="28"/>
  <c r="W40" i="28"/>
  <c r="V40" i="28"/>
  <c r="U40" i="28"/>
  <c r="T40" i="28"/>
  <c r="S40" i="28"/>
  <c r="R40" i="28"/>
  <c r="Q40" i="28"/>
  <c r="P40" i="28"/>
  <c r="W39" i="28"/>
  <c r="V39" i="28"/>
  <c r="U39" i="28"/>
  <c r="T39" i="28"/>
  <c r="S39" i="28"/>
  <c r="R39" i="28"/>
  <c r="Q39" i="28"/>
  <c r="P39" i="28"/>
  <c r="W38" i="28"/>
  <c r="V38" i="28"/>
  <c r="U38" i="28"/>
  <c r="T38" i="28"/>
  <c r="S38" i="28"/>
  <c r="R38" i="28"/>
  <c r="Q38" i="28"/>
  <c r="P38" i="28"/>
  <c r="W37" i="28"/>
  <c r="V37" i="28"/>
  <c r="U37" i="28"/>
  <c r="T37" i="28"/>
  <c r="S37" i="28"/>
  <c r="R37" i="28"/>
  <c r="Q37" i="28"/>
  <c r="P37" i="28"/>
  <c r="W36" i="28"/>
  <c r="V36" i="28"/>
  <c r="U36" i="28"/>
  <c r="T36" i="28"/>
  <c r="S36" i="28"/>
  <c r="R36" i="28"/>
  <c r="Q36" i="28"/>
  <c r="P36" i="28"/>
  <c r="W35" i="28"/>
  <c r="V35" i="28"/>
  <c r="U35" i="28"/>
  <c r="T35" i="28"/>
  <c r="S35" i="28"/>
  <c r="R35" i="28"/>
  <c r="Q35" i="28"/>
  <c r="P35" i="28"/>
  <c r="W34" i="28"/>
  <c r="V34" i="28"/>
  <c r="U34" i="28"/>
  <c r="T34" i="28"/>
  <c r="S34" i="28"/>
  <c r="R34" i="28"/>
  <c r="Q34" i="28"/>
  <c r="P34" i="28"/>
  <c r="W33" i="28"/>
  <c r="V33" i="28"/>
  <c r="U33" i="28"/>
  <c r="T33" i="28"/>
  <c r="S33" i="28"/>
  <c r="R33" i="28"/>
  <c r="Q33" i="28"/>
  <c r="P33" i="28"/>
  <c r="W32" i="28"/>
  <c r="V32" i="28"/>
  <c r="U32" i="28"/>
  <c r="T32" i="28"/>
  <c r="S32" i="28"/>
  <c r="R32" i="28"/>
  <c r="Q32" i="28"/>
  <c r="P32" i="28"/>
  <c r="W31" i="28"/>
  <c r="V31" i="28"/>
  <c r="U31" i="28"/>
  <c r="T31" i="28"/>
  <c r="S31" i="28"/>
  <c r="R31" i="28"/>
  <c r="Q31" i="28"/>
  <c r="P31" i="28"/>
  <c r="AC27" i="28"/>
  <c r="AB27" i="28"/>
  <c r="AA27" i="28"/>
  <c r="Z27" i="28"/>
  <c r="Y27" i="28"/>
  <c r="O27" i="28"/>
  <c r="M27" i="28"/>
  <c r="L27" i="28"/>
  <c r="K27" i="28"/>
  <c r="J27" i="28"/>
  <c r="I27" i="28"/>
  <c r="H27" i="28"/>
  <c r="F27" i="28"/>
  <c r="E27" i="28"/>
  <c r="D27" i="28"/>
  <c r="P26" i="28"/>
  <c r="T26" i="28"/>
  <c r="Q26" i="28"/>
  <c r="R25" i="28"/>
  <c r="P25" i="28"/>
  <c r="T25" i="28"/>
  <c r="W25" i="28"/>
  <c r="T24" i="28"/>
  <c r="P24" i="28"/>
  <c r="R24" i="28"/>
  <c r="Q24" i="28"/>
  <c r="W24" i="28"/>
  <c r="Q23" i="28"/>
  <c r="P23" i="28"/>
  <c r="T23" i="28"/>
  <c r="T21" i="28"/>
  <c r="P21" i="28"/>
  <c r="R21" i="28"/>
  <c r="Q21" i="28"/>
  <c r="W21" i="28"/>
  <c r="W20" i="28"/>
  <c r="Q20" i="28"/>
  <c r="P20" i="28"/>
  <c r="T20" i="28"/>
  <c r="R19" i="28"/>
  <c r="S19" i="28" s="1"/>
  <c r="Q19" i="28"/>
  <c r="P19" i="28"/>
  <c r="T19" i="28"/>
  <c r="Q18" i="28"/>
  <c r="P18" i="28"/>
  <c r="R18" i="28"/>
  <c r="W18" i="28"/>
  <c r="P17" i="28"/>
  <c r="T17" i="28"/>
  <c r="Q17" i="28"/>
  <c r="Q15" i="28"/>
  <c r="P15" i="28"/>
  <c r="R15" i="28"/>
  <c r="P14" i="28"/>
  <c r="T14" i="28"/>
  <c r="Q14" i="28"/>
  <c r="R13" i="28"/>
  <c r="Q13" i="28"/>
  <c r="P13" i="28"/>
  <c r="T13" i="28"/>
  <c r="W13" i="28"/>
  <c r="T12" i="28"/>
  <c r="R12" i="28"/>
  <c r="P12" i="28"/>
  <c r="Q12" i="28"/>
  <c r="W12" i="28"/>
  <c r="Q11" i="28"/>
  <c r="P11" i="28"/>
  <c r="T11" i="28"/>
  <c r="W11" i="28"/>
  <c r="R10" i="28"/>
  <c r="P10" i="28"/>
  <c r="T10" i="28"/>
  <c r="Q10" i="28"/>
  <c r="T9" i="28"/>
  <c r="R9" i="28"/>
  <c r="Q9" i="28"/>
  <c r="P9" i="28"/>
  <c r="W9" i="28"/>
  <c r="Q8" i="28"/>
  <c r="P8" i="28"/>
  <c r="T8" i="28"/>
  <c r="W8" i="28"/>
  <c r="T6" i="28"/>
  <c r="R6" i="28"/>
  <c r="Q6" i="28"/>
  <c r="P6" i="28"/>
  <c r="Q4" i="28"/>
  <c r="P4" i="28"/>
  <c r="T4" i="28"/>
  <c r="W4" i="28"/>
  <c r="C9" i="25"/>
  <c r="T9" i="25"/>
  <c r="R9" i="25"/>
  <c r="P9" i="25"/>
  <c r="C18" i="25"/>
  <c r="N11" i="25"/>
  <c r="N10" i="25"/>
  <c r="T10" i="25" s="1"/>
  <c r="N8" i="25"/>
  <c r="T8" i="25" s="1"/>
  <c r="P21" i="25"/>
  <c r="C21" i="25"/>
  <c r="P10" i="25"/>
  <c r="C10" i="25"/>
  <c r="G10" i="25"/>
  <c r="Q10" i="25" s="1"/>
  <c r="N20" i="22"/>
  <c r="T20" i="22" s="1"/>
  <c r="P20" i="22"/>
  <c r="G20" i="22"/>
  <c r="Q20" i="22" s="1"/>
  <c r="C20" i="22"/>
  <c r="Z42" i="22"/>
  <c r="Y42" i="22"/>
  <c r="Z42" i="24"/>
  <c r="Y42" i="24"/>
  <c r="Z33" i="21"/>
  <c r="Z41" i="21"/>
  <c r="Z37" i="21"/>
  <c r="Z36" i="21"/>
  <c r="Z35" i="21"/>
  <c r="Z34" i="21"/>
  <c r="Z40" i="21"/>
  <c r="Z32" i="21"/>
  <c r="Z31" i="21"/>
  <c r="Z39" i="21"/>
  <c r="Z38" i="21"/>
  <c r="Y33" i="21"/>
  <c r="Y41" i="21"/>
  <c r="Y37" i="21"/>
  <c r="Y36" i="21"/>
  <c r="Y35" i="21"/>
  <c r="Y34" i="21"/>
  <c r="Y40" i="21"/>
  <c r="Y32" i="21"/>
  <c r="Y31" i="21"/>
  <c r="Y39" i="21"/>
  <c r="Y38" i="21"/>
  <c r="C38" i="21"/>
  <c r="D38" i="21"/>
  <c r="E38" i="21"/>
  <c r="E31" i="11" s="1"/>
  <c r="F38" i="21"/>
  <c r="G38" i="21"/>
  <c r="H38" i="21"/>
  <c r="I38" i="21"/>
  <c r="J38" i="21"/>
  <c r="K38" i="21"/>
  <c r="L38" i="21"/>
  <c r="M38" i="21"/>
  <c r="M31" i="11" s="1"/>
  <c r="N38" i="21"/>
  <c r="O38" i="21"/>
  <c r="C39" i="21"/>
  <c r="D39" i="21"/>
  <c r="E39" i="21"/>
  <c r="F39" i="21"/>
  <c r="G39" i="21"/>
  <c r="H39" i="21"/>
  <c r="I39" i="21"/>
  <c r="J39" i="21"/>
  <c r="K39" i="21"/>
  <c r="L39" i="21"/>
  <c r="M39" i="21"/>
  <c r="N39" i="21"/>
  <c r="O39" i="21"/>
  <c r="C31" i="21"/>
  <c r="D31" i="21"/>
  <c r="E26" i="27" s="1"/>
  <c r="E31" i="21"/>
  <c r="F31" i="21"/>
  <c r="G31" i="21"/>
  <c r="H31" i="21"/>
  <c r="I31" i="21"/>
  <c r="J31" i="21"/>
  <c r="K26" i="27" s="1"/>
  <c r="K31" i="21"/>
  <c r="L31" i="21"/>
  <c r="L31" i="11" s="1"/>
  <c r="M31" i="21"/>
  <c r="N31" i="21"/>
  <c r="O31" i="21"/>
  <c r="C32" i="21"/>
  <c r="D32" i="21"/>
  <c r="E32" i="21"/>
  <c r="F32" i="21"/>
  <c r="F34" i="11" s="1"/>
  <c r="G32" i="21"/>
  <c r="H32" i="21"/>
  <c r="I32" i="21"/>
  <c r="J32" i="21"/>
  <c r="J32" i="11" s="1"/>
  <c r="K32" i="21"/>
  <c r="L32" i="21"/>
  <c r="M32" i="21"/>
  <c r="N32" i="21"/>
  <c r="N34" i="11" s="1"/>
  <c r="O32" i="21"/>
  <c r="C40" i="21"/>
  <c r="D40" i="21"/>
  <c r="E40" i="21"/>
  <c r="F40" i="21"/>
  <c r="G40" i="21"/>
  <c r="H40" i="21"/>
  <c r="I40" i="21"/>
  <c r="J40" i="21"/>
  <c r="K40" i="21"/>
  <c r="L40" i="21"/>
  <c r="M40" i="21"/>
  <c r="N40" i="21"/>
  <c r="O40" i="21"/>
  <c r="C34" i="21"/>
  <c r="D34" i="21"/>
  <c r="E34" i="21"/>
  <c r="E34" i="11" s="1"/>
  <c r="F34" i="21"/>
  <c r="G34" i="21"/>
  <c r="H34" i="21"/>
  <c r="I34" i="21"/>
  <c r="I36" i="11" s="1"/>
  <c r="J34" i="21"/>
  <c r="K34" i="21"/>
  <c r="L34" i="21"/>
  <c r="M34" i="21"/>
  <c r="N34" i="21"/>
  <c r="O34" i="21"/>
  <c r="C35" i="21"/>
  <c r="D35" i="21"/>
  <c r="E35" i="21"/>
  <c r="F35" i="21"/>
  <c r="G35" i="21"/>
  <c r="G37" i="11" s="1"/>
  <c r="H35" i="21"/>
  <c r="I35" i="21"/>
  <c r="J35" i="21"/>
  <c r="K35" i="21"/>
  <c r="L35" i="21"/>
  <c r="M35" i="21"/>
  <c r="N35" i="21"/>
  <c r="O35" i="21"/>
  <c r="O37" i="11" s="1"/>
  <c r="C36" i="21"/>
  <c r="C36" i="11" s="1"/>
  <c r="D36" i="21"/>
  <c r="D38" i="11" s="1"/>
  <c r="E36" i="21"/>
  <c r="F36" i="21"/>
  <c r="F38" i="11" s="1"/>
  <c r="G36" i="21"/>
  <c r="G38" i="11" s="1"/>
  <c r="H36" i="21"/>
  <c r="I36" i="21"/>
  <c r="J36" i="21"/>
  <c r="K36" i="21"/>
  <c r="K38" i="11" s="1"/>
  <c r="L36" i="21"/>
  <c r="L38" i="11" s="1"/>
  <c r="M36" i="21"/>
  <c r="N36" i="21"/>
  <c r="N38" i="11" s="1"/>
  <c r="O36" i="21"/>
  <c r="O38" i="11" s="1"/>
  <c r="C37" i="21"/>
  <c r="D37" i="21"/>
  <c r="E37" i="21"/>
  <c r="F37" i="21"/>
  <c r="G37" i="21"/>
  <c r="H37" i="21"/>
  <c r="I37" i="21"/>
  <c r="J37" i="21"/>
  <c r="K37" i="21"/>
  <c r="L37" i="21"/>
  <c r="M37" i="21"/>
  <c r="N37" i="21"/>
  <c r="O37" i="21"/>
  <c r="C41" i="21"/>
  <c r="D41" i="21"/>
  <c r="D40" i="11" s="1"/>
  <c r="E41" i="21"/>
  <c r="F41" i="21"/>
  <c r="G41" i="21"/>
  <c r="H41" i="21"/>
  <c r="I41" i="21"/>
  <c r="J41" i="21"/>
  <c r="K30" i="27" s="1"/>
  <c r="K41" i="21"/>
  <c r="L29" i="27" s="1"/>
  <c r="L41" i="21"/>
  <c r="L40" i="11" s="1"/>
  <c r="M41" i="21"/>
  <c r="N41" i="21"/>
  <c r="O41" i="21"/>
  <c r="C33" i="21"/>
  <c r="D33" i="21"/>
  <c r="E33" i="21"/>
  <c r="F27" i="27" s="1"/>
  <c r="F33" i="21"/>
  <c r="G33" i="21"/>
  <c r="H30" i="27" s="1"/>
  <c r="H33" i="21"/>
  <c r="I33" i="21"/>
  <c r="J33" i="21"/>
  <c r="K33" i="21"/>
  <c r="L30" i="27" s="1"/>
  <c r="L33" i="21"/>
  <c r="M33" i="21"/>
  <c r="N33" i="21"/>
  <c r="O33" i="21"/>
  <c r="P30" i="27" s="1"/>
  <c r="B31" i="21"/>
  <c r="B32" i="21"/>
  <c r="C28" i="27" s="1"/>
  <c r="B40" i="21"/>
  <c r="B34" i="21"/>
  <c r="B35" i="21"/>
  <c r="B36" i="21"/>
  <c r="B38" i="11" s="1"/>
  <c r="B37" i="21"/>
  <c r="B41" i="21"/>
  <c r="B33" i="21"/>
  <c r="B39" i="21"/>
  <c r="B38" i="21"/>
  <c r="Z42" i="25"/>
  <c r="P6" i="25"/>
  <c r="P8" i="25"/>
  <c r="P11" i="25"/>
  <c r="P12" i="25"/>
  <c r="P13" i="25"/>
  <c r="P14" i="25"/>
  <c r="P15" i="25"/>
  <c r="P17" i="25"/>
  <c r="P18" i="25"/>
  <c r="P19" i="25"/>
  <c r="P20" i="25"/>
  <c r="P23" i="25"/>
  <c r="P24" i="25"/>
  <c r="P25" i="25"/>
  <c r="P26" i="25"/>
  <c r="N6" i="25"/>
  <c r="R6" i="25" s="1"/>
  <c r="N7" i="25"/>
  <c r="N12" i="25"/>
  <c r="R12" i="25" s="1"/>
  <c r="N13" i="25"/>
  <c r="T13" i="25" s="1"/>
  <c r="N14" i="25"/>
  <c r="R14" i="25" s="1"/>
  <c r="N15" i="25"/>
  <c r="R15" i="25" s="1"/>
  <c r="N16" i="25"/>
  <c r="N17" i="25"/>
  <c r="R17" i="25" s="1"/>
  <c r="N18" i="25"/>
  <c r="R18" i="25" s="1"/>
  <c r="N19" i="25"/>
  <c r="T19" i="25" s="1"/>
  <c r="N20" i="25"/>
  <c r="R20" i="25" s="1"/>
  <c r="N21" i="25"/>
  <c r="T21" i="25" s="1"/>
  <c r="N22" i="25"/>
  <c r="N23" i="25"/>
  <c r="R23" i="25" s="1"/>
  <c r="N24" i="25"/>
  <c r="N25" i="25"/>
  <c r="R25" i="25" s="1"/>
  <c r="N26" i="25"/>
  <c r="R26" i="25" s="1"/>
  <c r="N4" i="25"/>
  <c r="R4" i="25" s="1"/>
  <c r="G7" i="25"/>
  <c r="G24" i="25"/>
  <c r="Q24" i="25" s="1"/>
  <c r="G23" i="25"/>
  <c r="Q23" i="25" s="1"/>
  <c r="G22" i="25"/>
  <c r="G21" i="25"/>
  <c r="Q21" i="25" s="1"/>
  <c r="G20" i="25"/>
  <c r="Q20" i="25" s="1"/>
  <c r="G19" i="25"/>
  <c r="G18" i="25"/>
  <c r="G16" i="21" s="1"/>
  <c r="G17" i="25"/>
  <c r="Q17" i="25" s="1"/>
  <c r="G16" i="25"/>
  <c r="G15" i="25"/>
  <c r="Q15" i="25" s="1"/>
  <c r="G14" i="25"/>
  <c r="Q14" i="25" s="1"/>
  <c r="G13" i="25"/>
  <c r="G12" i="25"/>
  <c r="Q12" i="25" s="1"/>
  <c r="G11" i="25"/>
  <c r="G9" i="25"/>
  <c r="Q9" i="25" s="1"/>
  <c r="S9" i="25" s="1"/>
  <c r="G25" i="25"/>
  <c r="Q25" i="25" s="1"/>
  <c r="G6" i="25"/>
  <c r="G5" i="21" s="1"/>
  <c r="G26" i="25"/>
  <c r="Q26" i="25" s="1"/>
  <c r="G4" i="25"/>
  <c r="C6" i="25"/>
  <c r="C8" i="25"/>
  <c r="C11" i="25"/>
  <c r="C12" i="25"/>
  <c r="C13" i="25"/>
  <c r="C14" i="25"/>
  <c r="C15" i="25"/>
  <c r="C17" i="25"/>
  <c r="C19" i="25"/>
  <c r="C20" i="25"/>
  <c r="C23" i="25"/>
  <c r="C24" i="25"/>
  <c r="C25" i="25"/>
  <c r="C26" i="25"/>
  <c r="E7" i="21"/>
  <c r="F7" i="21"/>
  <c r="H7" i="21"/>
  <c r="I7" i="21"/>
  <c r="J7" i="21"/>
  <c r="K7" i="21"/>
  <c r="L7" i="21"/>
  <c r="M7" i="21"/>
  <c r="O7" i="21"/>
  <c r="E24" i="21"/>
  <c r="F24" i="21"/>
  <c r="H24" i="21"/>
  <c r="I24" i="21"/>
  <c r="J24" i="21"/>
  <c r="K24" i="21"/>
  <c r="L24" i="21"/>
  <c r="M24" i="21"/>
  <c r="O24" i="21"/>
  <c r="E5" i="21"/>
  <c r="F5" i="21"/>
  <c r="H5" i="21"/>
  <c r="I5" i="21"/>
  <c r="J5" i="21"/>
  <c r="K5" i="21"/>
  <c r="L5" i="21"/>
  <c r="M5" i="21"/>
  <c r="O5" i="21"/>
  <c r="E25" i="21"/>
  <c r="F25" i="21"/>
  <c r="H25" i="21"/>
  <c r="I25" i="21"/>
  <c r="J25" i="21"/>
  <c r="K25" i="21"/>
  <c r="L25" i="21"/>
  <c r="M25" i="21"/>
  <c r="O25" i="21"/>
  <c r="E11" i="21"/>
  <c r="F11" i="21"/>
  <c r="H11" i="21"/>
  <c r="I11" i="21"/>
  <c r="J11" i="21"/>
  <c r="K11" i="21"/>
  <c r="L11" i="21"/>
  <c r="M11" i="21"/>
  <c r="O11" i="21"/>
  <c r="E8" i="21"/>
  <c r="F8" i="21"/>
  <c r="H8" i="21"/>
  <c r="I8" i="21"/>
  <c r="J8" i="21"/>
  <c r="K8" i="21"/>
  <c r="L8" i="21"/>
  <c r="M8" i="21"/>
  <c r="O8" i="21"/>
  <c r="E22" i="21"/>
  <c r="F22" i="21"/>
  <c r="H22" i="21"/>
  <c r="I22" i="21"/>
  <c r="J22" i="21"/>
  <c r="K22" i="21"/>
  <c r="L22" i="21"/>
  <c r="M22" i="21"/>
  <c r="O22" i="21"/>
  <c r="E4" i="21"/>
  <c r="F4" i="21"/>
  <c r="F11" i="11" s="1"/>
  <c r="H4" i="21"/>
  <c r="I4" i="21"/>
  <c r="J4" i="21"/>
  <c r="K4" i="21"/>
  <c r="L4" i="21"/>
  <c r="M4" i="21"/>
  <c r="O4" i="21"/>
  <c r="E12" i="21"/>
  <c r="F12" i="21"/>
  <c r="H12" i="21"/>
  <c r="I12" i="21"/>
  <c r="J12" i="21"/>
  <c r="K12" i="21"/>
  <c r="L12" i="21"/>
  <c r="M12" i="21"/>
  <c r="O12" i="21"/>
  <c r="E15" i="21"/>
  <c r="F15" i="21"/>
  <c r="H15" i="21"/>
  <c r="I15" i="21"/>
  <c r="J15" i="21"/>
  <c r="K15" i="21"/>
  <c r="L15" i="21"/>
  <c r="M15" i="21"/>
  <c r="O15" i="21"/>
  <c r="E6" i="21"/>
  <c r="F6" i="21"/>
  <c r="H6" i="21"/>
  <c r="I6" i="21"/>
  <c r="J6" i="21"/>
  <c r="K6" i="21"/>
  <c r="L6" i="21"/>
  <c r="M6" i="21"/>
  <c r="O6" i="21"/>
  <c r="E17" i="21"/>
  <c r="F17" i="21"/>
  <c r="H17" i="21"/>
  <c r="I17" i="21"/>
  <c r="J17" i="21"/>
  <c r="K17" i="21"/>
  <c r="L17" i="21"/>
  <c r="M17" i="21"/>
  <c r="O17" i="21"/>
  <c r="E20" i="21"/>
  <c r="F20" i="21"/>
  <c r="H20" i="21"/>
  <c r="I20" i="21"/>
  <c r="J20" i="21"/>
  <c r="K20" i="21"/>
  <c r="L20" i="21"/>
  <c r="M20" i="21"/>
  <c r="O20" i="21"/>
  <c r="E9" i="21"/>
  <c r="F9" i="21"/>
  <c r="H9" i="21"/>
  <c r="I9" i="21"/>
  <c r="J9" i="21"/>
  <c r="K9" i="21"/>
  <c r="L9" i="21"/>
  <c r="M9" i="21"/>
  <c r="O9" i="21"/>
  <c r="E16" i="21"/>
  <c r="F16" i="21"/>
  <c r="H16" i="21"/>
  <c r="I16" i="21"/>
  <c r="J16" i="21"/>
  <c r="K16" i="21"/>
  <c r="L16" i="21"/>
  <c r="M16" i="21"/>
  <c r="O16" i="21"/>
  <c r="E18" i="21"/>
  <c r="F18" i="21"/>
  <c r="H18" i="21"/>
  <c r="I18" i="21"/>
  <c r="J18" i="21"/>
  <c r="K18" i="21"/>
  <c r="L18" i="21"/>
  <c r="M18" i="21"/>
  <c r="O18" i="21"/>
  <c r="E14" i="21"/>
  <c r="F14" i="21"/>
  <c r="H14" i="21"/>
  <c r="I14" i="21"/>
  <c r="J14" i="21"/>
  <c r="K14" i="21"/>
  <c r="L14" i="21"/>
  <c r="M14" i="21"/>
  <c r="O14" i="21"/>
  <c r="E13" i="21"/>
  <c r="F13" i="21"/>
  <c r="H13" i="21"/>
  <c r="I13" i="21"/>
  <c r="J13" i="21"/>
  <c r="K13" i="21"/>
  <c r="L13" i="21"/>
  <c r="M13" i="21"/>
  <c r="O13" i="21"/>
  <c r="E26" i="21"/>
  <c r="F26" i="21"/>
  <c r="H26" i="21"/>
  <c r="I26" i="21"/>
  <c r="J26" i="21"/>
  <c r="K26" i="21"/>
  <c r="L26" i="21"/>
  <c r="M26" i="21"/>
  <c r="O26" i="21"/>
  <c r="E23" i="21"/>
  <c r="E23" i="11" s="1"/>
  <c r="F23" i="21"/>
  <c r="H23" i="21"/>
  <c r="I23" i="21"/>
  <c r="J23" i="21"/>
  <c r="K18" i="27" s="1"/>
  <c r="K23" i="21"/>
  <c r="L18" i="27" s="1"/>
  <c r="L23" i="21"/>
  <c r="M23" i="21"/>
  <c r="N18" i="27" s="1"/>
  <c r="O23" i="21"/>
  <c r="E10" i="21"/>
  <c r="F10" i="21"/>
  <c r="H10" i="21"/>
  <c r="I10" i="21"/>
  <c r="I24" i="11" s="1"/>
  <c r="J10" i="21"/>
  <c r="K10" i="21"/>
  <c r="L10" i="21"/>
  <c r="M10" i="21"/>
  <c r="O10" i="21"/>
  <c r="E19" i="21"/>
  <c r="F19" i="21"/>
  <c r="H19" i="21"/>
  <c r="I19" i="21"/>
  <c r="J19" i="21"/>
  <c r="K19" i="21"/>
  <c r="K25" i="11" s="1"/>
  <c r="L19" i="21"/>
  <c r="M19" i="21"/>
  <c r="O19" i="21"/>
  <c r="E21" i="21"/>
  <c r="F21" i="21"/>
  <c r="H21" i="21"/>
  <c r="H26" i="11" s="1"/>
  <c r="I21" i="21"/>
  <c r="J21" i="21"/>
  <c r="K21" i="21"/>
  <c r="L21" i="21"/>
  <c r="M21" i="21"/>
  <c r="M26" i="11" s="1"/>
  <c r="O21" i="21"/>
  <c r="D21" i="21"/>
  <c r="D19" i="21"/>
  <c r="D10" i="21"/>
  <c r="D23" i="21"/>
  <c r="D26" i="21"/>
  <c r="D13" i="21"/>
  <c r="D14" i="21"/>
  <c r="D18" i="21"/>
  <c r="D16" i="21"/>
  <c r="D9" i="21"/>
  <c r="D20" i="21"/>
  <c r="D17" i="21"/>
  <c r="D6" i="21"/>
  <c r="D15" i="21"/>
  <c r="D12" i="21"/>
  <c r="D4" i="21"/>
  <c r="D22" i="21"/>
  <c r="D8" i="21"/>
  <c r="D9" i="11" s="1"/>
  <c r="D11" i="21"/>
  <c r="D25" i="21"/>
  <c r="D5" i="21"/>
  <c r="D24" i="21"/>
  <c r="D7" i="21"/>
  <c r="B24" i="21"/>
  <c r="B5" i="21"/>
  <c r="B25" i="21"/>
  <c r="B11" i="21"/>
  <c r="B8" i="21"/>
  <c r="B22" i="21"/>
  <c r="B4" i="21"/>
  <c r="B12" i="21"/>
  <c r="B15" i="21"/>
  <c r="B6" i="21"/>
  <c r="B17" i="21"/>
  <c r="B20" i="21"/>
  <c r="B9" i="21"/>
  <c r="B16" i="21"/>
  <c r="B18" i="21"/>
  <c r="B14" i="21"/>
  <c r="B13" i="21"/>
  <c r="B26" i="21"/>
  <c r="B23" i="21"/>
  <c r="B10" i="21"/>
  <c r="B19" i="21"/>
  <c r="B21" i="21"/>
  <c r="B7" i="21"/>
  <c r="C4" i="27" s="1"/>
  <c r="Y42" i="25"/>
  <c r="O42" i="25"/>
  <c r="N42" i="25"/>
  <c r="M42" i="25"/>
  <c r="L42" i="25"/>
  <c r="K42" i="25"/>
  <c r="J42" i="25"/>
  <c r="I42" i="25"/>
  <c r="H42" i="25"/>
  <c r="S42" i="25" s="1"/>
  <c r="G42" i="25"/>
  <c r="F42" i="25"/>
  <c r="E42" i="25"/>
  <c r="D42" i="25"/>
  <c r="C42" i="25"/>
  <c r="W41" i="25"/>
  <c r="V41" i="25"/>
  <c r="U41" i="25"/>
  <c r="T41" i="25"/>
  <c r="S41" i="25"/>
  <c r="R41" i="25"/>
  <c r="Q41" i="25"/>
  <c r="W40" i="25"/>
  <c r="V40" i="25"/>
  <c r="U40" i="25"/>
  <c r="T40" i="25"/>
  <c r="S40" i="25"/>
  <c r="R40" i="25"/>
  <c r="Q40" i="25"/>
  <c r="W39" i="25"/>
  <c r="V39" i="25"/>
  <c r="U39" i="25"/>
  <c r="T39" i="25"/>
  <c r="S39" i="25"/>
  <c r="R39" i="25"/>
  <c r="Q39" i="25"/>
  <c r="W38" i="25"/>
  <c r="V38" i="25"/>
  <c r="U38" i="25"/>
  <c r="T38" i="25"/>
  <c r="S38" i="25"/>
  <c r="R38" i="25"/>
  <c r="Q38" i="25"/>
  <c r="W37" i="25"/>
  <c r="V37" i="25"/>
  <c r="U37" i="25"/>
  <c r="T37" i="25"/>
  <c r="S37" i="25"/>
  <c r="R37" i="25"/>
  <c r="Q37" i="25"/>
  <c r="W36" i="25"/>
  <c r="V36" i="25"/>
  <c r="U36" i="25"/>
  <c r="T36" i="25"/>
  <c r="S36" i="25"/>
  <c r="R36" i="25"/>
  <c r="Q36" i="25"/>
  <c r="W35" i="25"/>
  <c r="V35" i="25"/>
  <c r="U35" i="25"/>
  <c r="T35" i="25"/>
  <c r="S35" i="25"/>
  <c r="R35" i="25"/>
  <c r="Q35" i="25"/>
  <c r="W34" i="25"/>
  <c r="V34" i="25"/>
  <c r="U34" i="25"/>
  <c r="T34" i="25"/>
  <c r="S34" i="25"/>
  <c r="R34" i="25"/>
  <c r="Q34" i="25"/>
  <c r="W33" i="25"/>
  <c r="V33" i="25"/>
  <c r="U33" i="25"/>
  <c r="T33" i="25"/>
  <c r="S33" i="25"/>
  <c r="R33" i="25"/>
  <c r="Q33" i="25"/>
  <c r="W32" i="25"/>
  <c r="V32" i="25"/>
  <c r="U32" i="25"/>
  <c r="T32" i="25"/>
  <c r="S32" i="25"/>
  <c r="R32" i="25"/>
  <c r="Q32" i="25"/>
  <c r="W31" i="25"/>
  <c r="V31" i="25"/>
  <c r="U31" i="25"/>
  <c r="T31" i="25"/>
  <c r="S31" i="25"/>
  <c r="R31" i="25"/>
  <c r="Q31" i="25"/>
  <c r="AC27" i="25"/>
  <c r="AB27" i="25"/>
  <c r="AA27" i="25"/>
  <c r="Z27" i="25"/>
  <c r="Y27" i="25"/>
  <c r="O27" i="25"/>
  <c r="M27" i="25"/>
  <c r="L27" i="25"/>
  <c r="K27" i="25"/>
  <c r="J27" i="25"/>
  <c r="I27" i="25"/>
  <c r="H27" i="25"/>
  <c r="F27" i="25"/>
  <c r="E27" i="25"/>
  <c r="D27" i="25"/>
  <c r="T4" i="25"/>
  <c r="P4" i="25"/>
  <c r="C4" i="25"/>
  <c r="N5" i="24"/>
  <c r="N6" i="24"/>
  <c r="N7" i="24"/>
  <c r="N8" i="24"/>
  <c r="N9" i="24"/>
  <c r="N10" i="24"/>
  <c r="N11" i="24"/>
  <c r="N12" i="24"/>
  <c r="N13" i="24"/>
  <c r="N14" i="24"/>
  <c r="N15" i="24"/>
  <c r="N16" i="24"/>
  <c r="N17" i="24"/>
  <c r="N18" i="24"/>
  <c r="N19" i="24"/>
  <c r="N21" i="24"/>
  <c r="N22" i="24"/>
  <c r="N23" i="24"/>
  <c r="N24" i="24"/>
  <c r="N26" i="24"/>
  <c r="AC27" i="24"/>
  <c r="P33" i="24"/>
  <c r="G6" i="24"/>
  <c r="L41" i="11" l="1"/>
  <c r="H37" i="11"/>
  <c r="J35" i="11"/>
  <c r="O34" i="11"/>
  <c r="G34" i="11"/>
  <c r="O26" i="27"/>
  <c r="F31" i="11"/>
  <c r="E30" i="27"/>
  <c r="J30" i="27"/>
  <c r="H38" i="11"/>
  <c r="B37" i="11"/>
  <c r="M32" i="11"/>
  <c r="K40" i="11"/>
  <c r="C40" i="11"/>
  <c r="H32" i="11"/>
  <c r="N35" i="11"/>
  <c r="F35" i="11"/>
  <c r="B39" i="11"/>
  <c r="K28" i="27"/>
  <c r="P29" i="27"/>
  <c r="H29" i="27"/>
  <c r="N39" i="11"/>
  <c r="F39" i="11"/>
  <c r="L35" i="11"/>
  <c r="D35" i="11"/>
  <c r="C32" i="11"/>
  <c r="H31" i="11"/>
  <c r="C33" i="11"/>
  <c r="B31" i="11"/>
  <c r="J41" i="11"/>
  <c r="O29" i="27"/>
  <c r="G29" i="27"/>
  <c r="M37" i="11"/>
  <c r="E37" i="11"/>
  <c r="L34" i="11"/>
  <c r="D34" i="11"/>
  <c r="L26" i="27"/>
  <c r="C31" i="11"/>
  <c r="E38" i="11"/>
  <c r="F33" i="11"/>
  <c r="L36" i="11"/>
  <c r="N30" i="27"/>
  <c r="I40" i="11"/>
  <c r="P21" i="27"/>
  <c r="K22" i="11"/>
  <c r="E26" i="11"/>
  <c r="P19" i="21"/>
  <c r="P14" i="21"/>
  <c r="J25" i="11"/>
  <c r="K24" i="11"/>
  <c r="F20" i="11"/>
  <c r="E20" i="27"/>
  <c r="N4" i="21"/>
  <c r="N25" i="21"/>
  <c r="T25" i="21" s="1"/>
  <c r="G4" i="21"/>
  <c r="G18" i="21"/>
  <c r="P25" i="21"/>
  <c r="N29" i="27"/>
  <c r="F29" i="27"/>
  <c r="L39" i="11"/>
  <c r="D39" i="11"/>
  <c r="E36" i="11"/>
  <c r="C41" i="11"/>
  <c r="M29" i="27"/>
  <c r="E29" i="27"/>
  <c r="K39" i="11"/>
  <c r="C39" i="11"/>
  <c r="E41" i="11"/>
  <c r="J39" i="11"/>
  <c r="K29" i="27"/>
  <c r="I39" i="11"/>
  <c r="D29" i="27"/>
  <c r="J36" i="11"/>
  <c r="J29" i="27"/>
  <c r="H39" i="11"/>
  <c r="C29" i="27"/>
  <c r="H40" i="11"/>
  <c r="O39" i="11"/>
  <c r="G39" i="11"/>
  <c r="K32" i="11"/>
  <c r="N40" i="11"/>
  <c r="F40" i="11"/>
  <c r="M39" i="11"/>
  <c r="E39" i="11"/>
  <c r="J38" i="11"/>
  <c r="E32" i="11"/>
  <c r="F30" i="27"/>
  <c r="K37" i="11"/>
  <c r="C37" i="11"/>
  <c r="H36" i="11"/>
  <c r="P27" i="27"/>
  <c r="H27" i="27"/>
  <c r="I31" i="11"/>
  <c r="O40" i="11"/>
  <c r="G40" i="11"/>
  <c r="H35" i="11"/>
  <c r="O30" i="27"/>
  <c r="G30" i="27"/>
  <c r="M38" i="11"/>
  <c r="J37" i="11"/>
  <c r="J28" i="27"/>
  <c r="S28" i="27" s="1"/>
  <c r="O27" i="27"/>
  <c r="G27" i="27"/>
  <c r="I26" i="27"/>
  <c r="B32" i="11"/>
  <c r="K36" i="11"/>
  <c r="O35" i="11"/>
  <c r="G35" i="11"/>
  <c r="E33" i="11"/>
  <c r="O31" i="11"/>
  <c r="I37" i="11"/>
  <c r="I28" i="27"/>
  <c r="M33" i="11"/>
  <c r="P26" i="27"/>
  <c r="Q26" i="27" s="1"/>
  <c r="G31" i="11"/>
  <c r="B35" i="11"/>
  <c r="M40" i="11"/>
  <c r="E40" i="11"/>
  <c r="D33" i="11"/>
  <c r="I32" i="11"/>
  <c r="N31" i="11"/>
  <c r="N26" i="27"/>
  <c r="M35" i="11"/>
  <c r="E35" i="11"/>
  <c r="E27" i="27"/>
  <c r="C38" i="11"/>
  <c r="G36" i="11"/>
  <c r="O32" i="11"/>
  <c r="G32" i="11"/>
  <c r="M27" i="27"/>
  <c r="B36" i="11"/>
  <c r="L27" i="27"/>
  <c r="D27" i="27"/>
  <c r="I38" i="11"/>
  <c r="N37" i="11"/>
  <c r="F37" i="11"/>
  <c r="M34" i="11"/>
  <c r="K27" i="27"/>
  <c r="M26" i="27"/>
  <c r="R26" i="27" s="1"/>
  <c r="D31" i="11"/>
  <c r="B40" i="11"/>
  <c r="J40" i="11"/>
  <c r="O36" i="11"/>
  <c r="F36" i="11"/>
  <c r="K35" i="11"/>
  <c r="C35" i="11"/>
  <c r="N32" i="11"/>
  <c r="F32" i="11"/>
  <c r="J31" i="11"/>
  <c r="F28" i="27"/>
  <c r="I29" i="27"/>
  <c r="R29" i="27" s="1"/>
  <c r="D30" i="27"/>
  <c r="J27" i="27"/>
  <c r="N36" i="11"/>
  <c r="J34" i="11"/>
  <c r="B41" i="11"/>
  <c r="C27" i="27"/>
  <c r="I30" i="27"/>
  <c r="S30" i="27" s="1"/>
  <c r="L37" i="11"/>
  <c r="D37" i="11"/>
  <c r="K34" i="11"/>
  <c r="C34" i="11"/>
  <c r="I27" i="27"/>
  <c r="Q27" i="27" s="1"/>
  <c r="M36" i="11"/>
  <c r="D36" i="11"/>
  <c r="I35" i="11"/>
  <c r="L32" i="11"/>
  <c r="D32" i="11"/>
  <c r="C26" i="27"/>
  <c r="T26" i="27" s="1"/>
  <c r="B21" i="11"/>
  <c r="C20" i="21"/>
  <c r="J33" i="11"/>
  <c r="G33" i="11"/>
  <c r="D41" i="11"/>
  <c r="M28" i="27"/>
  <c r="L28" i="27"/>
  <c r="G27" i="28"/>
  <c r="S25" i="28"/>
  <c r="S13" i="28"/>
  <c r="S9" i="28"/>
  <c r="P27" i="28"/>
  <c r="S12" i="28"/>
  <c r="C27" i="28"/>
  <c r="W17" i="28"/>
  <c r="S6" i="28"/>
  <c r="V42" i="28"/>
  <c r="S21" i="28"/>
  <c r="S10" i="28"/>
  <c r="S15" i="28"/>
  <c r="S24" i="28"/>
  <c r="S18" i="28"/>
  <c r="W14" i="28"/>
  <c r="T15" i="28"/>
  <c r="R4" i="28"/>
  <c r="U15" i="28" s="1"/>
  <c r="W6" i="28"/>
  <c r="R8" i="28"/>
  <c r="R11" i="28"/>
  <c r="R20" i="28"/>
  <c r="U10" i="28" s="1"/>
  <c r="R23" i="28"/>
  <c r="W15" i="28"/>
  <c r="R17" i="28"/>
  <c r="R26" i="28"/>
  <c r="R42" i="28"/>
  <c r="W10" i="28"/>
  <c r="N27" i="28"/>
  <c r="R14" i="28"/>
  <c r="U42" i="28"/>
  <c r="W23" i="28"/>
  <c r="W26" i="28"/>
  <c r="R10" i="25"/>
  <c r="S10" i="25" s="1"/>
  <c r="N15" i="21"/>
  <c r="Q18" i="25"/>
  <c r="G26" i="21"/>
  <c r="G17" i="21"/>
  <c r="G22" i="21"/>
  <c r="E24" i="11"/>
  <c r="L25" i="11"/>
  <c r="I16" i="27"/>
  <c r="G19" i="27"/>
  <c r="L22" i="11"/>
  <c r="N6" i="21"/>
  <c r="W9" i="25"/>
  <c r="J20" i="27"/>
  <c r="I18" i="11"/>
  <c r="H24" i="11"/>
  <c r="J26" i="11"/>
  <c r="E19" i="27"/>
  <c r="G18" i="27"/>
  <c r="P18" i="27"/>
  <c r="L5" i="27"/>
  <c r="I20" i="27"/>
  <c r="F19" i="11"/>
  <c r="L21" i="11"/>
  <c r="O19" i="11"/>
  <c r="F15" i="27"/>
  <c r="K15" i="27"/>
  <c r="C10" i="27"/>
  <c r="M25" i="11"/>
  <c r="I4" i="27"/>
  <c r="L13" i="11"/>
  <c r="E12" i="27"/>
  <c r="J19" i="11"/>
  <c r="K16" i="11"/>
  <c r="O14" i="11"/>
  <c r="F14" i="11"/>
  <c r="E8" i="11"/>
  <c r="C17" i="27"/>
  <c r="C12" i="27"/>
  <c r="D26" i="11"/>
  <c r="J16" i="11"/>
  <c r="F12" i="27"/>
  <c r="E10" i="27"/>
  <c r="G14" i="27"/>
  <c r="B5" i="11"/>
  <c r="B20" i="11"/>
  <c r="F5" i="11"/>
  <c r="L26" i="11"/>
  <c r="N11" i="27"/>
  <c r="G10" i="27"/>
  <c r="P5" i="27"/>
  <c r="F5" i="27"/>
  <c r="D22" i="11"/>
  <c r="K16" i="27"/>
  <c r="J7" i="27"/>
  <c r="M5" i="11"/>
  <c r="O22" i="11"/>
  <c r="F22" i="11"/>
  <c r="I5" i="11"/>
  <c r="K7" i="27"/>
  <c r="H19" i="11"/>
  <c r="I12" i="11"/>
  <c r="C20" i="27"/>
  <c r="E17" i="27"/>
  <c r="M19" i="27"/>
  <c r="H21" i="11"/>
  <c r="J16" i="27"/>
  <c r="M18" i="11"/>
  <c r="F15" i="11"/>
  <c r="C8" i="21"/>
  <c r="L7" i="11"/>
  <c r="M24" i="11"/>
  <c r="J14" i="11"/>
  <c r="M11" i="27"/>
  <c r="P10" i="27"/>
  <c r="F10" i="27"/>
  <c r="G9" i="27"/>
  <c r="B16" i="11"/>
  <c r="C7" i="27"/>
  <c r="D8" i="11"/>
  <c r="D24" i="11"/>
  <c r="I21" i="11"/>
  <c r="K17" i="11"/>
  <c r="I7" i="11"/>
  <c r="J17" i="11"/>
  <c r="M15" i="27"/>
  <c r="L10" i="27"/>
  <c r="L10" i="11"/>
  <c r="M9" i="11"/>
  <c r="K19" i="27"/>
  <c r="L17" i="27"/>
  <c r="M21" i="11"/>
  <c r="O20" i="11"/>
  <c r="E20" i="11"/>
  <c r="K15" i="11"/>
  <c r="J11" i="11"/>
  <c r="K10" i="11"/>
  <c r="L9" i="11"/>
  <c r="N7" i="27"/>
  <c r="F7" i="11"/>
  <c r="D19" i="11"/>
  <c r="F25" i="11"/>
  <c r="M20" i="11"/>
  <c r="H10" i="11"/>
  <c r="I11" i="11"/>
  <c r="E7" i="11"/>
  <c r="B23" i="11"/>
  <c r="C11" i="27"/>
  <c r="D12" i="11"/>
  <c r="E16" i="27"/>
  <c r="P20" i="27"/>
  <c r="Q20" i="27" s="1"/>
  <c r="E25" i="11"/>
  <c r="N15" i="27"/>
  <c r="P14" i="27"/>
  <c r="I15" i="11"/>
  <c r="H11" i="11"/>
  <c r="M7" i="11"/>
  <c r="N19" i="21"/>
  <c r="R19" i="21" s="1"/>
  <c r="N16" i="21"/>
  <c r="W21" i="25"/>
  <c r="I18" i="27"/>
  <c r="J11" i="27"/>
  <c r="O25" i="11"/>
  <c r="J15" i="11"/>
  <c r="I14" i="27"/>
  <c r="J15" i="27"/>
  <c r="H7" i="11"/>
  <c r="C26" i="21"/>
  <c r="J19" i="27"/>
  <c r="M13" i="27"/>
  <c r="O13" i="11"/>
  <c r="H20" i="11"/>
  <c r="K13" i="27"/>
  <c r="I10" i="27"/>
  <c r="J13" i="27"/>
  <c r="O7" i="11"/>
  <c r="J5" i="11"/>
  <c r="P15" i="27"/>
  <c r="I13" i="27"/>
  <c r="K20" i="27"/>
  <c r="N16" i="27"/>
  <c r="H25" i="11"/>
  <c r="H16" i="11"/>
  <c r="P16" i="27"/>
  <c r="F10" i="11"/>
  <c r="K4" i="11"/>
  <c r="E4" i="27"/>
  <c r="D16" i="11"/>
  <c r="C6" i="27"/>
  <c r="D10" i="11"/>
  <c r="D18" i="11"/>
  <c r="F26" i="11"/>
  <c r="E21" i="11"/>
  <c r="L16" i="11"/>
  <c r="M15" i="11"/>
  <c r="F13" i="27"/>
  <c r="H14" i="11"/>
  <c r="K12" i="11"/>
  <c r="M10" i="27"/>
  <c r="M10" i="11"/>
  <c r="P8" i="27"/>
  <c r="E9" i="11"/>
  <c r="F8" i="11"/>
  <c r="K6" i="27"/>
  <c r="L4" i="11"/>
  <c r="I7" i="27"/>
  <c r="K11" i="27"/>
  <c r="N14" i="27"/>
  <c r="K21" i="27"/>
  <c r="J8" i="11"/>
  <c r="I13" i="11"/>
  <c r="H15" i="11"/>
  <c r="H18" i="11"/>
  <c r="I19" i="11"/>
  <c r="O21" i="11"/>
  <c r="C23" i="21"/>
  <c r="J6" i="27"/>
  <c r="B12" i="11"/>
  <c r="I6" i="27"/>
  <c r="K4" i="27"/>
  <c r="J24" i="11"/>
  <c r="B19" i="11"/>
  <c r="E5" i="27"/>
  <c r="E11" i="27"/>
  <c r="D21" i="11"/>
  <c r="H23" i="11"/>
  <c r="I22" i="11"/>
  <c r="K21" i="11"/>
  <c r="M16" i="27"/>
  <c r="H17" i="11"/>
  <c r="I16" i="11"/>
  <c r="N12" i="27"/>
  <c r="G11" i="27"/>
  <c r="K9" i="27"/>
  <c r="L8" i="27"/>
  <c r="L8" i="11"/>
  <c r="G6" i="27"/>
  <c r="I4" i="11"/>
  <c r="G5" i="27"/>
  <c r="P7" i="27"/>
  <c r="P11" i="27"/>
  <c r="I15" i="27"/>
  <c r="P19" i="27"/>
  <c r="Q19" i="27" s="1"/>
  <c r="L15" i="11"/>
  <c r="L18" i="11"/>
  <c r="L19" i="11"/>
  <c r="O24" i="11"/>
  <c r="C15" i="21"/>
  <c r="I23" i="11"/>
  <c r="J18" i="11"/>
  <c r="C14" i="27"/>
  <c r="B10" i="11"/>
  <c r="D6" i="11"/>
  <c r="K26" i="11"/>
  <c r="H22" i="11"/>
  <c r="J21" i="11"/>
  <c r="L16" i="27"/>
  <c r="E18" i="11"/>
  <c r="F17" i="11"/>
  <c r="M12" i="27"/>
  <c r="F11" i="27"/>
  <c r="F12" i="11"/>
  <c r="J9" i="27"/>
  <c r="K8" i="27"/>
  <c r="K8" i="11"/>
  <c r="P6" i="27"/>
  <c r="E6" i="11"/>
  <c r="H4" i="11"/>
  <c r="I5" i="27"/>
  <c r="M8" i="27"/>
  <c r="J14" i="27"/>
  <c r="G17" i="27"/>
  <c r="H12" i="11"/>
  <c r="K17" i="27"/>
  <c r="K19" i="11"/>
  <c r="C21" i="27"/>
  <c r="B17" i="11"/>
  <c r="C8" i="27"/>
  <c r="D7" i="11"/>
  <c r="E13" i="27"/>
  <c r="D23" i="11"/>
  <c r="O17" i="11"/>
  <c r="E17" i="11"/>
  <c r="F16" i="11"/>
  <c r="L12" i="27"/>
  <c r="M13" i="11"/>
  <c r="O12" i="11"/>
  <c r="E12" i="11"/>
  <c r="I9" i="27"/>
  <c r="J8" i="27"/>
  <c r="M6" i="11"/>
  <c r="F4" i="11"/>
  <c r="J5" i="27"/>
  <c r="K14" i="27"/>
  <c r="I17" i="27"/>
  <c r="N20" i="27"/>
  <c r="J4" i="11"/>
  <c r="K14" i="11"/>
  <c r="I17" i="11"/>
  <c r="I20" i="11"/>
  <c r="O8" i="11"/>
  <c r="C19" i="27"/>
  <c r="M17" i="11"/>
  <c r="O16" i="11"/>
  <c r="M12" i="11"/>
  <c r="H9" i="11"/>
  <c r="K7" i="11"/>
  <c r="L6" i="11"/>
  <c r="P4" i="27"/>
  <c r="F4" i="27"/>
  <c r="K5" i="27"/>
  <c r="I11" i="27"/>
  <c r="L14" i="27"/>
  <c r="L15" i="27"/>
  <c r="N17" i="27"/>
  <c r="D5" i="11"/>
  <c r="H8" i="11"/>
  <c r="J12" i="11"/>
  <c r="L14" i="11"/>
  <c r="F18" i="11"/>
  <c r="O18" i="11"/>
  <c r="J20" i="11"/>
  <c r="C25" i="21"/>
  <c r="J13" i="11"/>
  <c r="E16" i="11"/>
  <c r="C13" i="27"/>
  <c r="B7" i="11"/>
  <c r="D17" i="11"/>
  <c r="M18" i="27"/>
  <c r="M22" i="11"/>
  <c r="E22" i="11"/>
  <c r="F21" i="11"/>
  <c r="K18" i="11"/>
  <c r="L17" i="11"/>
  <c r="M16" i="11"/>
  <c r="P13" i="27"/>
  <c r="I14" i="11"/>
  <c r="K13" i="11"/>
  <c r="L12" i="11"/>
  <c r="N10" i="27"/>
  <c r="P9" i="27"/>
  <c r="E10" i="11"/>
  <c r="F9" i="11"/>
  <c r="J7" i="11"/>
  <c r="L6" i="27"/>
  <c r="M5" i="27"/>
  <c r="N4" i="27"/>
  <c r="N5" i="27"/>
  <c r="M14" i="27"/>
  <c r="J21" i="27"/>
  <c r="H5" i="11"/>
  <c r="I8" i="11"/>
  <c r="H13" i="11"/>
  <c r="D15" i="11"/>
  <c r="I26" i="11"/>
  <c r="C10" i="21"/>
  <c r="I41" i="11"/>
  <c r="F41" i="11"/>
  <c r="L33" i="11"/>
  <c r="K33" i="11"/>
  <c r="I33" i="11"/>
  <c r="B33" i="11"/>
  <c r="P28" i="27"/>
  <c r="Q28" i="27" s="1"/>
  <c r="O28" i="27"/>
  <c r="I34" i="11"/>
  <c r="H34" i="11"/>
  <c r="E28" i="27"/>
  <c r="R21" i="25"/>
  <c r="N13" i="21"/>
  <c r="C13" i="21"/>
  <c r="C14" i="21"/>
  <c r="G15" i="27"/>
  <c r="C18" i="21"/>
  <c r="C12" i="21"/>
  <c r="I25" i="11"/>
  <c r="I19" i="27"/>
  <c r="W11" i="25"/>
  <c r="C11" i="21"/>
  <c r="W10" i="25"/>
  <c r="C16" i="21"/>
  <c r="G6" i="21"/>
  <c r="G12" i="27"/>
  <c r="C6" i="21"/>
  <c r="D14" i="11"/>
  <c r="B14" i="11"/>
  <c r="C19" i="21"/>
  <c r="I21" i="27"/>
  <c r="C21" i="21"/>
  <c r="M4" i="27"/>
  <c r="L4" i="27"/>
  <c r="C22" i="21"/>
  <c r="G13" i="27"/>
  <c r="C17" i="21"/>
  <c r="E15" i="11"/>
  <c r="N5" i="21"/>
  <c r="M11" i="11"/>
  <c r="C4" i="21"/>
  <c r="C9" i="21"/>
  <c r="O33" i="11"/>
  <c r="N33" i="11"/>
  <c r="N27" i="27"/>
  <c r="H33" i="11"/>
  <c r="O41" i="11"/>
  <c r="N41" i="11"/>
  <c r="M30" i="27"/>
  <c r="R30" i="27" s="1"/>
  <c r="K41" i="11"/>
  <c r="H41" i="11"/>
  <c r="C30" i="27"/>
  <c r="N28" i="27"/>
  <c r="H28" i="27"/>
  <c r="G28" i="27"/>
  <c r="D28" i="27"/>
  <c r="B34" i="11"/>
  <c r="E14" i="27"/>
  <c r="B18" i="11"/>
  <c r="O10" i="11"/>
  <c r="M9" i="27"/>
  <c r="J10" i="11"/>
  <c r="I10" i="11"/>
  <c r="C9" i="27"/>
  <c r="M20" i="27"/>
  <c r="L20" i="27"/>
  <c r="G19" i="21"/>
  <c r="Q19" i="21" s="1"/>
  <c r="G20" i="27"/>
  <c r="F20" i="27"/>
  <c r="D25" i="11"/>
  <c r="B25" i="11"/>
  <c r="G21" i="27"/>
  <c r="E21" i="27"/>
  <c r="Q21" i="27" s="1"/>
  <c r="B26" i="11"/>
  <c r="B15" i="11"/>
  <c r="E7" i="27"/>
  <c r="N6" i="27"/>
  <c r="F6" i="11"/>
  <c r="F6" i="27"/>
  <c r="B6" i="11"/>
  <c r="K31" i="11"/>
  <c r="J26" i="27"/>
  <c r="S26" i="27" s="1"/>
  <c r="H26" i="27"/>
  <c r="G26" i="27"/>
  <c r="F26" i="27"/>
  <c r="D26" i="27"/>
  <c r="M41" i="11"/>
  <c r="G41" i="11"/>
  <c r="L11" i="11"/>
  <c r="K11" i="11"/>
  <c r="E11" i="11"/>
  <c r="D11" i="11"/>
  <c r="B11" i="11"/>
  <c r="G4" i="27"/>
  <c r="B4" i="11"/>
  <c r="P12" i="27"/>
  <c r="I12" i="27"/>
  <c r="E14" i="11"/>
  <c r="M14" i="11"/>
  <c r="J12" i="27"/>
  <c r="K12" i="27"/>
  <c r="J10" i="27"/>
  <c r="K10" i="27"/>
  <c r="O11" i="11"/>
  <c r="E6" i="27"/>
  <c r="M6" i="27"/>
  <c r="O6" i="11"/>
  <c r="H6" i="11"/>
  <c r="I6" i="11"/>
  <c r="J6" i="11"/>
  <c r="K6" i="11"/>
  <c r="P17" i="27"/>
  <c r="M17" i="27"/>
  <c r="J22" i="11"/>
  <c r="J17" i="27"/>
  <c r="F17" i="27"/>
  <c r="B22" i="11"/>
  <c r="M19" i="11"/>
  <c r="E19" i="11"/>
  <c r="E15" i="27"/>
  <c r="C15" i="27"/>
  <c r="O9" i="11"/>
  <c r="N8" i="27"/>
  <c r="K9" i="11"/>
  <c r="J9" i="11"/>
  <c r="I9" i="11"/>
  <c r="I8" i="27"/>
  <c r="G8" i="27"/>
  <c r="F8" i="27"/>
  <c r="E8" i="27"/>
  <c r="B9" i="11"/>
  <c r="O15" i="11"/>
  <c r="N13" i="27"/>
  <c r="L13" i="27"/>
  <c r="O5" i="11"/>
  <c r="L5" i="11"/>
  <c r="K5" i="11"/>
  <c r="E5" i="11"/>
  <c r="C5" i="27"/>
  <c r="O26" i="11"/>
  <c r="N21" i="27"/>
  <c r="M21" i="27"/>
  <c r="L21" i="27"/>
  <c r="F21" i="27"/>
  <c r="M8" i="11"/>
  <c r="M7" i="27"/>
  <c r="L7" i="27"/>
  <c r="G7" i="27"/>
  <c r="F7" i="27"/>
  <c r="B8" i="11"/>
  <c r="L9" i="27"/>
  <c r="N9" i="27"/>
  <c r="F9" i="27"/>
  <c r="E9" i="27"/>
  <c r="F14" i="27"/>
  <c r="O23" i="11"/>
  <c r="M23" i="11"/>
  <c r="L23" i="11"/>
  <c r="K23" i="11"/>
  <c r="J23" i="11"/>
  <c r="J18" i="27"/>
  <c r="F23" i="11"/>
  <c r="F18" i="27"/>
  <c r="E18" i="27"/>
  <c r="C18" i="27"/>
  <c r="L11" i="27"/>
  <c r="F13" i="11"/>
  <c r="E13" i="11"/>
  <c r="D13" i="11"/>
  <c r="B13" i="11"/>
  <c r="R20" i="22"/>
  <c r="L20" i="11"/>
  <c r="K20" i="11"/>
  <c r="G16" i="27"/>
  <c r="F16" i="27"/>
  <c r="D20" i="11"/>
  <c r="C16" i="27"/>
  <c r="N19" i="27"/>
  <c r="L24" i="11"/>
  <c r="L19" i="27"/>
  <c r="F24" i="11"/>
  <c r="F19" i="27"/>
  <c r="D19" i="27" s="1"/>
  <c r="B24" i="11"/>
  <c r="O4" i="11"/>
  <c r="M4" i="11"/>
  <c r="J4" i="27"/>
  <c r="E4" i="11"/>
  <c r="D4" i="11"/>
  <c r="T28" i="27"/>
  <c r="Z42" i="21"/>
  <c r="Y42" i="21"/>
  <c r="W13" i="25"/>
  <c r="W24" i="25"/>
  <c r="N14" i="21"/>
  <c r="R14" i="21" s="1"/>
  <c r="W18" i="25"/>
  <c r="W23" i="25"/>
  <c r="W12" i="25"/>
  <c r="S23" i="25"/>
  <c r="S15" i="25"/>
  <c r="R13" i="25"/>
  <c r="W20" i="25"/>
  <c r="Q19" i="25"/>
  <c r="W8" i="25"/>
  <c r="W6" i="25"/>
  <c r="W17" i="25"/>
  <c r="T17" i="25"/>
  <c r="W26" i="25"/>
  <c r="W15" i="25"/>
  <c r="W25" i="25"/>
  <c r="W14" i="25"/>
  <c r="S25" i="25"/>
  <c r="S14" i="25"/>
  <c r="S20" i="25"/>
  <c r="S12" i="25"/>
  <c r="S26" i="25"/>
  <c r="S18" i="25"/>
  <c r="S17" i="25"/>
  <c r="T24" i="25"/>
  <c r="R19" i="25"/>
  <c r="R8" i="25"/>
  <c r="T20" i="25"/>
  <c r="Q13" i="25"/>
  <c r="S13" i="25" s="1"/>
  <c r="T11" i="25"/>
  <c r="T25" i="25"/>
  <c r="T14" i="25"/>
  <c r="R11" i="25"/>
  <c r="R24" i="25"/>
  <c r="S24" i="25" s="1"/>
  <c r="Q11" i="25"/>
  <c r="T6" i="25"/>
  <c r="Q8" i="25"/>
  <c r="T23" i="25"/>
  <c r="T12" i="25"/>
  <c r="T26" i="25"/>
  <c r="T15" i="25"/>
  <c r="Q6" i="25"/>
  <c r="S6" i="25" s="1"/>
  <c r="G21" i="21"/>
  <c r="U42" i="25"/>
  <c r="G14" i="21"/>
  <c r="Q14" i="21" s="1"/>
  <c r="G27" i="25"/>
  <c r="W4" i="25"/>
  <c r="V42" i="25"/>
  <c r="Q42" i="25"/>
  <c r="T42" i="25"/>
  <c r="P27" i="25"/>
  <c r="C27" i="25"/>
  <c r="P42" i="25"/>
  <c r="R42" i="25"/>
  <c r="Q4" i="25"/>
  <c r="S4" i="25" s="1"/>
  <c r="N27" i="25"/>
  <c r="P32" i="24"/>
  <c r="Q32" i="24"/>
  <c r="R32" i="24"/>
  <c r="S32" i="24"/>
  <c r="T32" i="24"/>
  <c r="U32" i="24"/>
  <c r="V32" i="24"/>
  <c r="W32" i="24"/>
  <c r="Q33" i="24"/>
  <c r="R33" i="24"/>
  <c r="S33" i="24"/>
  <c r="T33" i="24"/>
  <c r="U33" i="24"/>
  <c r="V33" i="24"/>
  <c r="W33" i="24"/>
  <c r="P34" i="24"/>
  <c r="Q34" i="24"/>
  <c r="R34" i="24"/>
  <c r="S34" i="24"/>
  <c r="T34" i="24"/>
  <c r="U34" i="24"/>
  <c r="V34" i="24"/>
  <c r="W34" i="24"/>
  <c r="P35" i="24"/>
  <c r="Q35" i="24"/>
  <c r="R35" i="24"/>
  <c r="S35" i="24"/>
  <c r="T35" i="24"/>
  <c r="U35" i="24"/>
  <c r="V35" i="24"/>
  <c r="W35" i="24"/>
  <c r="P36" i="24"/>
  <c r="Q36" i="24"/>
  <c r="R36" i="24"/>
  <c r="S36" i="24"/>
  <c r="T36" i="24"/>
  <c r="U36" i="24"/>
  <c r="V36" i="24"/>
  <c r="W36" i="24"/>
  <c r="P37" i="24"/>
  <c r="Q37" i="24"/>
  <c r="R37" i="24"/>
  <c r="S37" i="24"/>
  <c r="T37" i="24"/>
  <c r="U37" i="24"/>
  <c r="V37" i="24"/>
  <c r="W37" i="24"/>
  <c r="P38" i="24"/>
  <c r="Q38" i="24"/>
  <c r="R38" i="24"/>
  <c r="S38" i="24"/>
  <c r="T38" i="24"/>
  <c r="U38" i="24"/>
  <c r="V38" i="24"/>
  <c r="W38" i="24"/>
  <c r="P39" i="24"/>
  <c r="Q39" i="24"/>
  <c r="R39" i="24"/>
  <c r="S39" i="24"/>
  <c r="T39" i="24"/>
  <c r="U39" i="24"/>
  <c r="V39" i="24"/>
  <c r="W39" i="24"/>
  <c r="P40" i="24"/>
  <c r="Q40" i="24"/>
  <c r="R40" i="24"/>
  <c r="S40" i="24"/>
  <c r="T40" i="24"/>
  <c r="U40" i="24"/>
  <c r="V40" i="24"/>
  <c r="W40" i="24"/>
  <c r="P41" i="24"/>
  <c r="Q41" i="24"/>
  <c r="R41" i="24"/>
  <c r="S41" i="24"/>
  <c r="T41" i="24"/>
  <c r="U41" i="24"/>
  <c r="V41" i="24"/>
  <c r="W41" i="24"/>
  <c r="P31" i="24"/>
  <c r="Z7" i="21"/>
  <c r="AA7" i="21"/>
  <c r="AB7" i="21"/>
  <c r="AC7" i="21"/>
  <c r="Z24" i="21"/>
  <c r="AA24" i="21"/>
  <c r="AB24" i="21"/>
  <c r="AC24" i="21"/>
  <c r="Z5" i="21"/>
  <c r="AA5" i="21"/>
  <c r="AB5" i="21"/>
  <c r="AC5" i="21"/>
  <c r="Z25" i="21"/>
  <c r="AA25" i="21"/>
  <c r="AB25" i="21"/>
  <c r="AC25" i="21"/>
  <c r="Z11" i="21"/>
  <c r="AA11" i="21"/>
  <c r="AB11" i="21"/>
  <c r="AC11" i="21"/>
  <c r="Z8" i="21"/>
  <c r="AA8" i="21"/>
  <c r="AB8" i="21"/>
  <c r="AC8" i="21"/>
  <c r="Z22" i="21"/>
  <c r="AA22" i="21"/>
  <c r="AB22" i="21"/>
  <c r="AC22" i="21"/>
  <c r="Z4" i="21"/>
  <c r="AA4" i="21"/>
  <c r="AB4" i="21"/>
  <c r="AC4" i="21"/>
  <c r="Z12" i="21"/>
  <c r="AA12" i="21"/>
  <c r="AB12" i="21"/>
  <c r="AC12" i="21"/>
  <c r="Z15" i="21"/>
  <c r="AA15" i="21"/>
  <c r="AB15" i="21"/>
  <c r="AC15" i="21"/>
  <c r="Z6" i="21"/>
  <c r="AA6" i="21"/>
  <c r="AB6" i="21"/>
  <c r="AC6" i="21"/>
  <c r="Z17" i="21"/>
  <c r="AA17" i="21"/>
  <c r="AB17" i="21"/>
  <c r="AC17" i="21"/>
  <c r="Z20" i="21"/>
  <c r="AA20" i="21"/>
  <c r="AB20" i="21"/>
  <c r="AC20" i="21"/>
  <c r="Z9" i="21"/>
  <c r="AA9" i="21"/>
  <c r="AB9" i="21"/>
  <c r="AC9" i="21"/>
  <c r="Z16" i="21"/>
  <c r="AA16" i="21"/>
  <c r="AB16" i="21"/>
  <c r="AC16" i="21"/>
  <c r="Z18" i="21"/>
  <c r="AA18" i="21"/>
  <c r="AB18" i="21"/>
  <c r="AC18" i="21"/>
  <c r="Z13" i="21"/>
  <c r="AA13" i="21"/>
  <c r="AB13" i="21"/>
  <c r="AC13" i="21"/>
  <c r="Z26" i="21"/>
  <c r="AA26" i="21"/>
  <c r="AB26" i="21"/>
  <c r="AC26" i="21"/>
  <c r="Z23" i="21"/>
  <c r="AA23" i="21"/>
  <c r="AB23" i="21"/>
  <c r="AC23" i="21"/>
  <c r="Z10" i="21"/>
  <c r="AA10" i="21"/>
  <c r="AB10" i="21"/>
  <c r="AC10" i="21"/>
  <c r="Z21" i="21"/>
  <c r="AA21" i="21"/>
  <c r="AB21" i="21"/>
  <c r="AC21" i="21"/>
  <c r="Y24" i="21"/>
  <c r="Y5" i="21"/>
  <c r="Y25" i="21"/>
  <c r="Y11" i="21"/>
  <c r="Y8" i="21"/>
  <c r="Y22" i="21"/>
  <c r="Y4" i="21"/>
  <c r="Y12" i="21"/>
  <c r="Y15" i="21"/>
  <c r="Y6" i="21"/>
  <c r="Y17" i="21"/>
  <c r="Y20" i="21"/>
  <c r="Y9" i="21"/>
  <c r="Y16" i="21"/>
  <c r="Y18" i="21"/>
  <c r="Y13" i="21"/>
  <c r="Y26" i="21"/>
  <c r="Y23" i="21"/>
  <c r="Y10" i="21"/>
  <c r="Y21" i="21"/>
  <c r="AA27" i="22"/>
  <c r="Y7" i="21"/>
  <c r="G26" i="22"/>
  <c r="G24" i="22"/>
  <c r="G10" i="21" s="1"/>
  <c r="G23" i="22"/>
  <c r="G23" i="21" s="1"/>
  <c r="G19" i="22"/>
  <c r="G18" i="22"/>
  <c r="G17" i="22"/>
  <c r="G9" i="21" s="1"/>
  <c r="G16" i="22"/>
  <c r="G20" i="21" s="1"/>
  <c r="G15" i="22"/>
  <c r="G13" i="22"/>
  <c r="G15" i="21" s="1"/>
  <c r="G12" i="22"/>
  <c r="G12" i="21" s="1"/>
  <c r="G10" i="22"/>
  <c r="G9" i="22"/>
  <c r="G8" i="21" s="1"/>
  <c r="G8" i="22"/>
  <c r="G11" i="21" s="1"/>
  <c r="G7" i="22"/>
  <c r="G25" i="21" s="1"/>
  <c r="Q25" i="21" s="1"/>
  <c r="G5" i="22"/>
  <c r="G24" i="21" s="1"/>
  <c r="G4" i="22"/>
  <c r="N26" i="22"/>
  <c r="N21" i="21" s="1"/>
  <c r="N24" i="22"/>
  <c r="N10" i="21" s="1"/>
  <c r="N23" i="22"/>
  <c r="N23" i="21" s="1"/>
  <c r="N22" i="22"/>
  <c r="N26" i="21" s="1"/>
  <c r="N19" i="22"/>
  <c r="N18" i="21" s="1"/>
  <c r="N18" i="22"/>
  <c r="N17" i="22"/>
  <c r="N9" i="21" s="1"/>
  <c r="N16" i="22"/>
  <c r="N20" i="21" s="1"/>
  <c r="N15" i="22"/>
  <c r="N17" i="21" s="1"/>
  <c r="N13" i="22"/>
  <c r="N12" i="22"/>
  <c r="N12" i="21" s="1"/>
  <c r="N10" i="22"/>
  <c r="N22" i="21" s="1"/>
  <c r="N9" i="22"/>
  <c r="N8" i="21" s="1"/>
  <c r="N8" i="22"/>
  <c r="N11" i="21" s="1"/>
  <c r="N7" i="22"/>
  <c r="N5" i="22"/>
  <c r="N24" i="21" s="1"/>
  <c r="N4" i="22"/>
  <c r="N21" i="22"/>
  <c r="G21" i="22"/>
  <c r="P38" i="22"/>
  <c r="W39" i="22"/>
  <c r="V39" i="22"/>
  <c r="U39" i="22"/>
  <c r="T39" i="22"/>
  <c r="S39" i="22"/>
  <c r="R39" i="22"/>
  <c r="Q39" i="22"/>
  <c r="P39" i="22"/>
  <c r="P16" i="24"/>
  <c r="R16" i="24"/>
  <c r="T16" i="24"/>
  <c r="P17" i="24"/>
  <c r="R17" i="24"/>
  <c r="T17" i="24"/>
  <c r="P21" i="24"/>
  <c r="R21" i="24"/>
  <c r="T21" i="24"/>
  <c r="R24" i="24"/>
  <c r="R19" i="24"/>
  <c r="R15" i="24"/>
  <c r="R14" i="24"/>
  <c r="R13" i="24"/>
  <c r="R12" i="24"/>
  <c r="R11" i="24"/>
  <c r="R9" i="24"/>
  <c r="R8" i="24"/>
  <c r="R6" i="24"/>
  <c r="N4" i="24"/>
  <c r="G24" i="24"/>
  <c r="G23" i="24"/>
  <c r="G22" i="24"/>
  <c r="G21" i="24"/>
  <c r="Q21" i="24" s="1"/>
  <c r="G19" i="24"/>
  <c r="G18" i="24"/>
  <c r="G17" i="24"/>
  <c r="Q17" i="24" s="1"/>
  <c r="G16" i="24"/>
  <c r="Q16" i="24" s="1"/>
  <c r="G15" i="24"/>
  <c r="G14" i="24"/>
  <c r="G13" i="24"/>
  <c r="G12" i="24"/>
  <c r="G11" i="24"/>
  <c r="G10" i="24"/>
  <c r="G9" i="24"/>
  <c r="G8" i="24"/>
  <c r="G7" i="24"/>
  <c r="G5" i="24"/>
  <c r="G4" i="24"/>
  <c r="R26" i="24"/>
  <c r="AA27" i="24"/>
  <c r="Z27" i="24"/>
  <c r="G26" i="24"/>
  <c r="W41" i="22"/>
  <c r="W40" i="22"/>
  <c r="W38" i="22"/>
  <c r="W37" i="22"/>
  <c r="W36" i="22"/>
  <c r="W35" i="22"/>
  <c r="W34" i="22"/>
  <c r="W33" i="22"/>
  <c r="W32" i="22"/>
  <c r="W31" i="22"/>
  <c r="AC27" i="22"/>
  <c r="AB27" i="22"/>
  <c r="Z27" i="22"/>
  <c r="Y27" i="22"/>
  <c r="W31" i="24"/>
  <c r="AB27" i="24"/>
  <c r="Y27" i="24"/>
  <c r="R25" i="21" l="1"/>
  <c r="Q29" i="27"/>
  <c r="T29" i="27"/>
  <c r="K31" i="27"/>
  <c r="S29" i="27"/>
  <c r="C20" i="11"/>
  <c r="R27" i="27"/>
  <c r="S27" i="27"/>
  <c r="M31" i="27"/>
  <c r="D31" i="27"/>
  <c r="T27" i="27"/>
  <c r="G31" i="27"/>
  <c r="S25" i="21"/>
  <c r="R28" i="27"/>
  <c r="S19" i="21"/>
  <c r="S14" i="21"/>
  <c r="T19" i="21"/>
  <c r="T14" i="21"/>
  <c r="O31" i="27"/>
  <c r="F31" i="27"/>
  <c r="E31" i="27"/>
  <c r="J31" i="27"/>
  <c r="L31" i="27"/>
  <c r="H31" i="27"/>
  <c r="Q30" i="27"/>
  <c r="I31" i="27"/>
  <c r="T30" i="27"/>
  <c r="P31" i="27"/>
  <c r="G14" i="11"/>
  <c r="Q4" i="27"/>
  <c r="N14" i="11"/>
  <c r="D18" i="27"/>
  <c r="C31" i="27"/>
  <c r="N31" i="27"/>
  <c r="U23" i="28"/>
  <c r="S23" i="28"/>
  <c r="U11" i="28"/>
  <c r="S11" i="28"/>
  <c r="U24" i="28"/>
  <c r="U26" i="28"/>
  <c r="S26" i="28"/>
  <c r="U18" i="28"/>
  <c r="U25" i="28"/>
  <c r="U8" i="28"/>
  <c r="S8" i="28"/>
  <c r="V18" i="28" s="1"/>
  <c r="U20" i="28"/>
  <c r="S20" i="28"/>
  <c r="V20" i="28" s="1"/>
  <c r="U19" i="28"/>
  <c r="U13" i="28"/>
  <c r="U17" i="28"/>
  <c r="S17" i="28"/>
  <c r="U12" i="28"/>
  <c r="U9" i="28"/>
  <c r="U4" i="28"/>
  <c r="S4" i="28"/>
  <c r="U6" i="28"/>
  <c r="U14" i="28"/>
  <c r="S14" i="28"/>
  <c r="U21" i="28"/>
  <c r="C25" i="11"/>
  <c r="Q17" i="27"/>
  <c r="Q12" i="27"/>
  <c r="G15" i="11"/>
  <c r="Q16" i="27"/>
  <c r="N12" i="11"/>
  <c r="Q5" i="27"/>
  <c r="D5" i="27"/>
  <c r="U9" i="25"/>
  <c r="Q10" i="27"/>
  <c r="Q18" i="27"/>
  <c r="D14" i="27"/>
  <c r="O20" i="27"/>
  <c r="S20" i="27" s="1"/>
  <c r="D10" i="27"/>
  <c r="D15" i="27"/>
  <c r="Q15" i="27"/>
  <c r="G10" i="11"/>
  <c r="O10" i="27"/>
  <c r="S10" i="27" s="1"/>
  <c r="N25" i="11"/>
  <c r="R25" i="11" s="1"/>
  <c r="D17" i="27"/>
  <c r="G19" i="11"/>
  <c r="Q7" i="27"/>
  <c r="Q13" i="27"/>
  <c r="Q11" i="27"/>
  <c r="Q8" i="27"/>
  <c r="K22" i="27"/>
  <c r="Q14" i="27"/>
  <c r="H9" i="27"/>
  <c r="R9" i="27" s="1"/>
  <c r="N11" i="11"/>
  <c r="H13" i="27"/>
  <c r="R13" i="27" s="1"/>
  <c r="P20" i="11"/>
  <c r="D9" i="27"/>
  <c r="H15" i="27"/>
  <c r="R15" i="27" s="1"/>
  <c r="G11" i="11"/>
  <c r="H12" i="27"/>
  <c r="R12" i="27" s="1"/>
  <c r="D8" i="27"/>
  <c r="P21" i="11"/>
  <c r="D13" i="27"/>
  <c r="D11" i="27"/>
  <c r="H17" i="27"/>
  <c r="R17" i="27" s="1"/>
  <c r="O12" i="27"/>
  <c r="S12" i="27" s="1"/>
  <c r="Q6" i="27"/>
  <c r="D6" i="27"/>
  <c r="I22" i="27"/>
  <c r="G16" i="11"/>
  <c r="G18" i="11"/>
  <c r="N16" i="11"/>
  <c r="N18" i="11"/>
  <c r="O14" i="27"/>
  <c r="S14" i="27" s="1"/>
  <c r="N21" i="11"/>
  <c r="T21" i="11" s="1"/>
  <c r="H10" i="27"/>
  <c r="R10" i="27" s="1"/>
  <c r="J22" i="27"/>
  <c r="G22" i="11"/>
  <c r="G25" i="11"/>
  <c r="Q25" i="11" s="1"/>
  <c r="D12" i="27"/>
  <c r="H20" i="27"/>
  <c r="R20" i="27" s="1"/>
  <c r="N17" i="11"/>
  <c r="N13" i="11"/>
  <c r="O11" i="27"/>
  <c r="S11" i="27" s="1"/>
  <c r="U21" i="25"/>
  <c r="S21" i="25"/>
  <c r="D16" i="27"/>
  <c r="G22" i="27"/>
  <c r="D20" i="27"/>
  <c r="U10" i="25"/>
  <c r="P22" i="27"/>
  <c r="N22" i="27"/>
  <c r="D4" i="27"/>
  <c r="E22" i="27"/>
  <c r="P25" i="11"/>
  <c r="P26" i="11"/>
  <c r="L22" i="27"/>
  <c r="Q9" i="27"/>
  <c r="F22" i="27"/>
  <c r="D21" i="27"/>
  <c r="M22" i="27"/>
  <c r="D7" i="27"/>
  <c r="N7" i="21"/>
  <c r="N7" i="11" s="1"/>
  <c r="G7" i="21"/>
  <c r="H4" i="27" s="1"/>
  <c r="G13" i="21"/>
  <c r="G21" i="11" s="1"/>
  <c r="Q21" i="11" s="1"/>
  <c r="O17" i="27"/>
  <c r="S17" i="27" s="1"/>
  <c r="N22" i="11"/>
  <c r="N19" i="11"/>
  <c r="O15" i="27"/>
  <c r="S15" i="27" s="1"/>
  <c r="O8" i="27"/>
  <c r="S8" i="27" s="1"/>
  <c r="N9" i="11"/>
  <c r="H8" i="27"/>
  <c r="R8" i="27" s="1"/>
  <c r="G9" i="11"/>
  <c r="O13" i="27"/>
  <c r="S13" i="27" s="1"/>
  <c r="N15" i="11"/>
  <c r="O5" i="27"/>
  <c r="S5" i="27" s="1"/>
  <c r="N5" i="11"/>
  <c r="G5" i="11"/>
  <c r="H5" i="27"/>
  <c r="R5" i="27" s="1"/>
  <c r="O21" i="27"/>
  <c r="S21" i="27" s="1"/>
  <c r="N8" i="11"/>
  <c r="O7" i="27"/>
  <c r="S7" i="27" s="1"/>
  <c r="H7" i="27"/>
  <c r="R7" i="27" s="1"/>
  <c r="G8" i="11"/>
  <c r="O9" i="27"/>
  <c r="S9" i="27" s="1"/>
  <c r="N10" i="11"/>
  <c r="O18" i="27"/>
  <c r="S18" i="27" s="1"/>
  <c r="N23" i="11"/>
  <c r="H18" i="27"/>
  <c r="R18" i="27" s="1"/>
  <c r="G23" i="11"/>
  <c r="S20" i="22"/>
  <c r="O16" i="27"/>
  <c r="S16" i="27" s="1"/>
  <c r="N20" i="11"/>
  <c r="R20" i="11" s="1"/>
  <c r="G20" i="11"/>
  <c r="Q20" i="11" s="1"/>
  <c r="H16" i="27"/>
  <c r="R16" i="27" s="1"/>
  <c r="N24" i="11"/>
  <c r="O19" i="27"/>
  <c r="S19" i="27" s="1"/>
  <c r="H19" i="27"/>
  <c r="R19" i="27" s="1"/>
  <c r="G24" i="11"/>
  <c r="U11" i="25"/>
  <c r="U17" i="25"/>
  <c r="U12" i="25"/>
  <c r="S19" i="25"/>
  <c r="U18" i="25"/>
  <c r="U19" i="25"/>
  <c r="U20" i="25"/>
  <c r="U6" i="25"/>
  <c r="U23" i="25"/>
  <c r="U8" i="25"/>
  <c r="S8" i="25"/>
  <c r="U13" i="25"/>
  <c r="U24" i="25"/>
  <c r="S11" i="25"/>
  <c r="U14" i="25"/>
  <c r="U25" i="25"/>
  <c r="U15" i="25"/>
  <c r="U26" i="25"/>
  <c r="AC27" i="21"/>
  <c r="U4" i="25"/>
  <c r="P23" i="21"/>
  <c r="R4" i="24"/>
  <c r="U19" i="24" s="1"/>
  <c r="N27" i="24"/>
  <c r="Q37" i="21"/>
  <c r="AB27" i="21"/>
  <c r="AA27" i="21"/>
  <c r="Z27" i="21"/>
  <c r="Y27" i="21"/>
  <c r="S21" i="24"/>
  <c r="S17" i="24"/>
  <c r="P20" i="21"/>
  <c r="S16" i="24"/>
  <c r="P9" i="21"/>
  <c r="R23" i="21"/>
  <c r="T9" i="21"/>
  <c r="R9" i="21"/>
  <c r="T23" i="21"/>
  <c r="U37" i="21"/>
  <c r="W37" i="21"/>
  <c r="R37" i="21"/>
  <c r="S37" i="21"/>
  <c r="P37" i="21"/>
  <c r="V37" i="21"/>
  <c r="T37" i="21"/>
  <c r="D20" i="10"/>
  <c r="O42" i="24"/>
  <c r="N42" i="24"/>
  <c r="M42" i="24"/>
  <c r="L42" i="24"/>
  <c r="K42" i="24"/>
  <c r="J42" i="24"/>
  <c r="I42" i="24"/>
  <c r="H42" i="24"/>
  <c r="S42" i="24" s="1"/>
  <c r="G42" i="24"/>
  <c r="F42" i="24"/>
  <c r="E42" i="24"/>
  <c r="D42" i="24"/>
  <c r="C42" i="24"/>
  <c r="V31" i="24"/>
  <c r="U31" i="24"/>
  <c r="T31" i="24"/>
  <c r="S31" i="24"/>
  <c r="R31" i="24"/>
  <c r="Q31" i="24"/>
  <c r="O27" i="24"/>
  <c r="M27" i="24"/>
  <c r="L27" i="24"/>
  <c r="K27" i="24"/>
  <c r="J27" i="24"/>
  <c r="I27" i="24"/>
  <c r="H27" i="24"/>
  <c r="G27" i="24"/>
  <c r="F27" i="24"/>
  <c r="E27" i="24"/>
  <c r="D27" i="24"/>
  <c r="T26" i="24"/>
  <c r="Q26" i="24"/>
  <c r="P26" i="24"/>
  <c r="C26" i="24"/>
  <c r="T24" i="24"/>
  <c r="Q24" i="24"/>
  <c r="P24" i="24"/>
  <c r="C24" i="24"/>
  <c r="C21" i="24"/>
  <c r="T19" i="24"/>
  <c r="Q19" i="24"/>
  <c r="P19" i="24"/>
  <c r="C19" i="24"/>
  <c r="C17" i="24"/>
  <c r="C16" i="24"/>
  <c r="T15" i="24"/>
  <c r="Q15" i="24"/>
  <c r="P15" i="24"/>
  <c r="C15" i="24"/>
  <c r="T14" i="24"/>
  <c r="Q14" i="24"/>
  <c r="P14" i="24"/>
  <c r="C14" i="24"/>
  <c r="T13" i="24"/>
  <c r="Q13" i="24"/>
  <c r="P13" i="24"/>
  <c r="C13" i="24"/>
  <c r="T12" i="24"/>
  <c r="Q12" i="24"/>
  <c r="P12" i="24"/>
  <c r="C12" i="24"/>
  <c r="T11" i="24"/>
  <c r="Q11" i="24"/>
  <c r="P11" i="24"/>
  <c r="C11" i="24"/>
  <c r="T9" i="24"/>
  <c r="Q9" i="24"/>
  <c r="P9" i="24"/>
  <c r="C9" i="24"/>
  <c r="T8" i="24"/>
  <c r="Q8" i="24"/>
  <c r="P8" i="24"/>
  <c r="C8" i="24"/>
  <c r="T6" i="24"/>
  <c r="Q6" i="24"/>
  <c r="P6" i="24"/>
  <c r="C6" i="24"/>
  <c r="T4" i="24"/>
  <c r="Q4" i="24"/>
  <c r="P4" i="24"/>
  <c r="C4" i="24"/>
  <c r="V41" i="22"/>
  <c r="V40" i="22"/>
  <c r="V38" i="22"/>
  <c r="V37" i="22"/>
  <c r="V36" i="22"/>
  <c r="V35" i="22"/>
  <c r="V34" i="22"/>
  <c r="V33" i="22"/>
  <c r="V32" i="22"/>
  <c r="U41" i="22"/>
  <c r="U40" i="22"/>
  <c r="U38" i="22"/>
  <c r="U37" i="22"/>
  <c r="U36" i="22"/>
  <c r="U35" i="22"/>
  <c r="U34" i="22"/>
  <c r="U33" i="22"/>
  <c r="U32" i="22"/>
  <c r="T41" i="22"/>
  <c r="T40" i="22"/>
  <c r="T38" i="22"/>
  <c r="T37" i="22"/>
  <c r="T36" i="22"/>
  <c r="T35" i="22"/>
  <c r="T34" i="22"/>
  <c r="T33" i="22"/>
  <c r="T32" i="22"/>
  <c r="S41" i="22"/>
  <c r="S40" i="22"/>
  <c r="S38" i="22"/>
  <c r="S37" i="22"/>
  <c r="S36" i="22"/>
  <c r="S35" i="22"/>
  <c r="S34" i="22"/>
  <c r="S33" i="22"/>
  <c r="S32" i="22"/>
  <c r="R41" i="22"/>
  <c r="R40" i="22"/>
  <c r="R38" i="22"/>
  <c r="R37" i="22"/>
  <c r="R36" i="22"/>
  <c r="R35" i="22"/>
  <c r="R34" i="22"/>
  <c r="R33" i="22"/>
  <c r="R32" i="22"/>
  <c r="Q41" i="22"/>
  <c r="Q40" i="22"/>
  <c r="Q38" i="22"/>
  <c r="Q37" i="22"/>
  <c r="Q36" i="22"/>
  <c r="Q35" i="22"/>
  <c r="Q34" i="22"/>
  <c r="Q33" i="22"/>
  <c r="Q32" i="22"/>
  <c r="P41" i="22"/>
  <c r="P40" i="22"/>
  <c r="P37" i="22"/>
  <c r="P36" i="22"/>
  <c r="P35" i="22"/>
  <c r="P34" i="22"/>
  <c r="P33" i="22"/>
  <c r="P32" i="22"/>
  <c r="T26" i="22"/>
  <c r="T24" i="22"/>
  <c r="T23" i="22"/>
  <c r="T22" i="22"/>
  <c r="T21" i="22"/>
  <c r="T19" i="22"/>
  <c r="T18" i="22"/>
  <c r="T17" i="22"/>
  <c r="T16" i="22"/>
  <c r="T15" i="22"/>
  <c r="T13" i="22"/>
  <c r="T12" i="22"/>
  <c r="T10" i="22"/>
  <c r="T9" i="22"/>
  <c r="T8" i="22"/>
  <c r="T7" i="22"/>
  <c r="T5" i="22"/>
  <c r="R26" i="22"/>
  <c r="R24" i="22"/>
  <c r="R23" i="22"/>
  <c r="R22" i="22"/>
  <c r="U22" i="22" s="1"/>
  <c r="R21" i="22"/>
  <c r="R19" i="22"/>
  <c r="R18" i="22"/>
  <c r="R17" i="22"/>
  <c r="R16" i="22"/>
  <c r="R15" i="22"/>
  <c r="R13" i="22"/>
  <c r="R12" i="22"/>
  <c r="R10" i="22"/>
  <c r="R9" i="22"/>
  <c r="U9" i="22" s="1"/>
  <c r="R8" i="22"/>
  <c r="R7" i="22"/>
  <c r="U7" i="22" s="1"/>
  <c r="R5" i="22"/>
  <c r="U20" i="22" s="1"/>
  <c r="Q26" i="22"/>
  <c r="Q24" i="22"/>
  <c r="Q23" i="22"/>
  <c r="Q22" i="22"/>
  <c r="Q21" i="22"/>
  <c r="Q19" i="22"/>
  <c r="Q18" i="22"/>
  <c r="Q17" i="22"/>
  <c r="Q16" i="22"/>
  <c r="Q15" i="22"/>
  <c r="Q13" i="22"/>
  <c r="Q12" i="22"/>
  <c r="Q10" i="22"/>
  <c r="Q9" i="22"/>
  <c r="Q8" i="22"/>
  <c r="Q7" i="22"/>
  <c r="Q5" i="22"/>
  <c r="P26" i="22"/>
  <c r="P24" i="22"/>
  <c r="P23" i="22"/>
  <c r="P22" i="22"/>
  <c r="P21" i="22"/>
  <c r="P19" i="22"/>
  <c r="P18" i="22"/>
  <c r="P17" i="22"/>
  <c r="P16" i="22"/>
  <c r="P15" i="22"/>
  <c r="P13" i="22"/>
  <c r="P12" i="22"/>
  <c r="P10" i="22"/>
  <c r="P9" i="22"/>
  <c r="P8" i="22"/>
  <c r="P7" i="22"/>
  <c r="P5" i="22"/>
  <c r="C10" i="22"/>
  <c r="O42" i="22"/>
  <c r="N42" i="22"/>
  <c r="M42" i="22"/>
  <c r="L42" i="22"/>
  <c r="K42" i="22"/>
  <c r="J42" i="22"/>
  <c r="I42" i="22"/>
  <c r="H42" i="22"/>
  <c r="S42" i="22" s="1"/>
  <c r="G42" i="22"/>
  <c r="F42" i="22"/>
  <c r="E42" i="22"/>
  <c r="D42" i="22"/>
  <c r="C42" i="22"/>
  <c r="V31" i="22"/>
  <c r="U31" i="22"/>
  <c r="T31" i="22"/>
  <c r="S31" i="22"/>
  <c r="R31" i="22"/>
  <c r="Q31" i="22"/>
  <c r="P31" i="22"/>
  <c r="O27" i="22"/>
  <c r="N27" i="22"/>
  <c r="M27" i="22"/>
  <c r="L27" i="22"/>
  <c r="K27" i="22"/>
  <c r="J27" i="22"/>
  <c r="I27" i="22"/>
  <c r="H27" i="22"/>
  <c r="F27" i="22"/>
  <c r="E27" i="22"/>
  <c r="D27" i="22"/>
  <c r="C26" i="22"/>
  <c r="C24" i="22"/>
  <c r="C23" i="22"/>
  <c r="C22" i="22"/>
  <c r="W22" i="22" s="1"/>
  <c r="C21" i="22"/>
  <c r="C19" i="22"/>
  <c r="C18" i="22"/>
  <c r="C17" i="22"/>
  <c r="C16" i="22"/>
  <c r="C15" i="22"/>
  <c r="C13" i="22"/>
  <c r="C12" i="22"/>
  <c r="C9" i="22"/>
  <c r="W9" i="22" s="1"/>
  <c r="C8" i="22"/>
  <c r="C7" i="22"/>
  <c r="W7" i="22" s="1"/>
  <c r="C5" i="22"/>
  <c r="W20" i="22" s="1"/>
  <c r="T4" i="22"/>
  <c r="R4" i="22"/>
  <c r="Q4" i="22"/>
  <c r="P4" i="22"/>
  <c r="G27" i="22"/>
  <c r="C4" i="22"/>
  <c r="G23" i="14"/>
  <c r="G22" i="14"/>
  <c r="G21" i="14"/>
  <c r="G20" i="14"/>
  <c r="G19" i="14"/>
  <c r="G18" i="14"/>
  <c r="Q18" i="14" s="1"/>
  <c r="G17" i="14"/>
  <c r="Q17" i="14" s="1"/>
  <c r="G16" i="14"/>
  <c r="Q16" i="14" s="1"/>
  <c r="G15" i="14"/>
  <c r="G14" i="14"/>
  <c r="G13" i="14"/>
  <c r="G12" i="14"/>
  <c r="G11" i="14"/>
  <c r="G10" i="14"/>
  <c r="Q10" i="14" s="1"/>
  <c r="G9" i="14"/>
  <c r="Q9" i="14" s="1"/>
  <c r="G8" i="14"/>
  <c r="Q8" i="14" s="1"/>
  <c r="G7" i="14"/>
  <c r="G6" i="14"/>
  <c r="G5" i="14"/>
  <c r="G23" i="13"/>
  <c r="G22" i="13"/>
  <c r="G21" i="13"/>
  <c r="G20" i="13"/>
  <c r="G19" i="13"/>
  <c r="Q19" i="13" s="1"/>
  <c r="G18" i="13"/>
  <c r="G17" i="13"/>
  <c r="G16" i="13"/>
  <c r="Q16" i="13" s="1"/>
  <c r="G15" i="13"/>
  <c r="G14" i="13"/>
  <c r="G13" i="13"/>
  <c r="G12" i="13"/>
  <c r="G11" i="13"/>
  <c r="Q11" i="13" s="1"/>
  <c r="G10" i="13"/>
  <c r="G9" i="13"/>
  <c r="G8" i="13"/>
  <c r="Q8" i="13" s="1"/>
  <c r="G7" i="13"/>
  <c r="G6" i="13"/>
  <c r="G5" i="13"/>
  <c r="G23" i="20"/>
  <c r="G22" i="20"/>
  <c r="G21" i="20"/>
  <c r="G20" i="20"/>
  <c r="G19" i="20"/>
  <c r="Q19" i="20" s="1"/>
  <c r="G18" i="20"/>
  <c r="G17" i="20"/>
  <c r="Q17" i="20" s="1"/>
  <c r="G16" i="20"/>
  <c r="G15" i="20"/>
  <c r="G14" i="20"/>
  <c r="G13" i="20"/>
  <c r="G12" i="20"/>
  <c r="G11" i="20"/>
  <c r="Q11" i="20" s="1"/>
  <c r="G10" i="20"/>
  <c r="Q10" i="20" s="1"/>
  <c r="G9" i="20"/>
  <c r="G8" i="20"/>
  <c r="G7" i="20"/>
  <c r="G6" i="20"/>
  <c r="G5" i="20"/>
  <c r="G23" i="19"/>
  <c r="G22" i="19"/>
  <c r="G21" i="19"/>
  <c r="G20" i="19"/>
  <c r="G19" i="19"/>
  <c r="G18" i="19"/>
  <c r="G17" i="19"/>
  <c r="Q17" i="19" s="1"/>
  <c r="G16" i="19"/>
  <c r="G15" i="19"/>
  <c r="G14" i="19"/>
  <c r="G13" i="19"/>
  <c r="G12" i="19"/>
  <c r="G11" i="19"/>
  <c r="G10" i="19"/>
  <c r="Q10" i="19" s="1"/>
  <c r="G9" i="19"/>
  <c r="Q9" i="19" s="1"/>
  <c r="S9" i="19" s="1"/>
  <c r="G8" i="19"/>
  <c r="Q8" i="19" s="1"/>
  <c r="G7" i="19"/>
  <c r="G5" i="19"/>
  <c r="G4" i="19"/>
  <c r="Q11" i="19"/>
  <c r="Q14" i="19"/>
  <c r="Q16" i="19"/>
  <c r="Q12" i="19"/>
  <c r="Q13" i="19"/>
  <c r="Q20" i="19"/>
  <c r="Q21" i="19"/>
  <c r="Q23" i="19"/>
  <c r="Q15" i="19"/>
  <c r="Q22" i="19"/>
  <c r="V37" i="19"/>
  <c r="V34" i="19"/>
  <c r="V31" i="19"/>
  <c r="P31" i="10"/>
  <c r="P31" i="19"/>
  <c r="J8" i="10"/>
  <c r="F10" i="10"/>
  <c r="P28" i="14"/>
  <c r="E6" i="10"/>
  <c r="F6" i="10"/>
  <c r="E10" i="10"/>
  <c r="E20" i="10"/>
  <c r="F20" i="10"/>
  <c r="P4" i="3"/>
  <c r="R4" i="3" s="1"/>
  <c r="P5" i="3"/>
  <c r="Q5" i="3"/>
  <c r="P6" i="3"/>
  <c r="Q6" i="3"/>
  <c r="R7" i="3"/>
  <c r="P8" i="3"/>
  <c r="Q8" i="3"/>
  <c r="P9" i="3"/>
  <c r="Q9" i="3"/>
  <c r="R9" i="3" s="1"/>
  <c r="P10" i="3"/>
  <c r="Q10" i="3"/>
  <c r="R10" i="3"/>
  <c r="P11" i="3"/>
  <c r="Q11" i="3"/>
  <c r="R12" i="3"/>
  <c r="P13" i="3"/>
  <c r="Q13" i="3"/>
  <c r="P14" i="3"/>
  <c r="R14" i="3" s="1"/>
  <c r="Q14" i="3"/>
  <c r="R15" i="3"/>
  <c r="P16" i="3"/>
  <c r="Q16" i="3"/>
  <c r="R16" i="3" s="1"/>
  <c r="R17" i="3"/>
  <c r="P18" i="3"/>
  <c r="Q18" i="3"/>
  <c r="R18" i="3"/>
  <c r="P19" i="3"/>
  <c r="Q19" i="3"/>
  <c r="P20" i="3"/>
  <c r="Q20" i="3"/>
  <c r="P21" i="3"/>
  <c r="Q21" i="3"/>
  <c r="P22" i="3"/>
  <c r="Q22" i="3"/>
  <c r="R22" i="3" s="1"/>
  <c r="P23" i="3"/>
  <c r="Q23" i="3"/>
  <c r="R23" i="3" s="1"/>
  <c r="R24" i="3"/>
  <c r="T4" i="5"/>
  <c r="U4" i="5"/>
  <c r="V4" i="5"/>
  <c r="W4" i="5"/>
  <c r="X4" i="5"/>
  <c r="T5" i="5"/>
  <c r="U5" i="5"/>
  <c r="V5" i="5"/>
  <c r="W5" i="5"/>
  <c r="X5" i="5"/>
  <c r="T6" i="5"/>
  <c r="U6" i="5"/>
  <c r="V6" i="5"/>
  <c r="W6" i="5"/>
  <c r="X6" i="5"/>
  <c r="T7" i="5"/>
  <c r="U7" i="5"/>
  <c r="V7" i="5"/>
  <c r="W7" i="5"/>
  <c r="X7" i="5"/>
  <c r="T8" i="5"/>
  <c r="U8" i="5"/>
  <c r="V8" i="5"/>
  <c r="W8" i="5"/>
  <c r="X8" i="5"/>
  <c r="T9" i="5"/>
  <c r="U9" i="5"/>
  <c r="V9" i="5"/>
  <c r="W9" i="5"/>
  <c r="X9" i="5"/>
  <c r="T10" i="5"/>
  <c r="U10" i="5"/>
  <c r="V10" i="5"/>
  <c r="W10" i="5"/>
  <c r="X10" i="5"/>
  <c r="T11" i="5"/>
  <c r="U11" i="5"/>
  <c r="V11" i="5"/>
  <c r="W11" i="5"/>
  <c r="X11" i="5"/>
  <c r="T12" i="5"/>
  <c r="U12" i="5"/>
  <c r="V12" i="5"/>
  <c r="W12" i="5"/>
  <c r="X12" i="5"/>
  <c r="T13" i="5"/>
  <c r="U13" i="5"/>
  <c r="V13" i="5"/>
  <c r="W13" i="5"/>
  <c r="X13" i="5"/>
  <c r="T14" i="5"/>
  <c r="U14" i="5"/>
  <c r="V14" i="5"/>
  <c r="W14" i="5"/>
  <c r="X14" i="5"/>
  <c r="T15" i="5"/>
  <c r="U15" i="5"/>
  <c r="V15" i="5"/>
  <c r="W15" i="5"/>
  <c r="X15" i="5"/>
  <c r="T16" i="5"/>
  <c r="U16" i="5"/>
  <c r="V16" i="5"/>
  <c r="W16" i="5"/>
  <c r="X16" i="5"/>
  <c r="T17" i="5"/>
  <c r="U17" i="5"/>
  <c r="V17" i="5"/>
  <c r="W17" i="5"/>
  <c r="X17" i="5"/>
  <c r="T18" i="5"/>
  <c r="U18" i="5"/>
  <c r="V18" i="5"/>
  <c r="W18" i="5"/>
  <c r="X18" i="5"/>
  <c r="T19" i="5"/>
  <c r="U19" i="5"/>
  <c r="V19" i="5"/>
  <c r="W19" i="5"/>
  <c r="X19" i="5"/>
  <c r="T20" i="5"/>
  <c r="U20" i="5"/>
  <c r="V20" i="5"/>
  <c r="W20" i="5"/>
  <c r="X20" i="5"/>
  <c r="T21" i="5"/>
  <c r="U21" i="5"/>
  <c r="V21" i="5"/>
  <c r="W21" i="5"/>
  <c r="X21" i="5"/>
  <c r="T22" i="5"/>
  <c r="U22" i="5"/>
  <c r="V22" i="5"/>
  <c r="W22" i="5"/>
  <c r="X22" i="5"/>
  <c r="T23" i="5"/>
  <c r="U23" i="5"/>
  <c r="V23" i="5"/>
  <c r="W23" i="5"/>
  <c r="X23" i="5"/>
  <c r="T9" i="19"/>
  <c r="T8" i="19"/>
  <c r="R9" i="19"/>
  <c r="P9" i="19"/>
  <c r="C9" i="19"/>
  <c r="B31" i="10"/>
  <c r="H10" i="10"/>
  <c r="P9" i="20"/>
  <c r="P10" i="20"/>
  <c r="P11" i="20"/>
  <c r="P12" i="20"/>
  <c r="P13" i="20"/>
  <c r="P14" i="20"/>
  <c r="U30" i="20"/>
  <c r="V30" i="20"/>
  <c r="T30" i="20"/>
  <c r="S30" i="20"/>
  <c r="R30" i="20"/>
  <c r="Q30" i="20"/>
  <c r="P30" i="20"/>
  <c r="V28" i="20"/>
  <c r="T28" i="20"/>
  <c r="R28" i="20"/>
  <c r="Q28" i="20"/>
  <c r="P28" i="20"/>
  <c r="P23" i="20"/>
  <c r="C13" i="8"/>
  <c r="G13" i="8"/>
  <c r="P13" i="8" s="1"/>
  <c r="R13" i="8" s="1"/>
  <c r="N31" i="10"/>
  <c r="O31" i="10"/>
  <c r="P34" i="20"/>
  <c r="C6" i="19"/>
  <c r="C8" i="19"/>
  <c r="C23" i="19"/>
  <c r="C22" i="19"/>
  <c r="C21" i="19"/>
  <c r="C20" i="19"/>
  <c r="C19" i="19"/>
  <c r="C17" i="19"/>
  <c r="C16" i="19"/>
  <c r="C15" i="19"/>
  <c r="C14" i="19"/>
  <c r="C13" i="19"/>
  <c r="C12" i="19"/>
  <c r="C11" i="19"/>
  <c r="T19" i="19"/>
  <c r="R19" i="19"/>
  <c r="P19" i="19"/>
  <c r="P23" i="19"/>
  <c r="T23" i="19"/>
  <c r="R23" i="19"/>
  <c r="D8" i="10"/>
  <c r="C23" i="20"/>
  <c r="C7" i="20"/>
  <c r="R9" i="20"/>
  <c r="C9" i="20"/>
  <c r="C20" i="20"/>
  <c r="R13" i="20"/>
  <c r="C13" i="20"/>
  <c r="B6" i="10"/>
  <c r="D6" i="10"/>
  <c r="H6" i="10"/>
  <c r="I6" i="10"/>
  <c r="J6" i="10"/>
  <c r="K6" i="10"/>
  <c r="L6" i="10"/>
  <c r="M6" i="10"/>
  <c r="O6" i="10"/>
  <c r="B7" i="10"/>
  <c r="D7" i="10"/>
  <c r="E7" i="10"/>
  <c r="F7" i="10"/>
  <c r="H7" i="10"/>
  <c r="I7" i="10"/>
  <c r="J7" i="10"/>
  <c r="K7" i="10"/>
  <c r="L7" i="10"/>
  <c r="M7" i="10"/>
  <c r="O7" i="10"/>
  <c r="B8" i="10"/>
  <c r="E8" i="10"/>
  <c r="F8" i="10"/>
  <c r="H8" i="10"/>
  <c r="I8" i="10"/>
  <c r="K8" i="10"/>
  <c r="L8" i="10"/>
  <c r="M8" i="10"/>
  <c r="O8" i="10"/>
  <c r="B9" i="10"/>
  <c r="D9" i="10"/>
  <c r="E9" i="10"/>
  <c r="F9" i="10"/>
  <c r="H9" i="10"/>
  <c r="I9" i="10"/>
  <c r="J9" i="10"/>
  <c r="K9" i="10"/>
  <c r="L9" i="10"/>
  <c r="M9" i="10"/>
  <c r="O9" i="10"/>
  <c r="B10" i="10"/>
  <c r="D10" i="10"/>
  <c r="I10" i="10"/>
  <c r="J10" i="10"/>
  <c r="K10" i="10"/>
  <c r="L10" i="10"/>
  <c r="M10" i="10"/>
  <c r="O10" i="10"/>
  <c r="B13" i="10"/>
  <c r="D13" i="10"/>
  <c r="E13" i="10"/>
  <c r="F13" i="10"/>
  <c r="H13" i="10"/>
  <c r="I13" i="10"/>
  <c r="J13" i="10"/>
  <c r="K13" i="10"/>
  <c r="L13" i="10"/>
  <c r="M13" i="10"/>
  <c r="O13" i="10"/>
  <c r="B19" i="10"/>
  <c r="D19" i="10"/>
  <c r="E19" i="10"/>
  <c r="F19" i="10"/>
  <c r="H19" i="10"/>
  <c r="I19" i="10"/>
  <c r="J19" i="10"/>
  <c r="K19" i="10"/>
  <c r="L19" i="10"/>
  <c r="M19" i="10"/>
  <c r="O19" i="10"/>
  <c r="B20" i="10"/>
  <c r="H20" i="10"/>
  <c r="I20" i="10"/>
  <c r="J20" i="10"/>
  <c r="K20" i="10"/>
  <c r="L20" i="10"/>
  <c r="M20" i="10"/>
  <c r="O20" i="10"/>
  <c r="B21" i="10"/>
  <c r="D21" i="10"/>
  <c r="E21" i="10"/>
  <c r="F21" i="10"/>
  <c r="H21" i="10"/>
  <c r="I21" i="10"/>
  <c r="J21" i="10"/>
  <c r="K21" i="10"/>
  <c r="L21" i="10"/>
  <c r="M21" i="10"/>
  <c r="O21" i="10"/>
  <c r="B22" i="10"/>
  <c r="D22" i="10"/>
  <c r="E22" i="10"/>
  <c r="F22" i="10"/>
  <c r="H22" i="10"/>
  <c r="I22" i="10"/>
  <c r="J22" i="10"/>
  <c r="K22" i="10"/>
  <c r="L22" i="10"/>
  <c r="M22" i="10"/>
  <c r="O22" i="10"/>
  <c r="B12" i="10"/>
  <c r="D12" i="10"/>
  <c r="E12" i="10"/>
  <c r="F12" i="10"/>
  <c r="H12" i="10"/>
  <c r="I12" i="10"/>
  <c r="J12" i="10"/>
  <c r="K12" i="10"/>
  <c r="L12" i="10"/>
  <c r="M12" i="10"/>
  <c r="O12" i="10"/>
  <c r="B14" i="10"/>
  <c r="D14" i="10"/>
  <c r="E14" i="10"/>
  <c r="F14" i="10"/>
  <c r="H14" i="10"/>
  <c r="I14" i="10"/>
  <c r="J14" i="10"/>
  <c r="K14" i="10"/>
  <c r="L14" i="10"/>
  <c r="M14" i="10"/>
  <c r="O14" i="10"/>
  <c r="B15" i="10"/>
  <c r="D15" i="10"/>
  <c r="E15" i="10"/>
  <c r="F15" i="10"/>
  <c r="H15" i="10"/>
  <c r="I15" i="10"/>
  <c r="J15" i="10"/>
  <c r="K15" i="10"/>
  <c r="L15" i="10"/>
  <c r="M15" i="10"/>
  <c r="O15" i="10"/>
  <c r="B16" i="10"/>
  <c r="D16" i="10"/>
  <c r="E16" i="10"/>
  <c r="F16" i="10"/>
  <c r="H16" i="10"/>
  <c r="I16" i="10"/>
  <c r="J16" i="10"/>
  <c r="K16" i="10"/>
  <c r="L16" i="10"/>
  <c r="M16" i="10"/>
  <c r="O16" i="10"/>
  <c r="B17" i="10"/>
  <c r="D17" i="10"/>
  <c r="E17" i="10"/>
  <c r="F17" i="10"/>
  <c r="H17" i="10"/>
  <c r="I17" i="10"/>
  <c r="J17" i="10"/>
  <c r="K17" i="10"/>
  <c r="L17" i="10"/>
  <c r="M17" i="10"/>
  <c r="O17" i="10"/>
  <c r="B18" i="10"/>
  <c r="D18" i="10"/>
  <c r="E18" i="10"/>
  <c r="F18" i="10"/>
  <c r="H18" i="10"/>
  <c r="I18" i="10"/>
  <c r="J18" i="10"/>
  <c r="K18" i="10"/>
  <c r="L18" i="10"/>
  <c r="M18" i="10"/>
  <c r="O18" i="10"/>
  <c r="B23" i="10"/>
  <c r="D23" i="10"/>
  <c r="E23" i="10"/>
  <c r="F23" i="10"/>
  <c r="H23" i="10"/>
  <c r="I23" i="10"/>
  <c r="J23" i="10"/>
  <c r="K23" i="10"/>
  <c r="L23" i="10"/>
  <c r="M23" i="10"/>
  <c r="O23" i="10"/>
  <c r="B4" i="10"/>
  <c r="D4" i="10"/>
  <c r="E4" i="10"/>
  <c r="F4" i="10"/>
  <c r="H4" i="10"/>
  <c r="I4" i="10"/>
  <c r="J4" i="10"/>
  <c r="K4" i="10"/>
  <c r="L4" i="10"/>
  <c r="M4" i="10"/>
  <c r="O4" i="10"/>
  <c r="B5" i="10"/>
  <c r="D5" i="10"/>
  <c r="E5" i="10"/>
  <c r="F5" i="10"/>
  <c r="H5" i="10"/>
  <c r="I5" i="10"/>
  <c r="J5" i="10"/>
  <c r="K5" i="10"/>
  <c r="L5" i="10"/>
  <c r="M5" i="10"/>
  <c r="O5" i="10"/>
  <c r="B11" i="10"/>
  <c r="D11" i="10"/>
  <c r="E11" i="10"/>
  <c r="F11" i="10"/>
  <c r="H11" i="10"/>
  <c r="I11" i="10"/>
  <c r="J11" i="10"/>
  <c r="K11" i="10"/>
  <c r="L11" i="10"/>
  <c r="M11" i="10"/>
  <c r="O11" i="10"/>
  <c r="C4" i="20"/>
  <c r="G4" i="20"/>
  <c r="Q4" i="20" s="1"/>
  <c r="P4" i="20"/>
  <c r="R4" i="20"/>
  <c r="T4" i="20"/>
  <c r="C5" i="20"/>
  <c r="P5" i="20"/>
  <c r="Q5" i="20"/>
  <c r="R5" i="20"/>
  <c r="T5" i="20"/>
  <c r="C6" i="20"/>
  <c r="Q6" i="20"/>
  <c r="P6" i="20"/>
  <c r="R6" i="20"/>
  <c r="C8" i="20"/>
  <c r="Q8" i="20"/>
  <c r="P8" i="20"/>
  <c r="R8" i="20"/>
  <c r="T8" i="20"/>
  <c r="C10" i="20"/>
  <c r="R10" i="20"/>
  <c r="C11" i="20"/>
  <c r="R11" i="20"/>
  <c r="T11" i="20"/>
  <c r="C12" i="20"/>
  <c r="Q12" i="20"/>
  <c r="R12" i="20"/>
  <c r="T12" i="20"/>
  <c r="Q13" i="20"/>
  <c r="C14" i="20"/>
  <c r="R14" i="20"/>
  <c r="T14" i="20"/>
  <c r="C15" i="20"/>
  <c r="P15" i="20"/>
  <c r="Q15" i="20"/>
  <c r="R15" i="20"/>
  <c r="T15" i="20"/>
  <c r="C16" i="20"/>
  <c r="Q16" i="20"/>
  <c r="P16" i="20"/>
  <c r="R16" i="20"/>
  <c r="C17" i="20"/>
  <c r="P17" i="20"/>
  <c r="R17" i="20"/>
  <c r="T17" i="20"/>
  <c r="C18" i="20"/>
  <c r="Q18" i="20"/>
  <c r="P18" i="20"/>
  <c r="R18" i="20"/>
  <c r="T18" i="20"/>
  <c r="C19" i="20"/>
  <c r="P19" i="20"/>
  <c r="R19" i="20"/>
  <c r="T19" i="20"/>
  <c r="P20" i="20"/>
  <c r="R20" i="20"/>
  <c r="S20" i="20" s="1"/>
  <c r="C21" i="20"/>
  <c r="Q21" i="20"/>
  <c r="P21" i="20"/>
  <c r="R21" i="20"/>
  <c r="C22" i="20"/>
  <c r="Q22" i="20"/>
  <c r="P22" i="20"/>
  <c r="R22" i="20"/>
  <c r="T22" i="20"/>
  <c r="R23" i="20"/>
  <c r="T23" i="20"/>
  <c r="U28" i="20"/>
  <c r="U37" i="20"/>
  <c r="V36" i="20"/>
  <c r="T36" i="20"/>
  <c r="S36" i="20"/>
  <c r="R36" i="20"/>
  <c r="Q36" i="20"/>
  <c r="P36" i="20"/>
  <c r="U37" i="19"/>
  <c r="T37" i="19"/>
  <c r="S37" i="19"/>
  <c r="R37" i="19"/>
  <c r="Q37" i="19"/>
  <c r="P37" i="19"/>
  <c r="H28" i="10"/>
  <c r="P35" i="20"/>
  <c r="S28" i="20"/>
  <c r="V37" i="20"/>
  <c r="T37" i="20"/>
  <c r="S37" i="20"/>
  <c r="R37" i="20"/>
  <c r="Q37" i="20"/>
  <c r="P37" i="20"/>
  <c r="C36" i="5"/>
  <c r="D36" i="5"/>
  <c r="E36" i="5"/>
  <c r="F36" i="5"/>
  <c r="G36" i="5"/>
  <c r="H36" i="5"/>
  <c r="Q36" i="5" s="1"/>
  <c r="I36" i="5"/>
  <c r="J36" i="5"/>
  <c r="K36" i="5"/>
  <c r="L36" i="5"/>
  <c r="M36" i="5"/>
  <c r="N36" i="5"/>
  <c r="O36" i="5"/>
  <c r="B36" i="5"/>
  <c r="N35" i="5"/>
  <c r="O35" i="5"/>
  <c r="C35" i="5"/>
  <c r="D35" i="5"/>
  <c r="E35" i="5"/>
  <c r="F35" i="5"/>
  <c r="G35" i="5"/>
  <c r="H35" i="5"/>
  <c r="T35" i="5" s="1"/>
  <c r="I35" i="5"/>
  <c r="J35" i="5"/>
  <c r="K35" i="5"/>
  <c r="L35" i="5"/>
  <c r="M35" i="5"/>
  <c r="X36" i="5"/>
  <c r="K36" i="14"/>
  <c r="B35" i="5"/>
  <c r="C34" i="5"/>
  <c r="D34" i="5"/>
  <c r="E34" i="5"/>
  <c r="F34" i="5"/>
  <c r="G34" i="5"/>
  <c r="H34" i="5"/>
  <c r="T34" i="5" s="1"/>
  <c r="I34" i="5"/>
  <c r="J34" i="5"/>
  <c r="K34" i="5"/>
  <c r="L34" i="5"/>
  <c r="M34" i="5"/>
  <c r="N34" i="5"/>
  <c r="O34" i="5"/>
  <c r="B34" i="5"/>
  <c r="C33" i="5"/>
  <c r="D33" i="5"/>
  <c r="E33" i="5"/>
  <c r="F33" i="5"/>
  <c r="G33" i="5"/>
  <c r="H33" i="5"/>
  <c r="I33" i="5"/>
  <c r="R33" i="5" s="1"/>
  <c r="J33" i="5"/>
  <c r="K33" i="5"/>
  <c r="L33" i="5"/>
  <c r="V33" i="5" s="1"/>
  <c r="M33" i="5"/>
  <c r="T33" i="5" s="1"/>
  <c r="N33" i="5"/>
  <c r="U33" i="5" s="1"/>
  <c r="O33" i="5"/>
  <c r="P33" i="5" s="1"/>
  <c r="B33" i="5"/>
  <c r="S33" i="5" s="1"/>
  <c r="M32" i="5"/>
  <c r="N32" i="5"/>
  <c r="O32" i="5"/>
  <c r="P32" i="5" s="1"/>
  <c r="L32" i="5"/>
  <c r="Q32" i="5" s="1"/>
  <c r="I32" i="5"/>
  <c r="J32" i="5"/>
  <c r="K32" i="5"/>
  <c r="C32" i="5"/>
  <c r="D32" i="5"/>
  <c r="E32" i="5"/>
  <c r="F32" i="5"/>
  <c r="G32" i="5"/>
  <c r="H32" i="5"/>
  <c r="B32" i="5"/>
  <c r="O31" i="5"/>
  <c r="L31" i="5"/>
  <c r="M31" i="5"/>
  <c r="N31" i="5"/>
  <c r="J31" i="5"/>
  <c r="K31" i="5"/>
  <c r="Q31" i="5" s="1"/>
  <c r="H31" i="5"/>
  <c r="I31" i="5"/>
  <c r="F31" i="5"/>
  <c r="G31" i="5"/>
  <c r="C31" i="5"/>
  <c r="D31" i="5"/>
  <c r="E31" i="5"/>
  <c r="B31" i="5"/>
  <c r="S31" i="5" s="1"/>
  <c r="N29" i="5"/>
  <c r="O29" i="5"/>
  <c r="P29" i="5" s="1"/>
  <c r="K29" i="5"/>
  <c r="L29" i="5"/>
  <c r="M29" i="5"/>
  <c r="J29" i="5"/>
  <c r="H29" i="5"/>
  <c r="I29" i="5"/>
  <c r="V29" i="5" s="1"/>
  <c r="G29" i="5"/>
  <c r="E29" i="5"/>
  <c r="F29" i="5"/>
  <c r="C29" i="5"/>
  <c r="D29" i="5"/>
  <c r="B29" i="5"/>
  <c r="S29" i="5" s="1"/>
  <c r="G30" i="6"/>
  <c r="G31" i="6"/>
  <c r="G32" i="6"/>
  <c r="G33" i="6"/>
  <c r="G34" i="6"/>
  <c r="G36" i="1" s="1"/>
  <c r="G29" i="6"/>
  <c r="G30" i="7"/>
  <c r="G31" i="7"/>
  <c r="G32" i="7"/>
  <c r="G33" i="7"/>
  <c r="G34" i="7"/>
  <c r="G29" i="7"/>
  <c r="G30" i="8"/>
  <c r="G31" i="8"/>
  <c r="G32" i="8"/>
  <c r="G33" i="8"/>
  <c r="G36" i="8" s="1"/>
  <c r="G34" i="8"/>
  <c r="G35" i="8"/>
  <c r="G29" i="8"/>
  <c r="X34" i="5"/>
  <c r="X35" i="5"/>
  <c r="X30" i="3"/>
  <c r="X32" i="3"/>
  <c r="X33" i="3"/>
  <c r="X35" i="3"/>
  <c r="X36" i="3"/>
  <c r="X29" i="3"/>
  <c r="U34" i="19"/>
  <c r="T34" i="19"/>
  <c r="S34" i="19"/>
  <c r="R34" i="19"/>
  <c r="Q34" i="19"/>
  <c r="P34" i="19"/>
  <c r="U31" i="19"/>
  <c r="T31" i="19"/>
  <c r="S31" i="19"/>
  <c r="R31" i="19"/>
  <c r="Q31" i="19"/>
  <c r="C10" i="3"/>
  <c r="K28" i="10"/>
  <c r="V33" i="20"/>
  <c r="T33" i="20"/>
  <c r="S33" i="20"/>
  <c r="R33" i="20"/>
  <c r="Q33" i="20"/>
  <c r="P33" i="20"/>
  <c r="V32" i="20"/>
  <c r="T32" i="20"/>
  <c r="S32" i="20"/>
  <c r="R32" i="20"/>
  <c r="Q32" i="20"/>
  <c r="P32" i="20"/>
  <c r="V35" i="20"/>
  <c r="U35" i="20"/>
  <c r="T35" i="20"/>
  <c r="S35" i="20"/>
  <c r="R35" i="20"/>
  <c r="Q35" i="2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B35" i="10"/>
  <c r="S7" i="19"/>
  <c r="S5" i="19"/>
  <c r="S4" i="19"/>
  <c r="G6" i="19"/>
  <c r="Q6" i="19" s="1"/>
  <c r="P6" i="19"/>
  <c r="R6" i="19"/>
  <c r="P8" i="19"/>
  <c r="R8" i="19"/>
  <c r="C10" i="19"/>
  <c r="P10" i="19"/>
  <c r="R10" i="19"/>
  <c r="P11" i="19"/>
  <c r="R11" i="19"/>
  <c r="P12" i="19"/>
  <c r="R12" i="19"/>
  <c r="P13" i="19"/>
  <c r="R13" i="19"/>
  <c r="P14" i="19"/>
  <c r="R14" i="19"/>
  <c r="P15" i="19"/>
  <c r="R15" i="19"/>
  <c r="P16" i="19"/>
  <c r="R16" i="19"/>
  <c r="P17" i="19"/>
  <c r="R17" i="19"/>
  <c r="C18" i="19"/>
  <c r="P18" i="19"/>
  <c r="R18" i="19"/>
  <c r="P20" i="19"/>
  <c r="R20" i="19"/>
  <c r="P21" i="19"/>
  <c r="R21" i="19"/>
  <c r="P22" i="19"/>
  <c r="R22" i="19"/>
  <c r="O37" i="10"/>
  <c r="N37" i="10"/>
  <c r="M37" i="10"/>
  <c r="L37" i="10"/>
  <c r="K37" i="10"/>
  <c r="J37" i="10"/>
  <c r="I37" i="10"/>
  <c r="H37" i="10"/>
  <c r="O36" i="10"/>
  <c r="N36" i="10"/>
  <c r="M36" i="10"/>
  <c r="L36" i="10"/>
  <c r="K36" i="10"/>
  <c r="J36" i="10"/>
  <c r="I36" i="10"/>
  <c r="H36" i="10"/>
  <c r="O34" i="10"/>
  <c r="N34" i="10"/>
  <c r="M34" i="10"/>
  <c r="L34" i="10"/>
  <c r="K34" i="10"/>
  <c r="J34" i="10"/>
  <c r="I34" i="10"/>
  <c r="H34" i="10"/>
  <c r="O33" i="10"/>
  <c r="N33" i="10"/>
  <c r="M33" i="10"/>
  <c r="L33" i="10"/>
  <c r="K33" i="10"/>
  <c r="J33" i="10"/>
  <c r="I33" i="10"/>
  <c r="H33" i="10"/>
  <c r="M31" i="10"/>
  <c r="L31" i="10"/>
  <c r="K31" i="10"/>
  <c r="J31" i="10"/>
  <c r="I31" i="10"/>
  <c r="H31" i="10"/>
  <c r="O30" i="10"/>
  <c r="N30" i="10"/>
  <c r="M30" i="10"/>
  <c r="L30" i="10"/>
  <c r="K30" i="10"/>
  <c r="J30" i="10"/>
  <c r="I30" i="10"/>
  <c r="H30" i="10"/>
  <c r="O29" i="10"/>
  <c r="N29" i="10"/>
  <c r="M29" i="10"/>
  <c r="L29" i="10"/>
  <c r="K29" i="10"/>
  <c r="J29" i="10"/>
  <c r="I29" i="10"/>
  <c r="H29" i="10"/>
  <c r="O28" i="10"/>
  <c r="N28" i="10"/>
  <c r="M28" i="10"/>
  <c r="L28" i="10"/>
  <c r="J28" i="10"/>
  <c r="I28" i="10"/>
  <c r="C28" i="10"/>
  <c r="D28" i="10"/>
  <c r="E28" i="10"/>
  <c r="F28" i="10"/>
  <c r="G28" i="10"/>
  <c r="C29" i="10"/>
  <c r="D29" i="10"/>
  <c r="E29" i="10"/>
  <c r="F29" i="10"/>
  <c r="G29" i="10"/>
  <c r="C30" i="10"/>
  <c r="D30" i="10"/>
  <c r="E30" i="10"/>
  <c r="F30" i="10"/>
  <c r="G30" i="10"/>
  <c r="C31" i="10"/>
  <c r="D31" i="10"/>
  <c r="E31" i="10"/>
  <c r="F31" i="10"/>
  <c r="G31" i="10"/>
  <c r="C33" i="10"/>
  <c r="D33" i="10"/>
  <c r="E33" i="10"/>
  <c r="F33" i="10"/>
  <c r="G33" i="10"/>
  <c r="C34" i="10"/>
  <c r="D34" i="10"/>
  <c r="E34" i="10"/>
  <c r="F34" i="10"/>
  <c r="C36" i="10"/>
  <c r="D36" i="10"/>
  <c r="E36" i="10"/>
  <c r="F36" i="10"/>
  <c r="G36" i="10"/>
  <c r="C37" i="10"/>
  <c r="D37" i="10"/>
  <c r="E37" i="10"/>
  <c r="F37" i="10"/>
  <c r="B37" i="10"/>
  <c r="B29" i="10"/>
  <c r="B30" i="10"/>
  <c r="B33" i="10"/>
  <c r="B34" i="10"/>
  <c r="B36" i="10"/>
  <c r="B28" i="10"/>
  <c r="T6" i="19"/>
  <c r="T10" i="19"/>
  <c r="T11" i="19"/>
  <c r="T12" i="19"/>
  <c r="T13" i="19"/>
  <c r="T14" i="19"/>
  <c r="T15" i="19"/>
  <c r="T16" i="19"/>
  <c r="T17" i="19"/>
  <c r="T18" i="19"/>
  <c r="T20" i="19"/>
  <c r="T21" i="19"/>
  <c r="T22" i="19"/>
  <c r="C4" i="3"/>
  <c r="C5" i="3"/>
  <c r="C6" i="3"/>
  <c r="T24" i="3" s="1"/>
  <c r="C8" i="3"/>
  <c r="C9" i="3"/>
  <c r="C11" i="3"/>
  <c r="C13" i="3"/>
  <c r="C14" i="3"/>
  <c r="C16" i="3"/>
  <c r="C18" i="3"/>
  <c r="C19" i="3"/>
  <c r="T19" i="3" s="1"/>
  <c r="C20" i="3"/>
  <c r="C21" i="3"/>
  <c r="C22" i="3"/>
  <c r="C23" i="3"/>
  <c r="O38" i="20"/>
  <c r="N38" i="20"/>
  <c r="M38" i="20"/>
  <c r="L38" i="20"/>
  <c r="K38" i="20"/>
  <c r="J38" i="20"/>
  <c r="I38" i="20"/>
  <c r="H38" i="20"/>
  <c r="S38" i="20" s="1"/>
  <c r="G38" i="20"/>
  <c r="F38" i="20"/>
  <c r="E38" i="20"/>
  <c r="D38" i="20"/>
  <c r="C38" i="20"/>
  <c r="W24" i="20"/>
  <c r="O24" i="20"/>
  <c r="N24" i="20"/>
  <c r="M24" i="20"/>
  <c r="L24" i="20"/>
  <c r="K24" i="20"/>
  <c r="J24" i="20"/>
  <c r="I24" i="20"/>
  <c r="H24" i="20"/>
  <c r="F24" i="20"/>
  <c r="E24" i="20"/>
  <c r="D24" i="20"/>
  <c r="O38" i="19"/>
  <c r="N38" i="19"/>
  <c r="M38" i="19"/>
  <c r="L38" i="19"/>
  <c r="K38" i="19"/>
  <c r="J38" i="19"/>
  <c r="I38" i="19"/>
  <c r="H38" i="19"/>
  <c r="S38" i="19" s="1"/>
  <c r="G38" i="19"/>
  <c r="F38" i="19"/>
  <c r="E38" i="19"/>
  <c r="D38" i="19"/>
  <c r="C38" i="19"/>
  <c r="W24" i="19"/>
  <c r="O24" i="19"/>
  <c r="N24" i="19"/>
  <c r="M24" i="19"/>
  <c r="L24" i="19"/>
  <c r="K24" i="19"/>
  <c r="J24" i="19"/>
  <c r="I24" i="19"/>
  <c r="H24" i="19"/>
  <c r="F24" i="19"/>
  <c r="E24" i="19"/>
  <c r="D24" i="19"/>
  <c r="Q10" i="13"/>
  <c r="O21" i="17"/>
  <c r="N21" i="17"/>
  <c r="M21" i="17"/>
  <c r="L21" i="17"/>
  <c r="K21" i="17"/>
  <c r="J21" i="17"/>
  <c r="I21" i="17"/>
  <c r="H21" i="17"/>
  <c r="G21" i="17"/>
  <c r="F21" i="17"/>
  <c r="E21" i="17"/>
  <c r="D21" i="17"/>
  <c r="B21" i="17"/>
  <c r="V29" i="14"/>
  <c r="T29" i="14"/>
  <c r="S29" i="14"/>
  <c r="R29" i="14"/>
  <c r="Q29" i="14"/>
  <c r="V36" i="3"/>
  <c r="U36" i="3"/>
  <c r="T36" i="3"/>
  <c r="S36" i="3"/>
  <c r="R36" i="3"/>
  <c r="Q36" i="3"/>
  <c r="V35" i="3"/>
  <c r="U35" i="3"/>
  <c r="T35" i="3"/>
  <c r="S35" i="3"/>
  <c r="R35" i="3"/>
  <c r="Q35" i="3"/>
  <c r="V33" i="3"/>
  <c r="U33" i="3"/>
  <c r="T33" i="3"/>
  <c r="S33" i="3"/>
  <c r="R33" i="3"/>
  <c r="Q33" i="3"/>
  <c r="V32" i="3"/>
  <c r="U32" i="3"/>
  <c r="T32" i="3"/>
  <c r="S32" i="3"/>
  <c r="R32" i="3"/>
  <c r="Q32" i="3"/>
  <c r="U35" i="5"/>
  <c r="U32" i="5"/>
  <c r="S32" i="5"/>
  <c r="R32" i="5"/>
  <c r="T31" i="5"/>
  <c r="T29" i="5"/>
  <c r="Q29" i="5"/>
  <c r="W23" i="10"/>
  <c r="W22" i="10"/>
  <c r="W21" i="10"/>
  <c r="W20" i="10"/>
  <c r="W19" i="10"/>
  <c r="W18" i="10"/>
  <c r="W17" i="10"/>
  <c r="W16" i="10"/>
  <c r="W15" i="10"/>
  <c r="W14" i="10"/>
  <c r="W13" i="10"/>
  <c r="W12" i="10"/>
  <c r="W11" i="10"/>
  <c r="W10" i="10"/>
  <c r="W9" i="10"/>
  <c r="W8" i="10"/>
  <c r="W7" i="10"/>
  <c r="W6" i="10"/>
  <c r="W5" i="10"/>
  <c r="W4" i="10"/>
  <c r="F33" i="14"/>
  <c r="N18" i="14"/>
  <c r="R18" i="14" s="1"/>
  <c r="N20" i="14"/>
  <c r="W24" i="14"/>
  <c r="N4" i="14"/>
  <c r="T4" i="14" s="1"/>
  <c r="S31" i="13"/>
  <c r="W24" i="13"/>
  <c r="N5" i="14"/>
  <c r="T5" i="14" s="1"/>
  <c r="N6" i="14"/>
  <c r="N7" i="14"/>
  <c r="T7" i="14" s="1"/>
  <c r="N8" i="14"/>
  <c r="N9" i="14"/>
  <c r="N6" i="10" s="1"/>
  <c r="N10" i="14"/>
  <c r="N11" i="14"/>
  <c r="T11" i="14" s="1"/>
  <c r="N12" i="14"/>
  <c r="N4" i="10" s="1"/>
  <c r="N13" i="14"/>
  <c r="N14" i="14"/>
  <c r="N15" i="14"/>
  <c r="N15" i="10" s="1"/>
  <c r="N16" i="14"/>
  <c r="N17" i="14"/>
  <c r="N19" i="14"/>
  <c r="R19" i="14" s="1"/>
  <c r="N21" i="14"/>
  <c r="N13" i="10" s="1"/>
  <c r="N22" i="14"/>
  <c r="N23" i="14"/>
  <c r="T23" i="14" s="1"/>
  <c r="Q5" i="14"/>
  <c r="Q6" i="14"/>
  <c r="Q7" i="14"/>
  <c r="Q11" i="14"/>
  <c r="Q12" i="14"/>
  <c r="Q13" i="14"/>
  <c r="Q14" i="14"/>
  <c r="Q15" i="14"/>
  <c r="Q19" i="14"/>
  <c r="Q20" i="14"/>
  <c r="Q21" i="14"/>
  <c r="Q22" i="14"/>
  <c r="Q23" i="14"/>
  <c r="G4" i="14"/>
  <c r="O36" i="14"/>
  <c r="N36" i="14"/>
  <c r="M36" i="14"/>
  <c r="L36" i="14"/>
  <c r="J36" i="14"/>
  <c r="I36" i="14"/>
  <c r="H36" i="14"/>
  <c r="F36" i="14"/>
  <c r="E36" i="14"/>
  <c r="D36" i="14"/>
  <c r="C36" i="14"/>
  <c r="V35" i="14"/>
  <c r="U35" i="14"/>
  <c r="T35" i="14"/>
  <c r="S35" i="14"/>
  <c r="R35" i="14"/>
  <c r="Q35" i="14"/>
  <c r="P35" i="14"/>
  <c r="V34" i="14"/>
  <c r="U34" i="14"/>
  <c r="T34" i="14"/>
  <c r="S34" i="14"/>
  <c r="R34" i="14"/>
  <c r="Q34" i="14"/>
  <c r="P34" i="14"/>
  <c r="V33" i="14"/>
  <c r="U33" i="14"/>
  <c r="T33" i="14"/>
  <c r="S33" i="14"/>
  <c r="R33" i="14"/>
  <c r="Q33" i="14"/>
  <c r="P33" i="14"/>
  <c r="V32" i="14"/>
  <c r="U32" i="14"/>
  <c r="T32" i="14"/>
  <c r="S32" i="14"/>
  <c r="R32" i="14"/>
  <c r="Q32" i="14"/>
  <c r="P32" i="14"/>
  <c r="V31" i="14"/>
  <c r="U31" i="14"/>
  <c r="T31" i="14"/>
  <c r="S31" i="14"/>
  <c r="R31" i="14"/>
  <c r="Q31" i="14"/>
  <c r="P31" i="14"/>
  <c r="V30" i="14"/>
  <c r="T30" i="14"/>
  <c r="S30" i="14"/>
  <c r="R30" i="14"/>
  <c r="Q30" i="14"/>
  <c r="P30" i="14"/>
  <c r="V28" i="14"/>
  <c r="U28" i="14"/>
  <c r="T28" i="14"/>
  <c r="S28" i="14"/>
  <c r="R28" i="14"/>
  <c r="Q28" i="14"/>
  <c r="O24" i="14"/>
  <c r="M24" i="14"/>
  <c r="L24" i="14"/>
  <c r="K24" i="14"/>
  <c r="J24" i="14"/>
  <c r="I24" i="14"/>
  <c r="H24" i="14"/>
  <c r="F24" i="14"/>
  <c r="E24" i="14"/>
  <c r="D24" i="14"/>
  <c r="P23" i="14"/>
  <c r="C23" i="14"/>
  <c r="P22" i="14"/>
  <c r="C22" i="14"/>
  <c r="P21" i="14"/>
  <c r="C21" i="14"/>
  <c r="P20" i="14"/>
  <c r="C20" i="14"/>
  <c r="P19" i="14"/>
  <c r="C19" i="14"/>
  <c r="P18" i="14"/>
  <c r="C18" i="14"/>
  <c r="P17" i="14"/>
  <c r="C17" i="14"/>
  <c r="P16" i="14"/>
  <c r="C16" i="14"/>
  <c r="P15" i="14"/>
  <c r="C15" i="14"/>
  <c r="P14" i="14"/>
  <c r="C14" i="14"/>
  <c r="P13" i="14"/>
  <c r="C13" i="14"/>
  <c r="P12" i="14"/>
  <c r="C12" i="14"/>
  <c r="P11" i="14"/>
  <c r="C11" i="14"/>
  <c r="P10" i="14"/>
  <c r="C10" i="14"/>
  <c r="P9" i="14"/>
  <c r="C9" i="14"/>
  <c r="P8" i="14"/>
  <c r="C8" i="14"/>
  <c r="P7" i="14"/>
  <c r="C7" i="14"/>
  <c r="P6" i="14"/>
  <c r="C6" i="14"/>
  <c r="P5" i="14"/>
  <c r="C5" i="14"/>
  <c r="P4" i="14"/>
  <c r="C4" i="14"/>
  <c r="P31" i="13"/>
  <c r="Q31" i="13"/>
  <c r="R31" i="13"/>
  <c r="T31" i="13"/>
  <c r="U31" i="13"/>
  <c r="V31" i="13"/>
  <c r="Q33" i="13"/>
  <c r="R33" i="13"/>
  <c r="S33" i="13"/>
  <c r="T33" i="13"/>
  <c r="U33" i="13"/>
  <c r="V33" i="13"/>
  <c r="Q35" i="13"/>
  <c r="R35" i="13"/>
  <c r="S35" i="13"/>
  <c r="T35" i="13"/>
  <c r="U35" i="13"/>
  <c r="V35" i="13"/>
  <c r="T23" i="13"/>
  <c r="T22" i="13"/>
  <c r="T21" i="13"/>
  <c r="T20" i="13"/>
  <c r="T19" i="13"/>
  <c r="T18" i="13"/>
  <c r="T17" i="13"/>
  <c r="T16" i="13"/>
  <c r="T15" i="13"/>
  <c r="T14" i="13"/>
  <c r="T13" i="13"/>
  <c r="T12" i="13"/>
  <c r="T11" i="13"/>
  <c r="T10" i="13"/>
  <c r="T8" i="13"/>
  <c r="T6" i="13"/>
  <c r="T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8" i="13"/>
  <c r="P7" i="13"/>
  <c r="P6" i="13"/>
  <c r="P4" i="13"/>
  <c r="R23" i="13"/>
  <c r="R22" i="13"/>
  <c r="R21" i="13"/>
  <c r="R20" i="13"/>
  <c r="R19" i="13"/>
  <c r="R18" i="13"/>
  <c r="R17" i="13"/>
  <c r="R16" i="13"/>
  <c r="R15" i="13"/>
  <c r="R14" i="13"/>
  <c r="R13" i="13"/>
  <c r="R12" i="13"/>
  <c r="R11" i="13"/>
  <c r="R10" i="13"/>
  <c r="R8" i="13"/>
  <c r="R7" i="13"/>
  <c r="R4" i="13"/>
  <c r="R6" i="13"/>
  <c r="C4" i="13"/>
  <c r="O36" i="13"/>
  <c r="N36" i="13"/>
  <c r="M36" i="13"/>
  <c r="L36" i="13"/>
  <c r="K36" i="13"/>
  <c r="J36" i="13"/>
  <c r="I36" i="13"/>
  <c r="H36" i="13"/>
  <c r="S36" i="13" s="1"/>
  <c r="F36" i="13"/>
  <c r="E36" i="13"/>
  <c r="D36" i="13"/>
  <c r="C36" i="13"/>
  <c r="P35" i="13"/>
  <c r="P33" i="13"/>
  <c r="O24" i="13"/>
  <c r="N24" i="13"/>
  <c r="M24" i="13"/>
  <c r="L24" i="13"/>
  <c r="K24" i="13"/>
  <c r="J24" i="13"/>
  <c r="I24" i="13"/>
  <c r="H24" i="13"/>
  <c r="F24" i="13"/>
  <c r="E24" i="13"/>
  <c r="D24" i="13"/>
  <c r="Q23" i="13"/>
  <c r="C23" i="13"/>
  <c r="Q22" i="13"/>
  <c r="C22" i="13"/>
  <c r="Q21" i="13"/>
  <c r="C21" i="13"/>
  <c r="Q20" i="13"/>
  <c r="C20" i="13"/>
  <c r="C19" i="13"/>
  <c r="Q18" i="13"/>
  <c r="C18" i="13"/>
  <c r="Q17" i="13"/>
  <c r="C17" i="13"/>
  <c r="C16" i="13"/>
  <c r="Q15" i="13"/>
  <c r="C15" i="13"/>
  <c r="Q14" i="13"/>
  <c r="C14" i="13"/>
  <c r="Q13" i="13"/>
  <c r="C13" i="13"/>
  <c r="Q12" i="13"/>
  <c r="C12" i="13"/>
  <c r="C11" i="13"/>
  <c r="C10" i="13"/>
  <c r="C8" i="13"/>
  <c r="Q6" i="13"/>
  <c r="C6" i="13"/>
  <c r="G4" i="13"/>
  <c r="Q4" i="13" s="1"/>
  <c r="U36" i="1"/>
  <c r="U35" i="1"/>
  <c r="R24" i="8"/>
  <c r="R23" i="8"/>
  <c r="R22" i="8"/>
  <c r="R21" i="8"/>
  <c r="R20" i="8"/>
  <c r="R19" i="8"/>
  <c r="R18" i="8"/>
  <c r="R17" i="8"/>
  <c r="R16" i="8"/>
  <c r="R15" i="8"/>
  <c r="R14" i="8"/>
  <c r="R12" i="8"/>
  <c r="R11" i="8"/>
  <c r="R10" i="8"/>
  <c r="R9" i="8"/>
  <c r="R8" i="8"/>
  <c r="R7" i="8"/>
  <c r="R6" i="8"/>
  <c r="R5" i="8"/>
  <c r="R4" i="8"/>
  <c r="R24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R10" i="7"/>
  <c r="R9" i="7"/>
  <c r="R8" i="7"/>
  <c r="R7" i="7"/>
  <c r="R6" i="7"/>
  <c r="R5" i="7"/>
  <c r="R4" i="7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R4" i="6"/>
  <c r="I5" i="1"/>
  <c r="J5" i="1"/>
  <c r="O17" i="1"/>
  <c r="F6" i="1"/>
  <c r="K9" i="1"/>
  <c r="G18" i="1"/>
  <c r="O18" i="1"/>
  <c r="E14" i="1"/>
  <c r="H14" i="1"/>
  <c r="I14" i="1"/>
  <c r="K14" i="1"/>
  <c r="M14" i="1"/>
  <c r="D15" i="1"/>
  <c r="E15" i="1"/>
  <c r="F15" i="1"/>
  <c r="G15" i="1"/>
  <c r="I13" i="1"/>
  <c r="J13" i="1"/>
  <c r="M15" i="1"/>
  <c r="N15" i="1"/>
  <c r="O15" i="1"/>
  <c r="E7" i="1"/>
  <c r="M7" i="1"/>
  <c r="N7" i="1"/>
  <c r="P11" i="8"/>
  <c r="P23" i="8"/>
  <c r="P5" i="8"/>
  <c r="G5" i="8"/>
  <c r="G6" i="8"/>
  <c r="P6" i="8" s="1"/>
  <c r="G7" i="8"/>
  <c r="G8" i="8"/>
  <c r="P8" i="8" s="1"/>
  <c r="G9" i="8"/>
  <c r="P9" i="8" s="1"/>
  <c r="G10" i="8"/>
  <c r="P10" i="8" s="1"/>
  <c r="G11" i="8"/>
  <c r="G12" i="8"/>
  <c r="P12" i="8" s="1"/>
  <c r="G14" i="8"/>
  <c r="G15" i="8"/>
  <c r="P15" i="8" s="1"/>
  <c r="G16" i="8"/>
  <c r="P16" i="8" s="1"/>
  <c r="G17" i="8"/>
  <c r="P17" i="8" s="1"/>
  <c r="G18" i="8"/>
  <c r="P18" i="8" s="1"/>
  <c r="G19" i="8"/>
  <c r="P19" i="8" s="1"/>
  <c r="G20" i="8"/>
  <c r="P20" i="8" s="1"/>
  <c r="G21" i="8"/>
  <c r="P21" i="8" s="1"/>
  <c r="G22" i="8"/>
  <c r="P22" i="8" s="1"/>
  <c r="G23" i="8"/>
  <c r="G24" i="8"/>
  <c r="G4" i="8"/>
  <c r="E25" i="8"/>
  <c r="F25" i="8"/>
  <c r="H25" i="8"/>
  <c r="I25" i="8"/>
  <c r="J25" i="8"/>
  <c r="P5" i="7"/>
  <c r="P6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4" i="7"/>
  <c r="G5" i="7"/>
  <c r="G6" i="7"/>
  <c r="E25" i="7"/>
  <c r="F25" i="7"/>
  <c r="H25" i="7"/>
  <c r="I25" i="7"/>
  <c r="J25" i="7"/>
  <c r="P5" i="6"/>
  <c r="P6" i="6"/>
  <c r="P7" i="6"/>
  <c r="P8" i="6"/>
  <c r="P9" i="6"/>
  <c r="P10" i="6"/>
  <c r="P11" i="6"/>
  <c r="P13" i="6"/>
  <c r="P14" i="6"/>
  <c r="P15" i="6"/>
  <c r="P16" i="6"/>
  <c r="P18" i="6"/>
  <c r="P19" i="6"/>
  <c r="P20" i="6"/>
  <c r="P21" i="6"/>
  <c r="P22" i="6"/>
  <c r="P23" i="6"/>
  <c r="E25" i="6"/>
  <c r="F25" i="6"/>
  <c r="G25" i="6"/>
  <c r="H25" i="6"/>
  <c r="I25" i="6"/>
  <c r="J25" i="6"/>
  <c r="D25" i="6"/>
  <c r="O25" i="3"/>
  <c r="N25" i="3"/>
  <c r="M25" i="3"/>
  <c r="L25" i="3"/>
  <c r="K25" i="3"/>
  <c r="J25" i="3"/>
  <c r="I25" i="3"/>
  <c r="H25" i="3"/>
  <c r="G25" i="3"/>
  <c r="F25" i="3"/>
  <c r="E25" i="3"/>
  <c r="D25" i="3"/>
  <c r="P36" i="3"/>
  <c r="I37" i="3"/>
  <c r="C37" i="3"/>
  <c r="E25" i="4"/>
  <c r="F25" i="4"/>
  <c r="G25" i="4"/>
  <c r="H25" i="4"/>
  <c r="I25" i="4"/>
  <c r="J25" i="4"/>
  <c r="D25" i="4"/>
  <c r="P5" i="4"/>
  <c r="P6" i="4"/>
  <c r="P8" i="4"/>
  <c r="P9" i="4"/>
  <c r="R9" i="4" s="1"/>
  <c r="P10" i="4"/>
  <c r="R10" i="4" s="1"/>
  <c r="P11" i="4"/>
  <c r="P13" i="4"/>
  <c r="P14" i="4"/>
  <c r="P16" i="4"/>
  <c r="R17" i="4"/>
  <c r="P18" i="4"/>
  <c r="P19" i="4"/>
  <c r="P20" i="4"/>
  <c r="P21" i="4"/>
  <c r="P22" i="4"/>
  <c r="P23" i="4"/>
  <c r="P4" i="4"/>
  <c r="R5" i="4"/>
  <c r="R6" i="4"/>
  <c r="R7" i="4"/>
  <c r="R8" i="4"/>
  <c r="R11" i="4"/>
  <c r="R12" i="4"/>
  <c r="R13" i="4"/>
  <c r="R14" i="4"/>
  <c r="R15" i="4"/>
  <c r="R16" i="4"/>
  <c r="R18" i="4"/>
  <c r="R19" i="4"/>
  <c r="R20" i="4"/>
  <c r="R21" i="4"/>
  <c r="R22" i="4"/>
  <c r="R23" i="4"/>
  <c r="R24" i="4"/>
  <c r="R4" i="4"/>
  <c r="O36" i="8"/>
  <c r="N36" i="8"/>
  <c r="M36" i="8"/>
  <c r="L36" i="8"/>
  <c r="K36" i="8"/>
  <c r="J36" i="8"/>
  <c r="I36" i="8"/>
  <c r="H36" i="8"/>
  <c r="F36" i="8"/>
  <c r="E36" i="8"/>
  <c r="D36" i="8"/>
  <c r="C36" i="8"/>
  <c r="P35" i="8"/>
  <c r="P34" i="8"/>
  <c r="P33" i="8"/>
  <c r="P32" i="8"/>
  <c r="P31" i="8"/>
  <c r="P29" i="8"/>
  <c r="O25" i="8"/>
  <c r="N25" i="8"/>
  <c r="M25" i="8"/>
  <c r="L25" i="8"/>
  <c r="K25" i="8"/>
  <c r="D25" i="8"/>
  <c r="C24" i="8"/>
  <c r="C23" i="8"/>
  <c r="C22" i="8"/>
  <c r="C21" i="8"/>
  <c r="C20" i="8"/>
  <c r="C19" i="8"/>
  <c r="C18" i="8"/>
  <c r="C17" i="8"/>
  <c r="C16" i="8"/>
  <c r="C15" i="8"/>
  <c r="C12" i="8"/>
  <c r="C11" i="8"/>
  <c r="C10" i="8"/>
  <c r="C9" i="8"/>
  <c r="C8" i="8"/>
  <c r="C6" i="8"/>
  <c r="C5" i="8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P34" i="7"/>
  <c r="P32" i="7"/>
  <c r="P31" i="7"/>
  <c r="P30" i="7"/>
  <c r="P29" i="7"/>
  <c r="O25" i="7"/>
  <c r="N25" i="7"/>
  <c r="M25" i="7"/>
  <c r="L25" i="7"/>
  <c r="K25" i="7"/>
  <c r="D25" i="7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P34" i="6"/>
  <c r="P33" i="6"/>
  <c r="P32" i="6"/>
  <c r="P31" i="6"/>
  <c r="P30" i="6"/>
  <c r="P29" i="6"/>
  <c r="O25" i="6"/>
  <c r="N25" i="6"/>
  <c r="M25" i="6"/>
  <c r="L25" i="6"/>
  <c r="K25" i="6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P34" i="4"/>
  <c r="P33" i="4"/>
  <c r="P32" i="4"/>
  <c r="P31" i="4"/>
  <c r="O25" i="4"/>
  <c r="N25" i="4"/>
  <c r="M25" i="4"/>
  <c r="L25" i="4"/>
  <c r="K25" i="4"/>
  <c r="O37" i="3"/>
  <c r="N37" i="3"/>
  <c r="M37" i="3"/>
  <c r="L37" i="3"/>
  <c r="K37" i="3"/>
  <c r="J37" i="3"/>
  <c r="H37" i="3"/>
  <c r="G37" i="3"/>
  <c r="F37" i="3"/>
  <c r="E37" i="3"/>
  <c r="D37" i="3"/>
  <c r="P33" i="3"/>
  <c r="P35" i="3"/>
  <c r="P32" i="3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34" i="1"/>
  <c r="N34" i="1"/>
  <c r="M34" i="1"/>
  <c r="T34" i="1" s="1"/>
  <c r="L34" i="1"/>
  <c r="K34" i="1"/>
  <c r="J34" i="1"/>
  <c r="I34" i="1"/>
  <c r="R34" i="1" s="1"/>
  <c r="G34" i="1"/>
  <c r="F34" i="1"/>
  <c r="E34" i="1"/>
  <c r="D34" i="1"/>
  <c r="C34" i="1"/>
  <c r="B34" i="1"/>
  <c r="S34" i="1" s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O29" i="1"/>
  <c r="P29" i="1" s="1"/>
  <c r="N29" i="1"/>
  <c r="M29" i="1"/>
  <c r="T29" i="1" s="1"/>
  <c r="L29" i="1"/>
  <c r="K29" i="1"/>
  <c r="J29" i="1"/>
  <c r="I29" i="1"/>
  <c r="R29" i="1" s="1"/>
  <c r="G29" i="1"/>
  <c r="F29" i="1"/>
  <c r="E29" i="1"/>
  <c r="D29" i="1"/>
  <c r="C29" i="1"/>
  <c r="B29" i="1"/>
  <c r="S29" i="1" s="1"/>
  <c r="O31" i="1"/>
  <c r="U31" i="1" s="1"/>
  <c r="N31" i="1"/>
  <c r="M31" i="1"/>
  <c r="T31" i="1" s="1"/>
  <c r="L31" i="1"/>
  <c r="K31" i="1"/>
  <c r="J31" i="1"/>
  <c r="I31" i="1"/>
  <c r="R31" i="1" s="1"/>
  <c r="G31" i="1"/>
  <c r="F31" i="1"/>
  <c r="E31" i="1"/>
  <c r="D31" i="1"/>
  <c r="C31" i="1"/>
  <c r="B31" i="1"/>
  <c r="S31" i="1" s="1"/>
  <c r="O33" i="1"/>
  <c r="P33" i="1" s="1"/>
  <c r="N33" i="1"/>
  <c r="M33" i="1"/>
  <c r="T33" i="1" s="1"/>
  <c r="L33" i="1"/>
  <c r="K33" i="1"/>
  <c r="J33" i="1"/>
  <c r="I33" i="1"/>
  <c r="G33" i="1"/>
  <c r="F33" i="1"/>
  <c r="E33" i="1"/>
  <c r="D33" i="1"/>
  <c r="C33" i="1"/>
  <c r="B33" i="1"/>
  <c r="S33" i="1" s="1"/>
  <c r="O32" i="1"/>
  <c r="U32" i="1" s="1"/>
  <c r="N32" i="1"/>
  <c r="M32" i="1"/>
  <c r="T32" i="1" s="1"/>
  <c r="L32" i="1"/>
  <c r="K32" i="1"/>
  <c r="J32" i="1"/>
  <c r="I32" i="1"/>
  <c r="R32" i="1" s="1"/>
  <c r="G32" i="1"/>
  <c r="F32" i="1"/>
  <c r="E32" i="1"/>
  <c r="D32" i="1"/>
  <c r="C32" i="1"/>
  <c r="B32" i="1"/>
  <c r="S32" i="1" s="1"/>
  <c r="O36" i="1"/>
  <c r="N36" i="1"/>
  <c r="M36" i="1"/>
  <c r="L36" i="1"/>
  <c r="K36" i="1"/>
  <c r="J36" i="1"/>
  <c r="I36" i="1"/>
  <c r="H36" i="1"/>
  <c r="F36" i="1"/>
  <c r="E36" i="1"/>
  <c r="D36" i="1"/>
  <c r="C36" i="1"/>
  <c r="B36" i="1"/>
  <c r="R31" i="27" l="1"/>
  <c r="S31" i="27"/>
  <c r="T31" i="27"/>
  <c r="Q31" i="27"/>
  <c r="V14" i="28"/>
  <c r="V17" i="28"/>
  <c r="V11" i="28"/>
  <c r="V8" i="28"/>
  <c r="V21" i="28"/>
  <c r="V15" i="28"/>
  <c r="V24" i="28"/>
  <c r="V10" i="28"/>
  <c r="V23" i="28"/>
  <c r="V4" i="28"/>
  <c r="V9" i="28"/>
  <c r="V13" i="28"/>
  <c r="V19" i="28"/>
  <c r="V12" i="28"/>
  <c r="V6" i="28"/>
  <c r="V25" i="28"/>
  <c r="V26" i="28"/>
  <c r="T25" i="11"/>
  <c r="V9" i="25"/>
  <c r="O4" i="27"/>
  <c r="D22" i="27"/>
  <c r="S25" i="11"/>
  <c r="H21" i="27"/>
  <c r="R21" i="27" s="1"/>
  <c r="T21" i="27" s="1"/>
  <c r="N26" i="11"/>
  <c r="R26" i="11" s="1"/>
  <c r="G26" i="11"/>
  <c r="Q26" i="11" s="1"/>
  <c r="N6" i="11"/>
  <c r="T20" i="27"/>
  <c r="H11" i="27"/>
  <c r="R11" i="27" s="1"/>
  <c r="T13" i="27"/>
  <c r="O6" i="27"/>
  <c r="S6" i="27" s="1"/>
  <c r="H6" i="27"/>
  <c r="R6" i="27" s="1"/>
  <c r="G6" i="11"/>
  <c r="G13" i="11"/>
  <c r="T15" i="27"/>
  <c r="T10" i="27"/>
  <c r="T11" i="27"/>
  <c r="H14" i="27"/>
  <c r="R14" i="27" s="1"/>
  <c r="T14" i="27" s="1"/>
  <c r="T12" i="27"/>
  <c r="T9" i="27"/>
  <c r="T8" i="27"/>
  <c r="T17" i="27"/>
  <c r="G17" i="11"/>
  <c r="V21" i="25"/>
  <c r="N4" i="11"/>
  <c r="R21" i="11"/>
  <c r="S21" i="11" s="1"/>
  <c r="G7" i="11"/>
  <c r="T5" i="27"/>
  <c r="G12" i="11"/>
  <c r="T18" i="27"/>
  <c r="Q22" i="27"/>
  <c r="T7" i="27"/>
  <c r="V10" i="25"/>
  <c r="S20" i="11"/>
  <c r="T20" i="11"/>
  <c r="G4" i="11"/>
  <c r="V12" i="25"/>
  <c r="V24" i="25"/>
  <c r="V18" i="25"/>
  <c r="V14" i="25"/>
  <c r="V13" i="25"/>
  <c r="V17" i="25"/>
  <c r="V19" i="25"/>
  <c r="U23" i="22"/>
  <c r="U16" i="22"/>
  <c r="U17" i="22"/>
  <c r="W23" i="22"/>
  <c r="W16" i="22"/>
  <c r="W8" i="22"/>
  <c r="W17" i="22"/>
  <c r="T16" i="27"/>
  <c r="T19" i="27"/>
  <c r="S4" i="27"/>
  <c r="R4" i="27"/>
  <c r="V11" i="25"/>
  <c r="V25" i="25"/>
  <c r="V15" i="25"/>
  <c r="V6" i="25"/>
  <c r="V8" i="25"/>
  <c r="V26" i="25"/>
  <c r="V20" i="25"/>
  <c r="V23" i="25"/>
  <c r="W5" i="22"/>
  <c r="S9" i="22"/>
  <c r="V9" i="22" s="1"/>
  <c r="S17" i="22"/>
  <c r="U5" i="22"/>
  <c r="U16" i="24"/>
  <c r="U15" i="24"/>
  <c r="Q23" i="21"/>
  <c r="S23" i="21" s="1"/>
  <c r="U4" i="24"/>
  <c r="U12" i="24"/>
  <c r="U14" i="24"/>
  <c r="T38" i="21"/>
  <c r="Q9" i="21"/>
  <c r="S9" i="21" s="1"/>
  <c r="Q20" i="21"/>
  <c r="T35" i="21"/>
  <c r="V4" i="25"/>
  <c r="U8" i="24"/>
  <c r="U17" i="24"/>
  <c r="P17" i="21"/>
  <c r="U11" i="24"/>
  <c r="C24" i="21"/>
  <c r="U21" i="24"/>
  <c r="S38" i="21"/>
  <c r="U6" i="24"/>
  <c r="U24" i="24"/>
  <c r="U13" i="24"/>
  <c r="U9" i="24"/>
  <c r="Q10" i="11"/>
  <c r="R10" i="11"/>
  <c r="T10" i="11"/>
  <c r="R20" i="21"/>
  <c r="T20" i="21"/>
  <c r="W21" i="24"/>
  <c r="W16" i="24"/>
  <c r="W4" i="24"/>
  <c r="W17" i="24"/>
  <c r="W8" i="24"/>
  <c r="W6" i="24"/>
  <c r="W14" i="24"/>
  <c r="W11" i="24"/>
  <c r="W35" i="21"/>
  <c r="W15" i="22"/>
  <c r="U19" i="22"/>
  <c r="W18" i="22"/>
  <c r="W19" i="22"/>
  <c r="U15" i="22"/>
  <c r="W4" i="22"/>
  <c r="W12" i="22"/>
  <c r="U8" i="22"/>
  <c r="W26" i="22"/>
  <c r="W10" i="22"/>
  <c r="W13" i="22"/>
  <c r="U12" i="22"/>
  <c r="U13" i="22"/>
  <c r="U26" i="22"/>
  <c r="U10" i="22"/>
  <c r="U18" i="22"/>
  <c r="R16" i="21"/>
  <c r="R22" i="21"/>
  <c r="S12" i="22"/>
  <c r="U24" i="22"/>
  <c r="W21" i="22"/>
  <c r="W24" i="22"/>
  <c r="S21" i="22"/>
  <c r="S7" i="22"/>
  <c r="V7" i="22" s="1"/>
  <c r="S15" i="22"/>
  <c r="S24" i="22"/>
  <c r="U21" i="22"/>
  <c r="W19" i="24"/>
  <c r="P27" i="22"/>
  <c r="T39" i="21"/>
  <c r="T39" i="11" s="1"/>
  <c r="Q41" i="21"/>
  <c r="S23" i="22"/>
  <c r="P10" i="21"/>
  <c r="T41" i="21"/>
  <c r="T10" i="21"/>
  <c r="R17" i="21"/>
  <c r="T33" i="21"/>
  <c r="S31" i="21"/>
  <c r="U42" i="24"/>
  <c r="W26" i="24"/>
  <c r="W13" i="24"/>
  <c r="W9" i="24"/>
  <c r="W15" i="24"/>
  <c r="W24" i="24"/>
  <c r="W12" i="24"/>
  <c r="R8" i="21"/>
  <c r="R10" i="21"/>
  <c r="R5" i="21"/>
  <c r="R12" i="21"/>
  <c r="T7" i="21"/>
  <c r="T42" i="24"/>
  <c r="U26" i="24"/>
  <c r="Q32" i="21"/>
  <c r="Q13" i="21"/>
  <c r="T15" i="21"/>
  <c r="Q12" i="21"/>
  <c r="R11" i="21"/>
  <c r="Q38" i="21"/>
  <c r="V42" i="24"/>
  <c r="C10" i="11"/>
  <c r="T32" i="21"/>
  <c r="W34" i="21"/>
  <c r="R21" i="21"/>
  <c r="C27" i="24"/>
  <c r="P27" i="24"/>
  <c r="Q10" i="21"/>
  <c r="T13" i="21"/>
  <c r="Q6" i="21"/>
  <c r="T12" i="21"/>
  <c r="Q5" i="21"/>
  <c r="C7" i="21"/>
  <c r="P38" i="21"/>
  <c r="M27" i="21"/>
  <c r="Q33" i="21"/>
  <c r="T40" i="21"/>
  <c r="Q17" i="21"/>
  <c r="Q4" i="21"/>
  <c r="K27" i="21"/>
  <c r="P24" i="21"/>
  <c r="C42" i="21"/>
  <c r="V31" i="21"/>
  <c r="R31" i="21"/>
  <c r="W32" i="21"/>
  <c r="U40" i="21"/>
  <c r="P40" i="21"/>
  <c r="S36" i="21"/>
  <c r="P39" i="21"/>
  <c r="P39" i="11" s="1"/>
  <c r="U39" i="21"/>
  <c r="U39" i="11" s="1"/>
  <c r="S40" i="21"/>
  <c r="Q34" i="21"/>
  <c r="R36" i="21"/>
  <c r="V36" i="21"/>
  <c r="W41" i="21"/>
  <c r="U33" i="21"/>
  <c r="P33" i="21"/>
  <c r="S39" i="21"/>
  <c r="S39" i="11" s="1"/>
  <c r="Q31" i="21"/>
  <c r="V40" i="21"/>
  <c r="R40" i="21"/>
  <c r="P35" i="21"/>
  <c r="U35" i="21"/>
  <c r="S33" i="21"/>
  <c r="V34" i="21"/>
  <c r="R34" i="21"/>
  <c r="P36" i="21"/>
  <c r="U36" i="21"/>
  <c r="V39" i="21"/>
  <c r="V39" i="11" s="1"/>
  <c r="R39" i="21"/>
  <c r="R39" i="11" s="1"/>
  <c r="W31" i="21"/>
  <c r="U32" i="21"/>
  <c r="P32" i="21"/>
  <c r="T34" i="21"/>
  <c r="S35" i="21"/>
  <c r="Q36" i="21"/>
  <c r="R33" i="21"/>
  <c r="V33" i="21"/>
  <c r="T31" i="21"/>
  <c r="S32" i="21"/>
  <c r="Q40" i="21"/>
  <c r="R35" i="21"/>
  <c r="V35" i="21"/>
  <c r="W36" i="21"/>
  <c r="U41" i="21"/>
  <c r="P41" i="21"/>
  <c r="Q39" i="21"/>
  <c r="Q39" i="11" s="1"/>
  <c r="V32" i="21"/>
  <c r="R32" i="21"/>
  <c r="W40" i="21"/>
  <c r="P34" i="21"/>
  <c r="U34" i="21"/>
  <c r="T36" i="21"/>
  <c r="S41" i="21"/>
  <c r="P21" i="21"/>
  <c r="P18" i="21"/>
  <c r="W39" i="21"/>
  <c r="U31" i="21"/>
  <c r="P31" i="21"/>
  <c r="S34" i="21"/>
  <c r="Q35" i="21"/>
  <c r="R41" i="21"/>
  <c r="V41" i="21"/>
  <c r="W33" i="21"/>
  <c r="Q18" i="21"/>
  <c r="V38" i="21"/>
  <c r="S5" i="22"/>
  <c r="V20" i="22" s="1"/>
  <c r="S13" i="22"/>
  <c r="S22" i="22"/>
  <c r="V22" i="22" s="1"/>
  <c r="T21" i="21"/>
  <c r="Q21" i="21"/>
  <c r="Q16" i="21"/>
  <c r="Q15" i="21"/>
  <c r="R4" i="21"/>
  <c r="Q22" i="21"/>
  <c r="P11" i="21"/>
  <c r="Q11" i="21"/>
  <c r="E27" i="21"/>
  <c r="Q24" i="21"/>
  <c r="D42" i="21"/>
  <c r="L42" i="21"/>
  <c r="S8" i="22"/>
  <c r="S16" i="22"/>
  <c r="S26" i="22"/>
  <c r="F42" i="21"/>
  <c r="N42" i="21"/>
  <c r="J42" i="21"/>
  <c r="S10" i="22"/>
  <c r="S18" i="22"/>
  <c r="G42" i="21"/>
  <c r="E42" i="21"/>
  <c r="M42" i="21"/>
  <c r="H42" i="21"/>
  <c r="S4" i="22"/>
  <c r="S19" i="22"/>
  <c r="P6" i="21"/>
  <c r="T4" i="21"/>
  <c r="J27" i="21"/>
  <c r="Q8" i="21"/>
  <c r="N27" i="21"/>
  <c r="I27" i="21"/>
  <c r="L27" i="21"/>
  <c r="P4" i="21"/>
  <c r="T6" i="21"/>
  <c r="T18" i="21"/>
  <c r="G27" i="21"/>
  <c r="H27" i="21"/>
  <c r="T22" i="21"/>
  <c r="P10" i="11"/>
  <c r="T8" i="21"/>
  <c r="P5" i="21"/>
  <c r="T16" i="21"/>
  <c r="P22" i="21"/>
  <c r="Q42" i="24"/>
  <c r="S4" i="24"/>
  <c r="S6" i="24"/>
  <c r="S8" i="24"/>
  <c r="S9" i="24"/>
  <c r="S11" i="24"/>
  <c r="S12" i="24"/>
  <c r="S13" i="24"/>
  <c r="S14" i="24"/>
  <c r="S15" i="24"/>
  <c r="S19" i="24"/>
  <c r="S24" i="24"/>
  <c r="S26" i="24"/>
  <c r="R42" i="24"/>
  <c r="P42" i="24"/>
  <c r="T42" i="22"/>
  <c r="R42" i="22"/>
  <c r="Q42" i="22"/>
  <c r="U42" i="22"/>
  <c r="V42" i="22"/>
  <c r="C27" i="22"/>
  <c r="P42" i="22"/>
  <c r="U4" i="22"/>
  <c r="T24" i="21"/>
  <c r="T17" i="21"/>
  <c r="P13" i="21"/>
  <c r="C5" i="21"/>
  <c r="P8" i="21"/>
  <c r="P16" i="21"/>
  <c r="R38" i="21"/>
  <c r="O42" i="21"/>
  <c r="T5" i="21"/>
  <c r="P7" i="21"/>
  <c r="T11" i="21"/>
  <c r="P15" i="21"/>
  <c r="R18" i="21"/>
  <c r="U38" i="21"/>
  <c r="I42" i="21"/>
  <c r="Q7" i="21"/>
  <c r="R13" i="21"/>
  <c r="F27" i="21"/>
  <c r="K42" i="21"/>
  <c r="P12" i="21"/>
  <c r="D27" i="21"/>
  <c r="R7" i="21"/>
  <c r="R15" i="21"/>
  <c r="O27" i="21"/>
  <c r="W38" i="21"/>
  <c r="R24" i="21"/>
  <c r="R6" i="21"/>
  <c r="P4" i="10"/>
  <c r="R29" i="5"/>
  <c r="V32" i="5"/>
  <c r="P36" i="5"/>
  <c r="Q33" i="5"/>
  <c r="X29" i="5"/>
  <c r="T32" i="5"/>
  <c r="V35" i="5"/>
  <c r="U31" i="5"/>
  <c r="V31" i="5"/>
  <c r="U29" i="5"/>
  <c r="V34" i="5"/>
  <c r="H37" i="5"/>
  <c r="R31" i="5"/>
  <c r="S34" i="5"/>
  <c r="P31" i="5"/>
  <c r="Q34" i="5"/>
  <c r="P34" i="5"/>
  <c r="X33" i="5"/>
  <c r="X32" i="5"/>
  <c r="R35" i="5"/>
  <c r="V36" i="5"/>
  <c r="T18" i="3"/>
  <c r="R11" i="3"/>
  <c r="T16" i="3"/>
  <c r="T10" i="3"/>
  <c r="R6" i="3"/>
  <c r="T14" i="3"/>
  <c r="T23" i="3"/>
  <c r="T13" i="3"/>
  <c r="T22" i="3"/>
  <c r="T11" i="3"/>
  <c r="T17" i="3"/>
  <c r="T9" i="3"/>
  <c r="T20" i="3"/>
  <c r="T8" i="3"/>
  <c r="R8" i="3"/>
  <c r="T4" i="3"/>
  <c r="T21" i="3"/>
  <c r="R21" i="3"/>
  <c r="T5" i="3"/>
  <c r="T15" i="3"/>
  <c r="R13" i="3"/>
  <c r="R5" i="3"/>
  <c r="R20" i="3"/>
  <c r="T12" i="3"/>
  <c r="T7" i="3"/>
  <c r="T6" i="3"/>
  <c r="R19" i="3"/>
  <c r="B35" i="17"/>
  <c r="N31" i="17"/>
  <c r="U33" i="10"/>
  <c r="O29" i="17"/>
  <c r="J32" i="17"/>
  <c r="H32" i="17"/>
  <c r="U34" i="11"/>
  <c r="P17" i="10"/>
  <c r="S19" i="20"/>
  <c r="S13" i="20"/>
  <c r="N7" i="10"/>
  <c r="N11" i="10"/>
  <c r="N19" i="10"/>
  <c r="N18" i="10"/>
  <c r="W24" i="5"/>
  <c r="N8" i="10"/>
  <c r="P8" i="10"/>
  <c r="P21" i="10"/>
  <c r="G19" i="10"/>
  <c r="N21" i="10"/>
  <c r="N10" i="10"/>
  <c r="N9" i="10"/>
  <c r="N22" i="10"/>
  <c r="N17" i="10"/>
  <c r="N12" i="10"/>
  <c r="Z12" i="10" s="1"/>
  <c r="N23" i="10"/>
  <c r="N14" i="10"/>
  <c r="N5" i="10"/>
  <c r="R4" i="14"/>
  <c r="G23" i="10"/>
  <c r="Q23" i="10" s="1"/>
  <c r="N16" i="10"/>
  <c r="N20" i="10"/>
  <c r="Z4" i="10" s="1"/>
  <c r="K32" i="17"/>
  <c r="L31" i="17"/>
  <c r="X35" i="10"/>
  <c r="P11" i="10"/>
  <c r="P18" i="10"/>
  <c r="P9" i="10"/>
  <c r="P12" i="10"/>
  <c r="P15" i="10"/>
  <c r="P23" i="10"/>
  <c r="T15" i="10"/>
  <c r="X33" i="10"/>
  <c r="X34" i="10"/>
  <c r="X36" i="10"/>
  <c r="K31" i="17"/>
  <c r="X37" i="10"/>
  <c r="H31" i="17"/>
  <c r="G15" i="10"/>
  <c r="G7" i="10"/>
  <c r="X28" i="10"/>
  <c r="G9" i="10"/>
  <c r="Q9" i="10" s="1"/>
  <c r="X30" i="10"/>
  <c r="X32" i="10"/>
  <c r="G14" i="10"/>
  <c r="Q19" i="19"/>
  <c r="S19" i="19" s="1"/>
  <c r="G18" i="10"/>
  <c r="Q18" i="10" s="1"/>
  <c r="G5" i="10"/>
  <c r="Q5" i="10" s="1"/>
  <c r="G8" i="10"/>
  <c r="N29" i="17"/>
  <c r="X31" i="10"/>
  <c r="G12" i="10"/>
  <c r="G11" i="10"/>
  <c r="Q11" i="10" s="1"/>
  <c r="G21" i="10"/>
  <c r="G20" i="10"/>
  <c r="Q20" i="10" s="1"/>
  <c r="P20" i="10"/>
  <c r="C20" i="10"/>
  <c r="K33" i="17"/>
  <c r="U30" i="10"/>
  <c r="D33" i="17"/>
  <c r="L33" i="17"/>
  <c r="S12" i="20"/>
  <c r="G17" i="10"/>
  <c r="S17" i="20"/>
  <c r="G22" i="10"/>
  <c r="S22" i="20"/>
  <c r="Q14" i="20"/>
  <c r="S23" i="19"/>
  <c r="C5" i="10"/>
  <c r="C25" i="8"/>
  <c r="C19" i="10"/>
  <c r="C4" i="10"/>
  <c r="S11" i="20"/>
  <c r="G10" i="10"/>
  <c r="S10" i="20"/>
  <c r="P28" i="10"/>
  <c r="C17" i="10"/>
  <c r="C21" i="10"/>
  <c r="C10" i="10"/>
  <c r="C22" i="10"/>
  <c r="C12" i="10"/>
  <c r="C7" i="10"/>
  <c r="C14" i="10"/>
  <c r="C23" i="10"/>
  <c r="C31" i="17"/>
  <c r="H29" i="17"/>
  <c r="Q28" i="10"/>
  <c r="D31" i="17"/>
  <c r="C15" i="10"/>
  <c r="C18" i="10"/>
  <c r="G4" i="10"/>
  <c r="Q4" i="10" s="1"/>
  <c r="C16" i="10"/>
  <c r="G16" i="10"/>
  <c r="S16" i="20"/>
  <c r="U9" i="20"/>
  <c r="Q9" i="20"/>
  <c r="S9" i="20" s="1"/>
  <c r="C9" i="10"/>
  <c r="C8" i="10"/>
  <c r="S6" i="20"/>
  <c r="G6" i="10"/>
  <c r="Q6" i="10" s="1"/>
  <c r="C6" i="10"/>
  <c r="U11" i="20"/>
  <c r="U15" i="20"/>
  <c r="U12" i="20"/>
  <c r="U13" i="20"/>
  <c r="G13" i="10"/>
  <c r="C13" i="10"/>
  <c r="U5" i="20"/>
  <c r="U17" i="20"/>
  <c r="U6" i="20"/>
  <c r="U16" i="20"/>
  <c r="U10" i="20"/>
  <c r="C11" i="10"/>
  <c r="S18" i="20"/>
  <c r="S21" i="20"/>
  <c r="S8" i="20"/>
  <c r="U4" i="20"/>
  <c r="Q23" i="20"/>
  <c r="S23" i="20" s="1"/>
  <c r="S15" i="20"/>
  <c r="S5" i="20"/>
  <c r="U14" i="20"/>
  <c r="S14" i="20"/>
  <c r="S4" i="20"/>
  <c r="U19" i="20"/>
  <c r="U23" i="20"/>
  <c r="U22" i="20"/>
  <c r="U18" i="20"/>
  <c r="U8" i="20"/>
  <c r="U21" i="20"/>
  <c r="U20" i="20"/>
  <c r="P6" i="10"/>
  <c r="R4" i="10"/>
  <c r="P13" i="10"/>
  <c r="R13" i="10"/>
  <c r="R6" i="10"/>
  <c r="U35" i="10"/>
  <c r="R35" i="10"/>
  <c r="S35" i="10"/>
  <c r="T35" i="10"/>
  <c r="V35" i="10"/>
  <c r="P35" i="10"/>
  <c r="Q35" i="10"/>
  <c r="P10" i="10"/>
  <c r="S37" i="10"/>
  <c r="B36" i="17"/>
  <c r="G24" i="20"/>
  <c r="R36" i="5"/>
  <c r="S36" i="5"/>
  <c r="T36" i="5"/>
  <c r="Q35" i="5"/>
  <c r="P35" i="5"/>
  <c r="S35" i="5"/>
  <c r="G36" i="14"/>
  <c r="G34" i="10"/>
  <c r="G34" i="17" s="1"/>
  <c r="G37" i="10"/>
  <c r="G36" i="13"/>
  <c r="U36" i="5"/>
  <c r="R34" i="5"/>
  <c r="M33" i="17"/>
  <c r="N33" i="17"/>
  <c r="E33" i="17"/>
  <c r="J33" i="17"/>
  <c r="X31" i="5"/>
  <c r="S10" i="19"/>
  <c r="S21" i="19"/>
  <c r="M32" i="17"/>
  <c r="P32" i="10"/>
  <c r="U38" i="20"/>
  <c r="S11" i="19"/>
  <c r="S8" i="19"/>
  <c r="S12" i="19"/>
  <c r="S16" i="19"/>
  <c r="S20" i="19"/>
  <c r="R29" i="10"/>
  <c r="Q18" i="19"/>
  <c r="S18" i="19" s="1"/>
  <c r="S22" i="19"/>
  <c r="S17" i="19"/>
  <c r="V38" i="20"/>
  <c r="T38" i="20"/>
  <c r="Q38" i="20"/>
  <c r="C24" i="20"/>
  <c r="P24" i="20"/>
  <c r="G32" i="17"/>
  <c r="U19" i="19"/>
  <c r="S15" i="19"/>
  <c r="U38" i="19"/>
  <c r="S14" i="19"/>
  <c r="S6" i="19"/>
  <c r="U20" i="19"/>
  <c r="S13" i="19"/>
  <c r="U5" i="19"/>
  <c r="U4" i="19"/>
  <c r="U23" i="19"/>
  <c r="U7" i="19"/>
  <c r="U8" i="19"/>
  <c r="U12" i="19"/>
  <c r="U16" i="19"/>
  <c r="U11" i="19"/>
  <c r="U15" i="19"/>
  <c r="U21" i="19"/>
  <c r="U17" i="19"/>
  <c r="U13" i="19"/>
  <c r="U9" i="19"/>
  <c r="U22" i="19"/>
  <c r="U18" i="19"/>
  <c r="U14" i="19"/>
  <c r="U10" i="19"/>
  <c r="U6" i="19"/>
  <c r="P24" i="19"/>
  <c r="M31" i="17"/>
  <c r="M20" i="17"/>
  <c r="P38" i="20"/>
  <c r="R38" i="20"/>
  <c r="C24" i="19"/>
  <c r="V38" i="19"/>
  <c r="Q38" i="19"/>
  <c r="T38" i="19"/>
  <c r="G24" i="19"/>
  <c r="P38" i="19"/>
  <c r="R38" i="19"/>
  <c r="U29" i="1"/>
  <c r="U33" i="1"/>
  <c r="E31" i="17"/>
  <c r="G29" i="17"/>
  <c r="J36" i="17"/>
  <c r="I29" i="17"/>
  <c r="F36" i="17"/>
  <c r="H34" i="17"/>
  <c r="H36" i="17"/>
  <c r="E36" i="17"/>
  <c r="O34" i="17"/>
  <c r="O36" i="17"/>
  <c r="I36" i="17"/>
  <c r="B33" i="17"/>
  <c r="C33" i="17"/>
  <c r="E32" i="17"/>
  <c r="P36" i="10"/>
  <c r="B30" i="17"/>
  <c r="P21" i="17"/>
  <c r="R21" i="17"/>
  <c r="C21" i="17"/>
  <c r="Q21" i="17"/>
  <c r="O4" i="17"/>
  <c r="B19" i="17"/>
  <c r="B16" i="17"/>
  <c r="L17" i="17"/>
  <c r="K17" i="17"/>
  <c r="K14" i="17"/>
  <c r="I22" i="17"/>
  <c r="D14" i="17"/>
  <c r="J20" i="17"/>
  <c r="H17" i="17"/>
  <c r="O7" i="17"/>
  <c r="I16" i="17"/>
  <c r="I20" i="17"/>
  <c r="E16" i="17"/>
  <c r="M18" i="17"/>
  <c r="L18" i="17"/>
  <c r="L24" i="17"/>
  <c r="L20" i="17"/>
  <c r="K7" i="17"/>
  <c r="K18" i="17"/>
  <c r="K13" i="17"/>
  <c r="F34" i="17"/>
  <c r="J29" i="17"/>
  <c r="I32" i="17"/>
  <c r="R32" i="17" s="1"/>
  <c r="B29" i="17"/>
  <c r="F31" i="17"/>
  <c r="S29" i="10"/>
  <c r="D36" i="17"/>
  <c r="N35" i="17"/>
  <c r="E29" i="17"/>
  <c r="I34" i="17"/>
  <c r="T29" i="10"/>
  <c r="M30" i="17"/>
  <c r="M34" i="17"/>
  <c r="M36" i="17"/>
  <c r="N34" i="17"/>
  <c r="O35" i="17"/>
  <c r="C32" i="17"/>
  <c r="E34" i="17"/>
  <c r="G35" i="17"/>
  <c r="L34" i="17"/>
  <c r="Q29" i="10"/>
  <c r="L35" i="17"/>
  <c r="N32" i="17"/>
  <c r="C35" i="17"/>
  <c r="E30" i="17"/>
  <c r="D34" i="17"/>
  <c r="F35" i="17"/>
  <c r="M29" i="17"/>
  <c r="F33" i="17"/>
  <c r="H35" i="17"/>
  <c r="S35" i="17" s="1"/>
  <c r="B34" i="17"/>
  <c r="F29" i="17"/>
  <c r="J30" i="17"/>
  <c r="J35" i="17"/>
  <c r="C30" i="17"/>
  <c r="G33" i="17"/>
  <c r="I35" i="17"/>
  <c r="H30" i="17"/>
  <c r="D35" i="17"/>
  <c r="I30" i="17"/>
  <c r="D30" i="17"/>
  <c r="I33" i="17"/>
  <c r="K35" i="17"/>
  <c r="K30" i="17"/>
  <c r="L30" i="17"/>
  <c r="D15" i="17"/>
  <c r="B23" i="17"/>
  <c r="B12" i="17"/>
  <c r="D8" i="17"/>
  <c r="K20" i="17"/>
  <c r="B20" i="17"/>
  <c r="L9" i="17"/>
  <c r="I13" i="17"/>
  <c r="H8" i="17"/>
  <c r="M13" i="17"/>
  <c r="J23" i="17"/>
  <c r="B18" i="17"/>
  <c r="F19" i="17"/>
  <c r="H9" i="17"/>
  <c r="O8" i="17"/>
  <c r="O14" i="17"/>
  <c r="J19" i="17"/>
  <c r="K12" i="17"/>
  <c r="B14" i="17"/>
  <c r="F8" i="17"/>
  <c r="J4" i="17"/>
  <c r="B9" i="17"/>
  <c r="H15" i="17"/>
  <c r="E14" i="17"/>
  <c r="D5" i="17"/>
  <c r="K9" i="17"/>
  <c r="M14" i="17"/>
  <c r="M8" i="17"/>
  <c r="M7" i="17"/>
  <c r="L5" i="17"/>
  <c r="K19" i="17"/>
  <c r="L14" i="17"/>
  <c r="L8" i="17"/>
  <c r="L7" i="17"/>
  <c r="O22" i="17"/>
  <c r="F6" i="17"/>
  <c r="O18" i="17"/>
  <c r="D29" i="17"/>
  <c r="L29" i="17"/>
  <c r="O31" i="17"/>
  <c r="H33" i="17"/>
  <c r="C36" i="17"/>
  <c r="K36" i="17"/>
  <c r="F32" i="17"/>
  <c r="U29" i="10"/>
  <c r="O32" i="17"/>
  <c r="O33" i="17"/>
  <c r="G30" i="17"/>
  <c r="O30" i="17"/>
  <c r="I31" i="17"/>
  <c r="B32" i="17"/>
  <c r="J34" i="17"/>
  <c r="C29" i="17"/>
  <c r="B31" i="17"/>
  <c r="J31" i="17"/>
  <c r="C34" i="17"/>
  <c r="K34" i="17"/>
  <c r="E35" i="17"/>
  <c r="M35" i="17"/>
  <c r="N36" i="17"/>
  <c r="N30" i="17"/>
  <c r="L36" i="17"/>
  <c r="D32" i="17"/>
  <c r="L32" i="17"/>
  <c r="F30" i="17"/>
  <c r="E20" i="17"/>
  <c r="F4" i="17"/>
  <c r="H5" i="17"/>
  <c r="J6" i="17"/>
  <c r="O9" i="17"/>
  <c r="O12" i="17"/>
  <c r="L15" i="17"/>
  <c r="M16" i="17"/>
  <c r="E22" i="17"/>
  <c r="M22" i="17"/>
  <c r="F23" i="17"/>
  <c r="H24" i="17"/>
  <c r="I5" i="17"/>
  <c r="B6" i="17"/>
  <c r="K6" i="17"/>
  <c r="D7" i="17"/>
  <c r="E8" i="17"/>
  <c r="B10" i="17"/>
  <c r="H12" i="17"/>
  <c r="J13" i="17"/>
  <c r="M15" i="17"/>
  <c r="F16" i="17"/>
  <c r="I17" i="17"/>
  <c r="D18" i="17"/>
  <c r="O19" i="17"/>
  <c r="F22" i="17"/>
  <c r="O23" i="17"/>
  <c r="I24" i="17"/>
  <c r="E13" i="17"/>
  <c r="D24" i="17"/>
  <c r="H4" i="17"/>
  <c r="J5" i="17"/>
  <c r="D6" i="17"/>
  <c r="L6" i="17"/>
  <c r="E7" i="17"/>
  <c r="I9" i="17"/>
  <c r="I12" i="17"/>
  <c r="B13" i="17"/>
  <c r="O16" i="17"/>
  <c r="J17" i="17"/>
  <c r="E18" i="17"/>
  <c r="H19" i="17"/>
  <c r="H23" i="17"/>
  <c r="J24" i="17"/>
  <c r="D17" i="17"/>
  <c r="I4" i="17"/>
  <c r="B5" i="17"/>
  <c r="K5" i="17"/>
  <c r="E6" i="17"/>
  <c r="M6" i="17"/>
  <c r="F7" i="17"/>
  <c r="J9" i="17"/>
  <c r="J12" i="17"/>
  <c r="D13" i="17"/>
  <c r="L13" i="17"/>
  <c r="F14" i="17"/>
  <c r="H16" i="17"/>
  <c r="B17" i="17"/>
  <c r="F18" i="17"/>
  <c r="I19" i="17"/>
  <c r="D20" i="17"/>
  <c r="H22" i="17"/>
  <c r="I23" i="17"/>
  <c r="B24" i="17"/>
  <c r="K24" i="17"/>
  <c r="B4" i="17"/>
  <c r="K4" i="17"/>
  <c r="E5" i="17"/>
  <c r="M5" i="17"/>
  <c r="O6" i="17"/>
  <c r="H7" i="17"/>
  <c r="I8" i="17"/>
  <c r="D9" i="17"/>
  <c r="D12" i="17"/>
  <c r="L12" i="17"/>
  <c r="F13" i="17"/>
  <c r="H14" i="17"/>
  <c r="I15" i="17"/>
  <c r="J16" i="17"/>
  <c r="E17" i="17"/>
  <c r="M17" i="17"/>
  <c r="H18" i="17"/>
  <c r="F20" i="17"/>
  <c r="J22" i="17"/>
  <c r="K23" i="17"/>
  <c r="E24" i="17"/>
  <c r="M24" i="17"/>
  <c r="D4" i="17"/>
  <c r="L4" i="17"/>
  <c r="F5" i="17"/>
  <c r="H6" i="17"/>
  <c r="I7" i="17"/>
  <c r="B8" i="17"/>
  <c r="J8" i="17"/>
  <c r="E9" i="17"/>
  <c r="M9" i="17"/>
  <c r="E12" i="17"/>
  <c r="M12" i="17"/>
  <c r="O13" i="17"/>
  <c r="I14" i="17"/>
  <c r="B15" i="17"/>
  <c r="J15" i="17"/>
  <c r="K16" i="17"/>
  <c r="F17" i="17"/>
  <c r="I18" i="17"/>
  <c r="D19" i="17"/>
  <c r="L19" i="17"/>
  <c r="O20" i="17"/>
  <c r="B22" i="17"/>
  <c r="K22" i="17"/>
  <c r="D23" i="17"/>
  <c r="L23" i="17"/>
  <c r="F24" i="17"/>
  <c r="E4" i="17"/>
  <c r="M4" i="17"/>
  <c r="O5" i="17"/>
  <c r="I6" i="17"/>
  <c r="B7" i="17"/>
  <c r="J7" i="17"/>
  <c r="K8" i="17"/>
  <c r="F9" i="17"/>
  <c r="B11" i="17"/>
  <c r="F12" i="17"/>
  <c r="H13" i="17"/>
  <c r="J14" i="17"/>
  <c r="D16" i="17"/>
  <c r="L16" i="17"/>
  <c r="O17" i="17"/>
  <c r="J18" i="17"/>
  <c r="E19" i="17"/>
  <c r="M19" i="17"/>
  <c r="H20" i="17"/>
  <c r="D22" i="17"/>
  <c r="L22" i="17"/>
  <c r="E23" i="17"/>
  <c r="M23" i="17"/>
  <c r="O24" i="17"/>
  <c r="T21" i="17"/>
  <c r="V29" i="10"/>
  <c r="U5" i="13"/>
  <c r="P5" i="10"/>
  <c r="W24" i="10"/>
  <c r="U37" i="3"/>
  <c r="V37" i="3"/>
  <c r="Q37" i="3"/>
  <c r="R37" i="3"/>
  <c r="T37" i="3"/>
  <c r="U9" i="13"/>
  <c r="T12" i="14"/>
  <c r="R11" i="14"/>
  <c r="S11" i="14" s="1"/>
  <c r="R12" i="14"/>
  <c r="S12" i="14" s="1"/>
  <c r="R13" i="14"/>
  <c r="S13" i="14" s="1"/>
  <c r="R22" i="14"/>
  <c r="T22" i="14"/>
  <c r="S36" i="10"/>
  <c r="R8" i="14"/>
  <c r="S8" i="14" s="1"/>
  <c r="T8" i="14"/>
  <c r="T19" i="14"/>
  <c r="T14" i="14"/>
  <c r="T10" i="14"/>
  <c r="T17" i="14"/>
  <c r="R5" i="14"/>
  <c r="T20" i="14"/>
  <c r="R20" i="14"/>
  <c r="R14" i="14"/>
  <c r="S14" i="14" s="1"/>
  <c r="T21" i="14"/>
  <c r="R21" i="14"/>
  <c r="R6" i="14"/>
  <c r="S6" i="14" s="1"/>
  <c r="T6" i="14"/>
  <c r="T13" i="14"/>
  <c r="T16" i="14"/>
  <c r="P16" i="10"/>
  <c r="R16" i="14"/>
  <c r="T15" i="14"/>
  <c r="R15" i="14"/>
  <c r="S15" i="14" s="1"/>
  <c r="R7" i="14"/>
  <c r="S7" i="14" s="1"/>
  <c r="R10" i="14"/>
  <c r="S10" i="14" s="1"/>
  <c r="R23" i="14"/>
  <c r="P30" i="10"/>
  <c r="S33" i="10"/>
  <c r="S13" i="13"/>
  <c r="U21" i="13"/>
  <c r="U34" i="10"/>
  <c r="U23" i="13"/>
  <c r="P24" i="13"/>
  <c r="T36" i="10"/>
  <c r="U7" i="13"/>
  <c r="U14" i="13"/>
  <c r="U22" i="13"/>
  <c r="C38" i="10"/>
  <c r="V34" i="10"/>
  <c r="D38" i="10"/>
  <c r="U10" i="13"/>
  <c r="U17" i="13"/>
  <c r="S30" i="10"/>
  <c r="U16" i="13"/>
  <c r="T37" i="10"/>
  <c r="Q34" i="10"/>
  <c r="F38" i="10"/>
  <c r="S15" i="13"/>
  <c r="S23" i="13"/>
  <c r="U12" i="13"/>
  <c r="U19" i="13"/>
  <c r="U13" i="13"/>
  <c r="U20" i="13"/>
  <c r="O38" i="10"/>
  <c r="Q31" i="10"/>
  <c r="P14" i="10"/>
  <c r="N38" i="10"/>
  <c r="U31" i="10"/>
  <c r="U37" i="10"/>
  <c r="V33" i="10"/>
  <c r="K24" i="10"/>
  <c r="L38" i="10"/>
  <c r="T33" i="10"/>
  <c r="P33" i="10"/>
  <c r="V37" i="10"/>
  <c r="V36" i="10"/>
  <c r="M38" i="10"/>
  <c r="E38" i="10"/>
  <c r="R15" i="10"/>
  <c r="P19" i="10"/>
  <c r="I24" i="10"/>
  <c r="M24" i="10"/>
  <c r="M10" i="17" s="1"/>
  <c r="U4" i="13"/>
  <c r="Q37" i="10"/>
  <c r="T31" i="10"/>
  <c r="T13" i="10"/>
  <c r="S7" i="13"/>
  <c r="T34" i="10"/>
  <c r="Q30" i="10"/>
  <c r="U11" i="13"/>
  <c r="U36" i="10"/>
  <c r="Q33" i="10"/>
  <c r="J38" i="10"/>
  <c r="P22" i="10"/>
  <c r="T30" i="10"/>
  <c r="U28" i="10"/>
  <c r="J24" i="10"/>
  <c r="J10" i="17" s="1"/>
  <c r="U18" i="13"/>
  <c r="O24" i="10"/>
  <c r="O10" i="17" s="1"/>
  <c r="S21" i="13"/>
  <c r="U6" i="13"/>
  <c r="U8" i="13"/>
  <c r="U15" i="13"/>
  <c r="I38" i="10"/>
  <c r="Q36" i="10"/>
  <c r="V31" i="10"/>
  <c r="V30" i="10"/>
  <c r="F24" i="10"/>
  <c r="L24" i="10"/>
  <c r="L10" i="17" s="1"/>
  <c r="L14" i="1"/>
  <c r="D14" i="1"/>
  <c r="H17" i="1"/>
  <c r="F17" i="1"/>
  <c r="J14" i="1"/>
  <c r="N9" i="1"/>
  <c r="J11" i="1"/>
  <c r="J12" i="1"/>
  <c r="I18" i="1"/>
  <c r="M9" i="1"/>
  <c r="I11" i="1"/>
  <c r="I12" i="1"/>
  <c r="B17" i="1"/>
  <c r="N14" i="1"/>
  <c r="K8" i="1"/>
  <c r="B14" i="1"/>
  <c r="M17" i="1"/>
  <c r="E17" i="1"/>
  <c r="B15" i="1"/>
  <c r="N17" i="1"/>
  <c r="D13" i="1"/>
  <c r="L17" i="1"/>
  <c r="D17" i="1"/>
  <c r="H8" i="1"/>
  <c r="O14" i="1"/>
  <c r="G14" i="1"/>
  <c r="K17" i="1"/>
  <c r="G8" i="1"/>
  <c r="B4" i="1"/>
  <c r="J7" i="1"/>
  <c r="N18" i="1"/>
  <c r="F18" i="1"/>
  <c r="J9" i="1"/>
  <c r="N10" i="1"/>
  <c r="H7" i="1"/>
  <c r="L18" i="1"/>
  <c r="D18" i="1"/>
  <c r="P18" i="1" s="1"/>
  <c r="H9" i="1"/>
  <c r="L12" i="1"/>
  <c r="O7" i="1"/>
  <c r="K18" i="1"/>
  <c r="O9" i="1"/>
  <c r="G9" i="1"/>
  <c r="P37" i="10"/>
  <c r="E24" i="10"/>
  <c r="E10" i="17" s="1"/>
  <c r="P34" i="10"/>
  <c r="R36" i="10"/>
  <c r="R33" i="10"/>
  <c r="R30" i="10"/>
  <c r="D24" i="10"/>
  <c r="D10" i="17" s="1"/>
  <c r="P7" i="10"/>
  <c r="H38" i="10"/>
  <c r="T28" i="10"/>
  <c r="S34" i="10"/>
  <c r="S31" i="10"/>
  <c r="S28" i="10"/>
  <c r="R37" i="10"/>
  <c r="R34" i="10"/>
  <c r="R31" i="10"/>
  <c r="R28" i="10"/>
  <c r="H24" i="10"/>
  <c r="T6" i="10"/>
  <c r="T18" i="14"/>
  <c r="N24" i="14"/>
  <c r="R9" i="14"/>
  <c r="T9" i="14"/>
  <c r="R17" i="14"/>
  <c r="T36" i="14"/>
  <c r="S22" i="14"/>
  <c r="G24" i="14"/>
  <c r="C24" i="14"/>
  <c r="U36" i="14"/>
  <c r="V36" i="14"/>
  <c r="Q36" i="14"/>
  <c r="P24" i="14"/>
  <c r="S21" i="14"/>
  <c r="P36" i="14"/>
  <c r="S16" i="14"/>
  <c r="Q4" i="14"/>
  <c r="S4" i="14" s="1"/>
  <c r="R36" i="14"/>
  <c r="S18" i="14"/>
  <c r="S19" i="14"/>
  <c r="R36" i="13"/>
  <c r="Q36" i="13"/>
  <c r="T36" i="13"/>
  <c r="U36" i="13"/>
  <c r="P36" i="13"/>
  <c r="V36" i="13"/>
  <c r="S22" i="13"/>
  <c r="S14" i="13"/>
  <c r="S18" i="13"/>
  <c r="S6" i="13"/>
  <c r="S16" i="13"/>
  <c r="S20" i="13"/>
  <c r="S19" i="13"/>
  <c r="S17" i="13"/>
  <c r="S12" i="13"/>
  <c r="S11" i="13"/>
  <c r="S10" i="13"/>
  <c r="S8" i="13"/>
  <c r="S4" i="13"/>
  <c r="C24" i="13"/>
  <c r="G24" i="13"/>
  <c r="C25" i="3"/>
  <c r="H22" i="1"/>
  <c r="D23" i="1"/>
  <c r="H25" i="5"/>
  <c r="H21" i="1" s="1"/>
  <c r="H24" i="1"/>
  <c r="B6" i="1"/>
  <c r="O22" i="1"/>
  <c r="G22" i="1"/>
  <c r="G24" i="1"/>
  <c r="J18" i="1"/>
  <c r="N22" i="1"/>
  <c r="D7" i="1"/>
  <c r="H18" i="1"/>
  <c r="L9" i="1"/>
  <c r="D9" i="1"/>
  <c r="L22" i="1"/>
  <c r="D22" i="1"/>
  <c r="H23" i="1"/>
  <c r="H12" i="1"/>
  <c r="L24" i="1"/>
  <c r="D24" i="1"/>
  <c r="M22" i="1"/>
  <c r="E22" i="1"/>
  <c r="E24" i="1"/>
  <c r="B19" i="1"/>
  <c r="B20" i="1"/>
  <c r="K22" i="1"/>
  <c r="G25" i="5"/>
  <c r="O23" i="1"/>
  <c r="G23" i="1"/>
  <c r="O12" i="1"/>
  <c r="G12" i="1"/>
  <c r="K24" i="1"/>
  <c r="F14" i="1"/>
  <c r="C14" i="1" s="1"/>
  <c r="B5" i="1"/>
  <c r="J22" i="1"/>
  <c r="N23" i="1"/>
  <c r="F23" i="1"/>
  <c r="N12" i="1"/>
  <c r="J24" i="1"/>
  <c r="B10" i="1"/>
  <c r="I7" i="1"/>
  <c r="M10" i="1"/>
  <c r="E10" i="1"/>
  <c r="I9" i="1"/>
  <c r="I22" i="1"/>
  <c r="M23" i="1"/>
  <c r="E23" i="1"/>
  <c r="M12" i="1"/>
  <c r="E12" i="1"/>
  <c r="I24" i="1"/>
  <c r="I23" i="1"/>
  <c r="J23" i="1"/>
  <c r="M18" i="1"/>
  <c r="E18" i="1"/>
  <c r="D12" i="1"/>
  <c r="I15" i="1"/>
  <c r="B16" i="1"/>
  <c r="J15" i="1"/>
  <c r="J17" i="1"/>
  <c r="F7" i="1"/>
  <c r="C7" i="1" s="1"/>
  <c r="I17" i="1"/>
  <c r="L25" i="5"/>
  <c r="L11" i="17" s="1"/>
  <c r="B23" i="1"/>
  <c r="L7" i="1"/>
  <c r="L23" i="1"/>
  <c r="K23" i="1"/>
  <c r="O13" i="1"/>
  <c r="G13" i="1"/>
  <c r="K19" i="1"/>
  <c r="O10" i="1"/>
  <c r="G10" i="1"/>
  <c r="K6" i="1"/>
  <c r="O5" i="1"/>
  <c r="G16" i="1"/>
  <c r="D20" i="1"/>
  <c r="F22" i="1"/>
  <c r="O24" i="1"/>
  <c r="L10" i="1"/>
  <c r="M13" i="1"/>
  <c r="E13" i="1"/>
  <c r="I19" i="1"/>
  <c r="I6" i="1"/>
  <c r="M11" i="1"/>
  <c r="E11" i="1"/>
  <c r="I20" i="1"/>
  <c r="M5" i="1"/>
  <c r="E5" i="1"/>
  <c r="F10" i="1"/>
  <c r="J20" i="1"/>
  <c r="K25" i="5"/>
  <c r="L13" i="1"/>
  <c r="H19" i="1"/>
  <c r="D10" i="1"/>
  <c r="H6" i="1"/>
  <c r="L11" i="1"/>
  <c r="D11" i="1"/>
  <c r="H20" i="1"/>
  <c r="L5" i="1"/>
  <c r="L16" i="1"/>
  <c r="H4" i="1"/>
  <c r="D5" i="1"/>
  <c r="L15" i="1"/>
  <c r="F25" i="5"/>
  <c r="F16" i="1"/>
  <c r="B18" i="1"/>
  <c r="B9" i="1"/>
  <c r="K13" i="1"/>
  <c r="K10" i="1"/>
  <c r="O6" i="1"/>
  <c r="G6" i="1"/>
  <c r="K11" i="1"/>
  <c r="O20" i="1"/>
  <c r="G20" i="1"/>
  <c r="K5" i="1"/>
  <c r="O4" i="1"/>
  <c r="G4" i="1"/>
  <c r="D4" i="1"/>
  <c r="K15" i="1"/>
  <c r="K7" i="1"/>
  <c r="N13" i="1"/>
  <c r="J19" i="1"/>
  <c r="N11" i="1"/>
  <c r="N16" i="1"/>
  <c r="B21" i="1"/>
  <c r="B13" i="1"/>
  <c r="B12" i="1"/>
  <c r="N19" i="1"/>
  <c r="F19" i="1"/>
  <c r="J10" i="1"/>
  <c r="N6" i="1"/>
  <c r="F24" i="1"/>
  <c r="N20" i="1"/>
  <c r="F20" i="1"/>
  <c r="N4" i="1"/>
  <c r="F4" i="1"/>
  <c r="B8" i="1"/>
  <c r="K12" i="1"/>
  <c r="K4" i="1"/>
  <c r="J6" i="1"/>
  <c r="F11" i="1"/>
  <c r="N5" i="1"/>
  <c r="J25" i="5"/>
  <c r="J21" i="1" s="1"/>
  <c r="N24" i="1"/>
  <c r="O25" i="5"/>
  <c r="O8" i="1" s="1"/>
  <c r="B22" i="1"/>
  <c r="B24" i="1"/>
  <c r="M19" i="1"/>
  <c r="E19" i="1"/>
  <c r="I10" i="1"/>
  <c r="M6" i="1"/>
  <c r="E6" i="1"/>
  <c r="M24" i="1"/>
  <c r="M20" i="1"/>
  <c r="E20" i="1"/>
  <c r="I16" i="1"/>
  <c r="M4" i="1"/>
  <c r="E4" i="1"/>
  <c r="B7" i="1"/>
  <c r="K20" i="1"/>
  <c r="O11" i="1"/>
  <c r="B11" i="1"/>
  <c r="H13" i="1"/>
  <c r="L19" i="1"/>
  <c r="D19" i="1"/>
  <c r="H10" i="1"/>
  <c r="L6" i="1"/>
  <c r="D6" i="1"/>
  <c r="H11" i="1"/>
  <c r="L20" i="1"/>
  <c r="H5" i="1"/>
  <c r="H16" i="1"/>
  <c r="L4" i="1"/>
  <c r="D25" i="5"/>
  <c r="D11" i="17" s="1"/>
  <c r="E9" i="1"/>
  <c r="O19" i="1"/>
  <c r="M25" i="5"/>
  <c r="F21" i="1"/>
  <c r="F13" i="1"/>
  <c r="F5" i="1"/>
  <c r="H15" i="1"/>
  <c r="I25" i="5"/>
  <c r="E25" i="5"/>
  <c r="E21" i="1" s="1"/>
  <c r="N25" i="5"/>
  <c r="N8" i="1" s="1"/>
  <c r="F12" i="1"/>
  <c r="G21" i="1"/>
  <c r="G19" i="1"/>
  <c r="G17" i="1"/>
  <c r="G11" i="1"/>
  <c r="G7" i="1"/>
  <c r="G5" i="1"/>
  <c r="J4" i="1"/>
  <c r="I4" i="1"/>
  <c r="F9" i="1"/>
  <c r="C15" i="1"/>
  <c r="G25" i="8"/>
  <c r="P36" i="8"/>
  <c r="G25" i="7"/>
  <c r="P35" i="6"/>
  <c r="C25" i="6"/>
  <c r="P37" i="3"/>
  <c r="P35" i="4"/>
  <c r="C25" i="4"/>
  <c r="N37" i="5"/>
  <c r="T35" i="1"/>
  <c r="F37" i="5"/>
  <c r="O37" i="5"/>
  <c r="J37" i="5"/>
  <c r="G37" i="5"/>
  <c r="L37" i="5"/>
  <c r="C25" i="7"/>
  <c r="P35" i="7"/>
  <c r="E37" i="5"/>
  <c r="V33" i="1"/>
  <c r="I37" i="5"/>
  <c r="K37" i="5"/>
  <c r="C37" i="5"/>
  <c r="D37" i="5"/>
  <c r="M37" i="5"/>
  <c r="T37" i="5" s="1"/>
  <c r="I37" i="1"/>
  <c r="S35" i="1"/>
  <c r="S36" i="1"/>
  <c r="Q36" i="1"/>
  <c r="Q31" i="1"/>
  <c r="Q34" i="1"/>
  <c r="Q29" i="1"/>
  <c r="J37" i="1"/>
  <c r="G37" i="1"/>
  <c r="V29" i="1"/>
  <c r="P36" i="1"/>
  <c r="S30" i="1"/>
  <c r="Q32" i="1"/>
  <c r="C37" i="1"/>
  <c r="Q33" i="1"/>
  <c r="E37" i="1"/>
  <c r="M37" i="1"/>
  <c r="D37" i="1"/>
  <c r="O37" i="1"/>
  <c r="L37" i="1"/>
  <c r="V36" i="1"/>
  <c r="T15" i="1"/>
  <c r="F37" i="1"/>
  <c r="N37" i="1"/>
  <c r="R33" i="1"/>
  <c r="R35" i="1"/>
  <c r="B37" i="1"/>
  <c r="R15" i="1"/>
  <c r="R36" i="1"/>
  <c r="V32" i="1"/>
  <c r="V31" i="1"/>
  <c r="V35" i="1"/>
  <c r="H37" i="1"/>
  <c r="P15" i="1"/>
  <c r="T36" i="1"/>
  <c r="P32" i="1"/>
  <c r="P31" i="1"/>
  <c r="P35" i="1"/>
  <c r="Q35" i="1"/>
  <c r="K37" i="1"/>
  <c r="V34" i="1"/>
  <c r="W14" i="21" l="1"/>
  <c r="W19" i="21"/>
  <c r="U19" i="21"/>
  <c r="U14" i="21"/>
  <c r="W25" i="21"/>
  <c r="U25" i="21"/>
  <c r="S26" i="11"/>
  <c r="H22" i="27"/>
  <c r="R22" i="27" s="1"/>
  <c r="T26" i="11"/>
  <c r="T6" i="27"/>
  <c r="O22" i="27"/>
  <c r="S22" i="27" s="1"/>
  <c r="T4" i="27"/>
  <c r="V8" i="22"/>
  <c r="V16" i="22"/>
  <c r="V23" i="22"/>
  <c r="V17" i="22"/>
  <c r="W26" i="21"/>
  <c r="W23" i="21"/>
  <c r="U23" i="21"/>
  <c r="W20" i="21"/>
  <c r="V15" i="22"/>
  <c r="V19" i="22"/>
  <c r="S22" i="21"/>
  <c r="S20" i="21"/>
  <c r="H42" i="11"/>
  <c r="S10" i="11"/>
  <c r="U9" i="21"/>
  <c r="S10" i="21"/>
  <c r="V16" i="24"/>
  <c r="V4" i="24"/>
  <c r="V12" i="24"/>
  <c r="V21" i="24"/>
  <c r="V17" i="24"/>
  <c r="W9" i="21"/>
  <c r="U20" i="21"/>
  <c r="S5" i="21"/>
  <c r="V5" i="22"/>
  <c r="S16" i="21"/>
  <c r="W22" i="21"/>
  <c r="U22" i="21"/>
  <c r="V10" i="22"/>
  <c r="V12" i="22"/>
  <c r="V21" i="22"/>
  <c r="V26" i="22"/>
  <c r="V13" i="22"/>
  <c r="V18" i="22"/>
  <c r="V24" i="22"/>
  <c r="V8" i="24"/>
  <c r="S11" i="21"/>
  <c r="S8" i="21"/>
  <c r="S17" i="21"/>
  <c r="W17" i="21"/>
  <c r="V9" i="24"/>
  <c r="V24" i="24"/>
  <c r="V14" i="24"/>
  <c r="V6" i="24"/>
  <c r="V13" i="24"/>
  <c r="V19" i="24"/>
  <c r="V11" i="24"/>
  <c r="S12" i="21"/>
  <c r="V15" i="24"/>
  <c r="V26" i="24"/>
  <c r="S4" i="21"/>
  <c r="T42" i="21"/>
  <c r="C27" i="21"/>
  <c r="S21" i="21"/>
  <c r="U4" i="21"/>
  <c r="V4" i="22"/>
  <c r="Q42" i="21"/>
  <c r="U8" i="21"/>
  <c r="W5" i="21"/>
  <c r="W6" i="21"/>
  <c r="W11" i="21"/>
  <c r="S24" i="21"/>
  <c r="U24" i="21"/>
  <c r="W21" i="21"/>
  <c r="P27" i="21"/>
  <c r="U13" i="21"/>
  <c r="S13" i="21"/>
  <c r="W8" i="21"/>
  <c r="W4" i="21"/>
  <c r="W24" i="21"/>
  <c r="S15" i="21"/>
  <c r="U15" i="21"/>
  <c r="U11" i="21"/>
  <c r="W16" i="21"/>
  <c r="U5" i="21"/>
  <c r="W7" i="21"/>
  <c r="U10" i="21"/>
  <c r="U21" i="21"/>
  <c r="W13" i="21"/>
  <c r="S6" i="21"/>
  <c r="U6" i="21"/>
  <c r="U17" i="21"/>
  <c r="U18" i="21"/>
  <c r="S18" i="21"/>
  <c r="W10" i="21"/>
  <c r="W15" i="21"/>
  <c r="W12" i="21"/>
  <c r="U16" i="21"/>
  <c r="V42" i="21"/>
  <c r="R42" i="21"/>
  <c r="U12" i="21"/>
  <c r="S7" i="21"/>
  <c r="U7" i="21"/>
  <c r="U42" i="21"/>
  <c r="P42" i="21"/>
  <c r="W18" i="21"/>
  <c r="AE5" i="11"/>
  <c r="U37" i="11"/>
  <c r="S23" i="3"/>
  <c r="U31" i="17"/>
  <c r="AD22" i="11"/>
  <c r="S12" i="3"/>
  <c r="S8" i="3"/>
  <c r="S7" i="3"/>
  <c r="S20" i="3"/>
  <c r="S11" i="3"/>
  <c r="S21" i="3"/>
  <c r="S17" i="3"/>
  <c r="S5" i="3"/>
  <c r="S16" i="3"/>
  <c r="S15" i="3"/>
  <c r="S13" i="3"/>
  <c r="S6" i="3"/>
  <c r="AD14" i="11"/>
  <c r="S19" i="3"/>
  <c r="S4" i="3"/>
  <c r="S10" i="3"/>
  <c r="S24" i="3"/>
  <c r="AD20" i="11"/>
  <c r="S9" i="3"/>
  <c r="S18" i="3"/>
  <c r="AE14" i="11"/>
  <c r="S22" i="3"/>
  <c r="AE20" i="11"/>
  <c r="S14" i="3"/>
  <c r="P40" i="11"/>
  <c r="T32" i="17"/>
  <c r="U29" i="17"/>
  <c r="S32" i="17"/>
  <c r="P29" i="17"/>
  <c r="P32" i="17"/>
  <c r="Z21" i="10"/>
  <c r="Z7" i="10"/>
  <c r="Z13" i="10"/>
  <c r="Z16" i="10"/>
  <c r="Z14" i="10"/>
  <c r="T21" i="10"/>
  <c r="Z18" i="10"/>
  <c r="R15" i="11"/>
  <c r="Z9" i="10"/>
  <c r="T19" i="10"/>
  <c r="Z10" i="10"/>
  <c r="T5" i="11"/>
  <c r="Z20" i="10"/>
  <c r="T23" i="10"/>
  <c r="Z8" i="10"/>
  <c r="R20" i="10"/>
  <c r="Z5" i="10"/>
  <c r="R17" i="10"/>
  <c r="Z22" i="10"/>
  <c r="R7" i="11"/>
  <c r="Z6" i="10"/>
  <c r="R16" i="10"/>
  <c r="Z11" i="10"/>
  <c r="T22" i="10"/>
  <c r="Z17" i="10"/>
  <c r="T12" i="10"/>
  <c r="Z15" i="10"/>
  <c r="C11" i="11"/>
  <c r="T8" i="10"/>
  <c r="Z23" i="10"/>
  <c r="R10" i="10"/>
  <c r="Z19" i="10"/>
  <c r="AD25" i="11"/>
  <c r="AE25" i="11"/>
  <c r="AE11" i="11"/>
  <c r="AD11" i="11"/>
  <c r="AD5" i="11"/>
  <c r="AE22" i="11"/>
  <c r="U33" i="11"/>
  <c r="Q32" i="17"/>
  <c r="R31" i="17"/>
  <c r="T31" i="17"/>
  <c r="N4" i="17"/>
  <c r="T4" i="17" s="1"/>
  <c r="R9" i="11"/>
  <c r="T6" i="11"/>
  <c r="R14" i="11"/>
  <c r="R12" i="11"/>
  <c r="R12" i="10"/>
  <c r="R4" i="11"/>
  <c r="R8" i="10"/>
  <c r="R9" i="10"/>
  <c r="S9" i="10" s="1"/>
  <c r="Z33" i="11"/>
  <c r="Z36" i="11"/>
  <c r="T16" i="10"/>
  <c r="N5" i="17"/>
  <c r="R5" i="17" s="1"/>
  <c r="R24" i="11"/>
  <c r="T17" i="10"/>
  <c r="T20" i="10"/>
  <c r="R22" i="11"/>
  <c r="R22" i="10"/>
  <c r="Q31" i="17"/>
  <c r="R21" i="10"/>
  <c r="T14" i="10"/>
  <c r="R14" i="10"/>
  <c r="R36" i="11"/>
  <c r="T10" i="10"/>
  <c r="T9" i="10"/>
  <c r="Z32" i="11"/>
  <c r="P36" i="11"/>
  <c r="S36" i="11"/>
  <c r="Z38" i="11"/>
  <c r="P35" i="11"/>
  <c r="Z40" i="11"/>
  <c r="U38" i="11"/>
  <c r="Z35" i="11"/>
  <c r="T33" i="11"/>
  <c r="U36" i="11"/>
  <c r="C4" i="11"/>
  <c r="Q7" i="11"/>
  <c r="P5" i="11"/>
  <c r="S29" i="17"/>
  <c r="R29" i="17"/>
  <c r="Q6" i="11"/>
  <c r="C9" i="11"/>
  <c r="X22" i="10"/>
  <c r="C12" i="11"/>
  <c r="X38" i="11"/>
  <c r="AA38" i="11" s="1"/>
  <c r="P37" i="11"/>
  <c r="Q13" i="10"/>
  <c r="S13" i="10" s="1"/>
  <c r="Q5" i="11"/>
  <c r="C18" i="11"/>
  <c r="T29" i="17"/>
  <c r="P38" i="11"/>
  <c r="Q4" i="11"/>
  <c r="V9" i="20"/>
  <c r="V13" i="20"/>
  <c r="G31" i="17"/>
  <c r="V23" i="20"/>
  <c r="P12" i="11"/>
  <c r="S4" i="10"/>
  <c r="V15" i="20"/>
  <c r="V19" i="20"/>
  <c r="V21" i="20"/>
  <c r="V18" i="20"/>
  <c r="V4" i="20"/>
  <c r="V16" i="20"/>
  <c r="V10" i="20"/>
  <c r="V14" i="20"/>
  <c r="V6" i="20"/>
  <c r="V22" i="20"/>
  <c r="V12" i="20"/>
  <c r="V8" i="20"/>
  <c r="V17" i="20"/>
  <c r="V5" i="20"/>
  <c r="V11" i="20"/>
  <c r="V20" i="20"/>
  <c r="C15" i="11"/>
  <c r="C6" i="11"/>
  <c r="P4" i="11"/>
  <c r="P9" i="11"/>
  <c r="C14" i="11"/>
  <c r="C22" i="11"/>
  <c r="C21" i="11"/>
  <c r="P15" i="11"/>
  <c r="P7" i="11"/>
  <c r="C5" i="11"/>
  <c r="K27" i="11"/>
  <c r="K15" i="17"/>
  <c r="E15" i="17"/>
  <c r="P13" i="11"/>
  <c r="F15" i="17"/>
  <c r="C13" i="11"/>
  <c r="Q9" i="11"/>
  <c r="O15" i="17"/>
  <c r="P15" i="17" s="1"/>
  <c r="C7" i="11"/>
  <c r="P11" i="11"/>
  <c r="C26" i="11"/>
  <c r="Q12" i="11"/>
  <c r="H10" i="17"/>
  <c r="F10" i="17"/>
  <c r="C10" i="17" s="1"/>
  <c r="I10" i="17"/>
  <c r="Q17" i="10"/>
  <c r="Q18" i="11"/>
  <c r="Q11" i="11"/>
  <c r="K10" i="17"/>
  <c r="Q12" i="10"/>
  <c r="Q14" i="11"/>
  <c r="Q22" i="10"/>
  <c r="G38" i="10"/>
  <c r="Q14" i="10"/>
  <c r="Q15" i="11"/>
  <c r="Q10" i="10"/>
  <c r="G36" i="17"/>
  <c r="S36" i="17"/>
  <c r="AA34" i="11"/>
  <c r="J53" i="11"/>
  <c r="J54" i="11"/>
  <c r="X35" i="11"/>
  <c r="AA35" i="11" s="1"/>
  <c r="AA33" i="11"/>
  <c r="X40" i="11"/>
  <c r="AA40" i="11" s="1"/>
  <c r="J48" i="11"/>
  <c r="J55" i="11"/>
  <c r="Q34" i="11"/>
  <c r="P34" i="11"/>
  <c r="S33" i="17"/>
  <c r="T35" i="17"/>
  <c r="S21" i="17"/>
  <c r="P33" i="11"/>
  <c r="X4" i="10"/>
  <c r="Q40" i="11"/>
  <c r="V40" i="11"/>
  <c r="R36" i="17"/>
  <c r="T36" i="17"/>
  <c r="E37" i="17"/>
  <c r="V7" i="19"/>
  <c r="V9" i="19"/>
  <c r="V19" i="19"/>
  <c r="V23" i="19"/>
  <c r="V5" i="19"/>
  <c r="V4" i="19"/>
  <c r="V18" i="19"/>
  <c r="V20" i="19"/>
  <c r="V14" i="19"/>
  <c r="V21" i="19"/>
  <c r="V16" i="19"/>
  <c r="V12" i="19"/>
  <c r="V15" i="19"/>
  <c r="V10" i="19"/>
  <c r="V17" i="19"/>
  <c r="V22" i="19"/>
  <c r="V6" i="19"/>
  <c r="V11" i="19"/>
  <c r="V8" i="19"/>
  <c r="V13" i="19"/>
  <c r="Q35" i="17"/>
  <c r="P36" i="17"/>
  <c r="H37" i="17"/>
  <c r="T34" i="17"/>
  <c r="V35" i="17"/>
  <c r="AD6" i="11"/>
  <c r="AD19" i="11"/>
  <c r="AE21" i="11"/>
  <c r="AD17" i="11"/>
  <c r="AE19" i="11"/>
  <c r="AD21" i="11"/>
  <c r="AE6" i="11"/>
  <c r="C23" i="11"/>
  <c r="AE17" i="11"/>
  <c r="R34" i="11"/>
  <c r="X36" i="11"/>
  <c r="AA36" i="11" s="1"/>
  <c r="T36" i="11"/>
  <c r="R41" i="11"/>
  <c r="X32" i="11"/>
  <c r="AA32" i="11" s="1"/>
  <c r="T37" i="11"/>
  <c r="R40" i="11"/>
  <c r="V36" i="11"/>
  <c r="V34" i="11"/>
  <c r="V41" i="11"/>
  <c r="B42" i="11"/>
  <c r="Q36" i="11"/>
  <c r="U36" i="17"/>
  <c r="R34" i="17"/>
  <c r="S34" i="11"/>
  <c r="T34" i="11"/>
  <c r="E42" i="11"/>
  <c r="Q41" i="11"/>
  <c r="C42" i="11"/>
  <c r="S37" i="11"/>
  <c r="S34" i="17"/>
  <c r="S40" i="11"/>
  <c r="F37" i="17"/>
  <c r="B37" i="17"/>
  <c r="S30" i="17"/>
  <c r="R11" i="10"/>
  <c r="S11" i="10" s="1"/>
  <c r="C14" i="17"/>
  <c r="C12" i="1"/>
  <c r="C19" i="11"/>
  <c r="L8" i="1"/>
  <c r="E8" i="1"/>
  <c r="I8" i="1"/>
  <c r="O11" i="17"/>
  <c r="P11" i="17" s="1"/>
  <c r="M11" i="17"/>
  <c r="M25" i="17" s="1"/>
  <c r="F11" i="17"/>
  <c r="D8" i="1"/>
  <c r="P8" i="1" s="1"/>
  <c r="M8" i="1"/>
  <c r="AD7" i="11"/>
  <c r="I11" i="17"/>
  <c r="AE7" i="11"/>
  <c r="J11" i="17"/>
  <c r="J25" i="17" s="1"/>
  <c r="F8" i="1"/>
  <c r="K11" i="17"/>
  <c r="P5" i="17"/>
  <c r="P20" i="1"/>
  <c r="J8" i="1"/>
  <c r="E11" i="17"/>
  <c r="P14" i="17"/>
  <c r="H11" i="17"/>
  <c r="C17" i="1"/>
  <c r="P19" i="11"/>
  <c r="P18" i="11"/>
  <c r="R23" i="11"/>
  <c r="N17" i="17"/>
  <c r="T17" i="17" s="1"/>
  <c r="N14" i="17"/>
  <c r="R14" i="17" s="1"/>
  <c r="N11" i="17"/>
  <c r="P24" i="17"/>
  <c r="G11" i="17"/>
  <c r="N22" i="17"/>
  <c r="T22" i="17" s="1"/>
  <c r="T11" i="10"/>
  <c r="P8" i="17"/>
  <c r="P7" i="17"/>
  <c r="R19" i="11"/>
  <c r="C17" i="17"/>
  <c r="N13" i="17"/>
  <c r="T13" i="17" s="1"/>
  <c r="C19" i="17"/>
  <c r="N12" i="17"/>
  <c r="R12" i="17" s="1"/>
  <c r="C6" i="17"/>
  <c r="C22" i="17"/>
  <c r="G7" i="17"/>
  <c r="Q7" i="17" s="1"/>
  <c r="P24" i="11"/>
  <c r="P19" i="17"/>
  <c r="P10" i="17"/>
  <c r="R19" i="10"/>
  <c r="R33" i="11"/>
  <c r="S33" i="11"/>
  <c r="S31" i="11"/>
  <c r="T41" i="11"/>
  <c r="J37" i="17"/>
  <c r="O37" i="17"/>
  <c r="P41" i="11"/>
  <c r="T40" i="11"/>
  <c r="P31" i="17"/>
  <c r="R37" i="11"/>
  <c r="J42" i="11"/>
  <c r="M37" i="17"/>
  <c r="U35" i="17"/>
  <c r="I37" i="17"/>
  <c r="F42" i="11"/>
  <c r="U40" i="11"/>
  <c r="P33" i="17"/>
  <c r="R33" i="17"/>
  <c r="R35" i="17"/>
  <c r="U41" i="11"/>
  <c r="S31" i="17"/>
  <c r="I42" i="11"/>
  <c r="U32" i="17"/>
  <c r="V33" i="17"/>
  <c r="N37" i="17"/>
  <c r="Q34" i="17"/>
  <c r="D42" i="11"/>
  <c r="V33" i="11"/>
  <c r="AB33" i="11" s="1"/>
  <c r="P35" i="17"/>
  <c r="L42" i="11"/>
  <c r="N42" i="11"/>
  <c r="V31" i="17"/>
  <c r="C8" i="17"/>
  <c r="C4" i="17"/>
  <c r="V9" i="13"/>
  <c r="P17" i="17"/>
  <c r="N20" i="17"/>
  <c r="T20" i="17" s="1"/>
  <c r="N24" i="17"/>
  <c r="R24" i="17" s="1"/>
  <c r="N16" i="17"/>
  <c r="T16" i="17" s="1"/>
  <c r="N19" i="17"/>
  <c r="R19" i="17" s="1"/>
  <c r="T5" i="10"/>
  <c r="N18" i="17"/>
  <c r="R18" i="17" s="1"/>
  <c r="Q36" i="17"/>
  <c r="R31" i="11"/>
  <c r="U33" i="17"/>
  <c r="T31" i="11"/>
  <c r="U31" i="11"/>
  <c r="V34" i="17"/>
  <c r="P31" i="11"/>
  <c r="Q37" i="11"/>
  <c r="V32" i="17"/>
  <c r="S41" i="11"/>
  <c r="O42" i="11"/>
  <c r="V37" i="11"/>
  <c r="S32" i="11"/>
  <c r="Q33" i="17"/>
  <c r="T33" i="17"/>
  <c r="L37" i="17"/>
  <c r="M42" i="11"/>
  <c r="V36" i="17"/>
  <c r="Q33" i="11"/>
  <c r="C37" i="17"/>
  <c r="D37" i="17"/>
  <c r="G6" i="17"/>
  <c r="Q6" i="17" s="1"/>
  <c r="Q23" i="11"/>
  <c r="G16" i="17"/>
  <c r="Q16" i="17" s="1"/>
  <c r="N23" i="17"/>
  <c r="R23" i="17" s="1"/>
  <c r="G19" i="17"/>
  <c r="Q19" i="17" s="1"/>
  <c r="C18" i="17"/>
  <c r="C12" i="17"/>
  <c r="P6" i="17"/>
  <c r="C7" i="17"/>
  <c r="L25" i="17"/>
  <c r="Q21" i="10"/>
  <c r="G4" i="17"/>
  <c r="G14" i="17"/>
  <c r="Q14" i="17" s="1"/>
  <c r="G20" i="17"/>
  <c r="Q20" i="17" s="1"/>
  <c r="D25" i="17"/>
  <c r="G13" i="17"/>
  <c r="Q13" i="17" s="1"/>
  <c r="C23" i="17"/>
  <c r="G24" i="17"/>
  <c r="Q24" i="17" s="1"/>
  <c r="C5" i="17"/>
  <c r="R23" i="10"/>
  <c r="S23" i="10" s="1"/>
  <c r="G23" i="17"/>
  <c r="Q23" i="17" s="1"/>
  <c r="G15" i="17"/>
  <c r="Q24" i="11"/>
  <c r="G22" i="17"/>
  <c r="Q22" i="17" s="1"/>
  <c r="C9" i="17"/>
  <c r="P20" i="17"/>
  <c r="P9" i="17"/>
  <c r="P18" i="17"/>
  <c r="G8" i="17"/>
  <c r="Q8" i="17" s="1"/>
  <c r="Q19" i="10"/>
  <c r="N8" i="17"/>
  <c r="N7" i="17"/>
  <c r="T7" i="17" s="1"/>
  <c r="P16" i="17"/>
  <c r="C16" i="17"/>
  <c r="P4" i="17"/>
  <c r="R5" i="10"/>
  <c r="S5" i="10" s="1"/>
  <c r="N9" i="17"/>
  <c r="R9" i="17" s="1"/>
  <c r="G18" i="17"/>
  <c r="Q18" i="17" s="1"/>
  <c r="G9" i="17"/>
  <c r="Q9" i="17" s="1"/>
  <c r="P13" i="17"/>
  <c r="C20" i="17"/>
  <c r="P22" i="17"/>
  <c r="G5" i="17"/>
  <c r="Q5" i="17" s="1"/>
  <c r="T4" i="10"/>
  <c r="Q8" i="10"/>
  <c r="N6" i="17"/>
  <c r="R6" i="17" s="1"/>
  <c r="Q19" i="11"/>
  <c r="G12" i="17"/>
  <c r="Q12" i="17" s="1"/>
  <c r="G17" i="17"/>
  <c r="Q17" i="17" s="1"/>
  <c r="C24" i="17"/>
  <c r="C13" i="17"/>
  <c r="P23" i="17"/>
  <c r="P12" i="17"/>
  <c r="S6" i="10"/>
  <c r="Q15" i="10"/>
  <c r="S15" i="10" s="1"/>
  <c r="Q7" i="10"/>
  <c r="T7" i="10"/>
  <c r="Q16" i="10"/>
  <c r="Q37" i="5"/>
  <c r="V37" i="5"/>
  <c r="R37" i="5"/>
  <c r="P37" i="5"/>
  <c r="U37" i="5"/>
  <c r="R17" i="1"/>
  <c r="T17" i="1"/>
  <c r="V7" i="13"/>
  <c r="U11" i="14"/>
  <c r="U18" i="14"/>
  <c r="U7" i="14"/>
  <c r="R7" i="10"/>
  <c r="U14" i="14"/>
  <c r="U22" i="14"/>
  <c r="S5" i="14"/>
  <c r="U13" i="14"/>
  <c r="U10" i="14"/>
  <c r="U16" i="14"/>
  <c r="U5" i="14"/>
  <c r="U17" i="14"/>
  <c r="U23" i="14"/>
  <c r="U19" i="14"/>
  <c r="U21" i="14"/>
  <c r="U8" i="14"/>
  <c r="U12" i="14"/>
  <c r="U9" i="14"/>
  <c r="U4" i="14"/>
  <c r="U20" i="14"/>
  <c r="S20" i="14"/>
  <c r="U6" i="14"/>
  <c r="U15" i="14"/>
  <c r="N24" i="10"/>
  <c r="S23" i="14"/>
  <c r="S17" i="14"/>
  <c r="R18" i="10"/>
  <c r="S18" i="10" s="1"/>
  <c r="T18" i="10"/>
  <c r="V5" i="13"/>
  <c r="V4" i="13"/>
  <c r="U38" i="10"/>
  <c r="V19" i="13"/>
  <c r="S9" i="14"/>
  <c r="V16" i="13"/>
  <c r="P24" i="10"/>
  <c r="P14" i="1"/>
  <c r="V11" i="13"/>
  <c r="V18" i="13"/>
  <c r="V8" i="13"/>
  <c r="V10" i="13"/>
  <c r="V6" i="13"/>
  <c r="V12" i="13"/>
  <c r="V14" i="13"/>
  <c r="V21" i="13"/>
  <c r="V17" i="13"/>
  <c r="V22" i="13"/>
  <c r="V20" i="13"/>
  <c r="G24" i="10"/>
  <c r="V23" i="13"/>
  <c r="V15" i="13"/>
  <c r="V13" i="13"/>
  <c r="C24" i="10"/>
  <c r="X10" i="10" s="1"/>
  <c r="P6" i="11"/>
  <c r="R14" i="1"/>
  <c r="Q14" i="1"/>
  <c r="R7" i="1"/>
  <c r="C22" i="1"/>
  <c r="R19" i="1"/>
  <c r="P5" i="1"/>
  <c r="C24" i="11"/>
  <c r="P23" i="1"/>
  <c r="C5" i="1"/>
  <c r="C18" i="1"/>
  <c r="K21" i="1"/>
  <c r="T23" i="1"/>
  <c r="L21" i="1"/>
  <c r="P14" i="11"/>
  <c r="D16" i="1"/>
  <c r="R16" i="1" s="1"/>
  <c r="M16" i="1"/>
  <c r="P13" i="1"/>
  <c r="T14" i="1"/>
  <c r="E16" i="1"/>
  <c r="C16" i="1" s="1"/>
  <c r="R22" i="1"/>
  <c r="P17" i="1"/>
  <c r="T9" i="1"/>
  <c r="Q17" i="1"/>
  <c r="R23" i="1"/>
  <c r="P9" i="1"/>
  <c r="I27" i="11"/>
  <c r="C19" i="1"/>
  <c r="J16" i="1"/>
  <c r="K16" i="1"/>
  <c r="O16" i="1"/>
  <c r="M27" i="11"/>
  <c r="P22" i="11"/>
  <c r="H27" i="11"/>
  <c r="M21" i="1"/>
  <c r="N21" i="1"/>
  <c r="N25" i="1" s="1"/>
  <c r="T7" i="1"/>
  <c r="Q9" i="1"/>
  <c r="Q5" i="1"/>
  <c r="C4" i="1"/>
  <c r="R6" i="1"/>
  <c r="P4" i="1"/>
  <c r="P25" i="5"/>
  <c r="O21" i="1"/>
  <c r="T5" i="1"/>
  <c r="D21" i="1"/>
  <c r="AD13" i="11" s="1"/>
  <c r="T18" i="1"/>
  <c r="I21" i="1"/>
  <c r="R18" i="1"/>
  <c r="R5" i="1"/>
  <c r="P7" i="1"/>
  <c r="Q7" i="1"/>
  <c r="P23" i="11"/>
  <c r="P19" i="1"/>
  <c r="R38" i="10"/>
  <c r="T38" i="10"/>
  <c r="P38" i="10"/>
  <c r="C20" i="1"/>
  <c r="C10" i="1"/>
  <c r="T20" i="1"/>
  <c r="R12" i="1"/>
  <c r="T12" i="1"/>
  <c r="R10" i="1"/>
  <c r="Q22" i="1"/>
  <c r="P24" i="1"/>
  <c r="Q18" i="1"/>
  <c r="P12" i="1"/>
  <c r="P11" i="1"/>
  <c r="P6" i="1"/>
  <c r="C23" i="1"/>
  <c r="Q12" i="1"/>
  <c r="T22" i="1"/>
  <c r="P22" i="1"/>
  <c r="C21" i="1"/>
  <c r="Q23" i="1"/>
  <c r="Q10" i="1"/>
  <c r="Q24" i="1"/>
  <c r="R11" i="1"/>
  <c r="Q15" i="1"/>
  <c r="S15" i="1" s="1"/>
  <c r="T4" i="1"/>
  <c r="R4" i="1"/>
  <c r="C13" i="1"/>
  <c r="R13" i="1"/>
  <c r="P10" i="1"/>
  <c r="Q19" i="1"/>
  <c r="T24" i="1"/>
  <c r="Q6" i="1"/>
  <c r="R20" i="1"/>
  <c r="T10" i="1"/>
  <c r="C6" i="1"/>
  <c r="T11" i="1"/>
  <c r="Q20" i="1"/>
  <c r="Q11" i="1"/>
  <c r="R24" i="1"/>
  <c r="T19" i="1"/>
  <c r="T6" i="1"/>
  <c r="T13" i="1"/>
  <c r="C11" i="1"/>
  <c r="C9" i="1"/>
  <c r="C25" i="5"/>
  <c r="C24" i="1"/>
  <c r="R9" i="1"/>
  <c r="Q13" i="1"/>
  <c r="G25" i="1"/>
  <c r="Q4" i="1"/>
  <c r="H25" i="1"/>
  <c r="S37" i="1"/>
  <c r="U37" i="1"/>
  <c r="P37" i="1"/>
  <c r="Q37" i="1"/>
  <c r="T37" i="1"/>
  <c r="R37" i="1"/>
  <c r="V37" i="1"/>
  <c r="V14" i="21" l="1"/>
  <c r="V19" i="21"/>
  <c r="X7" i="11"/>
  <c r="Y14" i="11"/>
  <c r="X15" i="11"/>
  <c r="V25" i="21"/>
  <c r="T22" i="27"/>
  <c r="V23" i="21"/>
  <c r="V9" i="21"/>
  <c r="V20" i="21"/>
  <c r="V22" i="21"/>
  <c r="V13" i="21"/>
  <c r="V15" i="21"/>
  <c r="V10" i="14"/>
  <c r="V18" i="21"/>
  <c r="V7" i="21"/>
  <c r="V12" i="21"/>
  <c r="V10" i="21"/>
  <c r="V16" i="21"/>
  <c r="V11" i="21"/>
  <c r="V8" i="21"/>
  <c r="V21" i="21"/>
  <c r="V17" i="21"/>
  <c r="V5" i="21"/>
  <c r="V4" i="21"/>
  <c r="V6" i="21"/>
  <c r="V24" i="21"/>
  <c r="AE13" i="11"/>
  <c r="S12" i="10"/>
  <c r="Z24" i="11"/>
  <c r="X24" i="11"/>
  <c r="X23" i="11"/>
  <c r="Z14" i="11"/>
  <c r="Y9" i="11"/>
  <c r="Z5" i="11"/>
  <c r="Z6" i="11"/>
  <c r="AA26" i="11"/>
  <c r="Z23" i="11"/>
  <c r="Y6" i="11"/>
  <c r="X14" i="11"/>
  <c r="X9" i="11"/>
  <c r="AA24" i="11"/>
  <c r="AA21" i="11"/>
  <c r="X5" i="11"/>
  <c r="Y26" i="11"/>
  <c r="AA7" i="11"/>
  <c r="Y19" i="11"/>
  <c r="X19" i="11"/>
  <c r="Z9" i="11"/>
  <c r="Y7" i="11"/>
  <c r="Y4" i="11"/>
  <c r="Z21" i="11"/>
  <c r="AA14" i="11"/>
  <c r="Y23" i="11"/>
  <c r="X13" i="11"/>
  <c r="X6" i="11"/>
  <c r="Z4" i="11"/>
  <c r="Z12" i="11"/>
  <c r="Y21" i="11"/>
  <c r="Y5" i="11"/>
  <c r="AA9" i="11"/>
  <c r="Y24" i="11"/>
  <c r="X26" i="11"/>
  <c r="Y13" i="11"/>
  <c r="X21" i="11"/>
  <c r="X22" i="11"/>
  <c r="X4" i="11"/>
  <c r="AA4" i="11"/>
  <c r="S10" i="10"/>
  <c r="S16" i="10"/>
  <c r="AA15" i="10"/>
  <c r="AA22" i="10"/>
  <c r="AA21" i="10"/>
  <c r="S17" i="10"/>
  <c r="AA10" i="10"/>
  <c r="AA19" i="10"/>
  <c r="AA17" i="10"/>
  <c r="AA5" i="10"/>
  <c r="AA9" i="10"/>
  <c r="AA23" i="10"/>
  <c r="AA11" i="10"/>
  <c r="AA16" i="10"/>
  <c r="AA8" i="10"/>
  <c r="AA14" i="10"/>
  <c r="AA6" i="10"/>
  <c r="AA13" i="10"/>
  <c r="AA7" i="10"/>
  <c r="AA4" i="10"/>
  <c r="AA12" i="10"/>
  <c r="AA18" i="10"/>
  <c r="AA20" i="10"/>
  <c r="R4" i="17"/>
  <c r="R6" i="11"/>
  <c r="AA6" i="11" s="1"/>
  <c r="S8" i="10"/>
  <c r="AE18" i="11"/>
  <c r="AD18" i="11"/>
  <c r="T5" i="17"/>
  <c r="S14" i="10"/>
  <c r="S22" i="10"/>
  <c r="S21" i="10"/>
  <c r="V14" i="14"/>
  <c r="AE26" i="11"/>
  <c r="AD26" i="11"/>
  <c r="G42" i="11"/>
  <c r="G37" i="17"/>
  <c r="L27" i="11"/>
  <c r="Q17" i="11"/>
  <c r="C17" i="11"/>
  <c r="X17" i="11" s="1"/>
  <c r="E25" i="17"/>
  <c r="F25" i="17"/>
  <c r="C15" i="17"/>
  <c r="Q15" i="17"/>
  <c r="I25" i="17"/>
  <c r="P17" i="11"/>
  <c r="H25" i="17"/>
  <c r="X12" i="10"/>
  <c r="N10" i="17"/>
  <c r="R10" i="17" s="1"/>
  <c r="R13" i="11"/>
  <c r="AA13" i="11" s="1"/>
  <c r="N15" i="17"/>
  <c r="R15" i="17" s="1"/>
  <c r="Q13" i="11"/>
  <c r="Z13" i="11" s="1"/>
  <c r="F27" i="11"/>
  <c r="O27" i="11"/>
  <c r="K25" i="17"/>
  <c r="G10" i="17"/>
  <c r="Q10" i="17" s="1"/>
  <c r="X13" i="10"/>
  <c r="X17" i="10"/>
  <c r="X19" i="10"/>
  <c r="X6" i="10"/>
  <c r="X15" i="10"/>
  <c r="X7" i="10"/>
  <c r="X18" i="10"/>
  <c r="R17" i="11"/>
  <c r="X14" i="10"/>
  <c r="X20" i="10"/>
  <c r="X16" i="10"/>
  <c r="X11" i="10"/>
  <c r="X9" i="10"/>
  <c r="X21" i="10"/>
  <c r="X8" i="10"/>
  <c r="X23" i="10"/>
  <c r="X5" i="10"/>
  <c r="Y34" i="11"/>
  <c r="Y32" i="11"/>
  <c r="AB32" i="11"/>
  <c r="Y35" i="11"/>
  <c r="Y36" i="11"/>
  <c r="Y33" i="11"/>
  <c r="AB35" i="11"/>
  <c r="Y38" i="11"/>
  <c r="Y40" i="11"/>
  <c r="T12" i="11"/>
  <c r="T15" i="11"/>
  <c r="T9" i="11"/>
  <c r="T7" i="11"/>
  <c r="T8" i="11"/>
  <c r="AD8" i="11"/>
  <c r="AE8" i="11"/>
  <c r="AE16" i="11"/>
  <c r="AD16" i="11"/>
  <c r="U7" i="10"/>
  <c r="R37" i="17"/>
  <c r="P37" i="17"/>
  <c r="S37" i="17"/>
  <c r="T37" i="17"/>
  <c r="S42" i="11"/>
  <c r="J25" i="1"/>
  <c r="T14" i="17"/>
  <c r="S14" i="17"/>
  <c r="S17" i="1"/>
  <c r="AD4" i="11"/>
  <c r="S19" i="10"/>
  <c r="O25" i="17"/>
  <c r="P25" i="17" s="1"/>
  <c r="AD24" i="11"/>
  <c r="AE24" i="11"/>
  <c r="D27" i="11"/>
  <c r="P8" i="11"/>
  <c r="Y8" i="11" s="1"/>
  <c r="C8" i="11"/>
  <c r="X18" i="11" s="1"/>
  <c r="AE4" i="11"/>
  <c r="T18" i="11"/>
  <c r="U42" i="11"/>
  <c r="T11" i="11"/>
  <c r="Q11" i="17"/>
  <c r="Q8" i="1"/>
  <c r="R22" i="17"/>
  <c r="S22" i="17" s="1"/>
  <c r="L25" i="1"/>
  <c r="I25" i="1"/>
  <c r="T19" i="17"/>
  <c r="R16" i="17"/>
  <c r="S16" i="17" s="1"/>
  <c r="Q8" i="11"/>
  <c r="Z18" i="11" s="1"/>
  <c r="C11" i="17"/>
  <c r="C8" i="1"/>
  <c r="E25" i="1"/>
  <c r="R5" i="11"/>
  <c r="AA5" i="11" s="1"/>
  <c r="T23" i="17"/>
  <c r="R8" i="1"/>
  <c r="R17" i="17"/>
  <c r="S17" i="17" s="1"/>
  <c r="T23" i="11"/>
  <c r="T8" i="1"/>
  <c r="F25" i="1"/>
  <c r="R11" i="17"/>
  <c r="R18" i="11"/>
  <c r="AA18" i="11" s="1"/>
  <c r="R11" i="11"/>
  <c r="T11" i="17"/>
  <c r="T12" i="17"/>
  <c r="R8" i="11"/>
  <c r="S19" i="11"/>
  <c r="S23" i="17"/>
  <c r="S24" i="11"/>
  <c r="AB24" i="11" s="1"/>
  <c r="T16" i="11"/>
  <c r="S19" i="17"/>
  <c r="T4" i="11"/>
  <c r="R13" i="17"/>
  <c r="S13" i="17" s="1"/>
  <c r="S24" i="17"/>
  <c r="S5" i="17"/>
  <c r="T22" i="11"/>
  <c r="R20" i="17"/>
  <c r="S20" i="17" s="1"/>
  <c r="T19" i="11"/>
  <c r="T18" i="17"/>
  <c r="U37" i="17"/>
  <c r="P42" i="11"/>
  <c r="S6" i="17"/>
  <c r="S9" i="17"/>
  <c r="T24" i="11"/>
  <c r="S18" i="17"/>
  <c r="T24" i="17"/>
  <c r="S12" i="17"/>
  <c r="R42" i="11"/>
  <c r="T42" i="11"/>
  <c r="T9" i="17"/>
  <c r="T8" i="17"/>
  <c r="R8" i="17"/>
  <c r="Q4" i="17"/>
  <c r="R7" i="17"/>
  <c r="T6" i="17"/>
  <c r="V7" i="14"/>
  <c r="V8" i="14"/>
  <c r="V23" i="14"/>
  <c r="V19" i="14"/>
  <c r="V9" i="14"/>
  <c r="U10" i="10"/>
  <c r="D25" i="1"/>
  <c r="S15" i="11"/>
  <c r="S14" i="1"/>
  <c r="M25" i="1"/>
  <c r="S7" i="1"/>
  <c r="S9" i="11"/>
  <c r="AB9" i="11" s="1"/>
  <c r="S7" i="10"/>
  <c r="U11" i="10"/>
  <c r="U6" i="10"/>
  <c r="U14" i="10"/>
  <c r="U4" i="10"/>
  <c r="V15" i="14"/>
  <c r="V20" i="14"/>
  <c r="V16" i="14"/>
  <c r="V11" i="14"/>
  <c r="V18" i="14"/>
  <c r="U5" i="10"/>
  <c r="U21" i="10"/>
  <c r="V4" i="14"/>
  <c r="U22" i="10"/>
  <c r="U16" i="10"/>
  <c r="U17" i="10"/>
  <c r="U23" i="10"/>
  <c r="U9" i="10"/>
  <c r="U12" i="10"/>
  <c r="U8" i="10"/>
  <c r="U18" i="10"/>
  <c r="U13" i="10"/>
  <c r="V6" i="14"/>
  <c r="V22" i="14"/>
  <c r="V5" i="14"/>
  <c r="V12" i="14"/>
  <c r="V21" i="14"/>
  <c r="V13" i="14"/>
  <c r="V17" i="14"/>
  <c r="U19" i="10"/>
  <c r="S20" i="10"/>
  <c r="U15" i="10"/>
  <c r="U20" i="10"/>
  <c r="S19" i="1"/>
  <c r="P16" i="1"/>
  <c r="K25" i="1"/>
  <c r="S14" i="11"/>
  <c r="T16" i="1"/>
  <c r="Q16" i="1"/>
  <c r="S16" i="1" s="1"/>
  <c r="S23" i="11"/>
  <c r="S10" i="1"/>
  <c r="O25" i="1"/>
  <c r="S4" i="11"/>
  <c r="S12" i="11"/>
  <c r="Q21" i="1"/>
  <c r="S22" i="1"/>
  <c r="Q16" i="11"/>
  <c r="Z15" i="11" s="1"/>
  <c r="S23" i="1"/>
  <c r="J27" i="11"/>
  <c r="S5" i="1"/>
  <c r="P16" i="11"/>
  <c r="Y16" i="11" s="1"/>
  <c r="P21" i="1"/>
  <c r="Y22" i="11" s="1"/>
  <c r="S9" i="1"/>
  <c r="S6" i="1"/>
  <c r="E27" i="11"/>
  <c r="AE15" i="11" s="1"/>
  <c r="C16" i="11"/>
  <c r="X16" i="11" s="1"/>
  <c r="R16" i="11"/>
  <c r="AA15" i="11" s="1"/>
  <c r="Q22" i="11"/>
  <c r="Z26" i="11" s="1"/>
  <c r="S7" i="11"/>
  <c r="T14" i="11"/>
  <c r="R21" i="1"/>
  <c r="AA22" i="11" s="1"/>
  <c r="T21" i="1"/>
  <c r="S12" i="1"/>
  <c r="S18" i="1"/>
  <c r="S24" i="1"/>
  <c r="S4" i="1"/>
  <c r="S13" i="1"/>
  <c r="S11" i="1"/>
  <c r="S20" i="1"/>
  <c r="AA17" i="11" l="1"/>
  <c r="AA10" i="11"/>
  <c r="Z17" i="11"/>
  <c r="Z10" i="11"/>
  <c r="X11" i="11"/>
  <c r="AH11" i="11" s="1"/>
  <c r="Z11" i="11"/>
  <c r="Y17" i="11"/>
  <c r="Y10" i="11"/>
  <c r="Y11" i="11"/>
  <c r="Z7" i="11"/>
  <c r="Y15" i="11"/>
  <c r="X10" i="11"/>
  <c r="X12" i="11"/>
  <c r="Y18" i="11"/>
  <c r="AB21" i="11"/>
  <c r="Z19" i="11"/>
  <c r="AA12" i="11"/>
  <c r="AA11" i="11"/>
  <c r="Y12" i="11"/>
  <c r="AA19" i="11"/>
  <c r="AA23" i="11"/>
  <c r="AD15" i="11"/>
  <c r="U20" i="11"/>
  <c r="U26" i="11"/>
  <c r="U25" i="11"/>
  <c r="U21" i="11"/>
  <c r="AH7" i="11"/>
  <c r="AH22" i="11"/>
  <c r="AH17" i="11"/>
  <c r="AH25" i="11"/>
  <c r="AA16" i="11"/>
  <c r="U10" i="11"/>
  <c r="AH14" i="11"/>
  <c r="AH19" i="11"/>
  <c r="AH20" i="11"/>
  <c r="AH21" i="11"/>
  <c r="AH6" i="11"/>
  <c r="AH5" i="11"/>
  <c r="AH16" i="11"/>
  <c r="X8" i="11"/>
  <c r="AH15" i="11" s="1"/>
  <c r="AA8" i="11"/>
  <c r="Z8" i="11"/>
  <c r="AH24" i="11"/>
  <c r="Z16" i="11"/>
  <c r="Z22" i="11"/>
  <c r="S4" i="17"/>
  <c r="S6" i="11"/>
  <c r="AB6" i="11" s="1"/>
  <c r="AE23" i="11"/>
  <c r="AH23" i="11" s="1"/>
  <c r="AD23" i="11"/>
  <c r="S5" i="11"/>
  <c r="G25" i="17"/>
  <c r="Q25" i="17" s="1"/>
  <c r="C25" i="17"/>
  <c r="P27" i="11"/>
  <c r="Y27" i="11" s="1"/>
  <c r="S10" i="17"/>
  <c r="S15" i="17"/>
  <c r="T17" i="11"/>
  <c r="T10" i="17"/>
  <c r="S17" i="11"/>
  <c r="N25" i="17"/>
  <c r="R25" i="17" s="1"/>
  <c r="N27" i="11"/>
  <c r="R27" i="11" s="1"/>
  <c r="S13" i="11"/>
  <c r="AB13" i="11" s="1"/>
  <c r="G27" i="11"/>
  <c r="Q27" i="11" s="1"/>
  <c r="Z27" i="11" s="1"/>
  <c r="C27" i="11"/>
  <c r="T13" i="11"/>
  <c r="T15" i="17"/>
  <c r="C25" i="1"/>
  <c r="S11" i="17"/>
  <c r="S11" i="11"/>
  <c r="AB11" i="11" s="1"/>
  <c r="S18" i="11"/>
  <c r="AB18" i="11" s="1"/>
  <c r="S22" i="11"/>
  <c r="AB7" i="11" s="1"/>
  <c r="Q25" i="1"/>
  <c r="S8" i="1"/>
  <c r="S8" i="11"/>
  <c r="U12" i="1"/>
  <c r="P25" i="1"/>
  <c r="R25" i="1"/>
  <c r="U17" i="17"/>
  <c r="U10" i="17"/>
  <c r="U9" i="17"/>
  <c r="U13" i="17"/>
  <c r="U8" i="17"/>
  <c r="S8" i="17"/>
  <c r="U12" i="17"/>
  <c r="U15" i="17"/>
  <c r="U16" i="17"/>
  <c r="S7" i="17"/>
  <c r="U23" i="17"/>
  <c r="U5" i="17"/>
  <c r="U7" i="17"/>
  <c r="U6" i="17"/>
  <c r="U11" i="17"/>
  <c r="U21" i="17"/>
  <c r="U22" i="17"/>
  <c r="U18" i="17"/>
  <c r="U4" i="17"/>
  <c r="U19" i="17"/>
  <c r="U24" i="17"/>
  <c r="U14" i="17"/>
  <c r="U20" i="17"/>
  <c r="V20" i="10"/>
  <c r="V13" i="10"/>
  <c r="V6" i="10"/>
  <c r="V16" i="10"/>
  <c r="V5" i="10"/>
  <c r="V23" i="10"/>
  <c r="V17" i="10"/>
  <c r="V9" i="10"/>
  <c r="V15" i="10"/>
  <c r="V4" i="10"/>
  <c r="V11" i="10"/>
  <c r="V12" i="10"/>
  <c r="V21" i="10"/>
  <c r="V8" i="10"/>
  <c r="V7" i="10"/>
  <c r="V19" i="10"/>
  <c r="V14" i="10"/>
  <c r="V18" i="10"/>
  <c r="V10" i="10"/>
  <c r="V22" i="10"/>
  <c r="U17" i="1"/>
  <c r="U18" i="1"/>
  <c r="U5" i="1"/>
  <c r="U13" i="1"/>
  <c r="U10" i="1"/>
  <c r="U4" i="11"/>
  <c r="U19" i="11"/>
  <c r="U24" i="1"/>
  <c r="U23" i="1"/>
  <c r="U20" i="1"/>
  <c r="U21" i="1"/>
  <c r="U11" i="1"/>
  <c r="U9" i="11"/>
  <c r="U5" i="11"/>
  <c r="U22" i="11"/>
  <c r="U4" i="1"/>
  <c r="U19" i="1"/>
  <c r="U15" i="1"/>
  <c r="U6" i="1"/>
  <c r="U22" i="1"/>
  <c r="U14" i="1"/>
  <c r="U7" i="11"/>
  <c r="U7" i="1"/>
  <c r="U16" i="1"/>
  <c r="U8" i="1"/>
  <c r="U9" i="1"/>
  <c r="U6" i="11"/>
  <c r="U12" i="11"/>
  <c r="U11" i="11"/>
  <c r="U13" i="11"/>
  <c r="S16" i="11"/>
  <c r="AB15" i="11" s="1"/>
  <c r="U16" i="11"/>
  <c r="U17" i="11"/>
  <c r="S21" i="1"/>
  <c r="U14" i="11"/>
  <c r="U18" i="11"/>
  <c r="U23" i="11"/>
  <c r="AB17" i="11" l="1"/>
  <c r="AB10" i="11"/>
  <c r="AB5" i="11"/>
  <c r="AG5" i="11" s="1"/>
  <c r="AG7" i="11"/>
  <c r="AB4" i="11"/>
  <c r="AG4" i="11" s="1"/>
  <c r="AB14" i="11"/>
  <c r="AG14" i="11" s="1"/>
  <c r="AB8" i="11"/>
  <c r="AG18" i="11" s="1"/>
  <c r="AB23" i="11"/>
  <c r="AG23" i="11" s="1"/>
  <c r="AB22" i="11"/>
  <c r="AG22" i="11" s="1"/>
  <c r="AB26" i="11"/>
  <c r="AG26" i="11" s="1"/>
  <c r="AB12" i="11"/>
  <c r="AB19" i="11"/>
  <c r="AH8" i="11"/>
  <c r="AA27" i="11"/>
  <c r="V20" i="11"/>
  <c r="V25" i="11"/>
  <c r="V26" i="11"/>
  <c r="V21" i="11"/>
  <c r="AH18" i="11"/>
  <c r="AG11" i="11"/>
  <c r="AH4" i="11"/>
  <c r="AG25" i="11"/>
  <c r="AB16" i="11"/>
  <c r="AH26" i="11"/>
  <c r="AG15" i="11"/>
  <c r="AG17" i="11"/>
  <c r="AG21" i="11"/>
  <c r="AG6" i="11"/>
  <c r="AH13" i="11"/>
  <c r="X27" i="11"/>
  <c r="U24" i="11"/>
  <c r="U15" i="11"/>
  <c r="U8" i="11"/>
  <c r="S25" i="17"/>
  <c r="S25" i="1"/>
  <c r="V9" i="1"/>
  <c r="S27" i="11"/>
  <c r="AB27" i="11" s="1"/>
  <c r="V24" i="17"/>
  <c r="V17" i="1"/>
  <c r="V16" i="17"/>
  <c r="V19" i="17"/>
  <c r="V17" i="17"/>
  <c r="V23" i="17"/>
  <c r="V8" i="17"/>
  <c r="V14" i="17"/>
  <c r="V10" i="17"/>
  <c r="V9" i="17"/>
  <c r="V12" i="17"/>
  <c r="V15" i="17"/>
  <c r="V4" i="17"/>
  <c r="V22" i="17"/>
  <c r="V6" i="17"/>
  <c r="V5" i="17"/>
  <c r="V18" i="17"/>
  <c r="V11" i="17"/>
  <c r="V7" i="17"/>
  <c r="V21" i="17"/>
  <c r="V13" i="17"/>
  <c r="V20" i="17"/>
  <c r="V21" i="1"/>
  <c r="V15" i="1"/>
  <c r="V24" i="1"/>
  <c r="V4" i="1"/>
  <c r="V13" i="1"/>
  <c r="V14" i="1"/>
  <c r="V12" i="1"/>
  <c r="V6" i="1"/>
  <c r="V24" i="11"/>
  <c r="V5" i="11"/>
  <c r="V7" i="1"/>
  <c r="V18" i="1"/>
  <c r="V8" i="1"/>
  <c r="V20" i="1"/>
  <c r="V16" i="1"/>
  <c r="V23" i="1"/>
  <c r="V19" i="1"/>
  <c r="V5" i="1"/>
  <c r="V11" i="1"/>
  <c r="V10" i="1"/>
  <c r="V22" i="1"/>
  <c r="K38" i="10"/>
  <c r="G41" i="10" s="1"/>
  <c r="K29" i="17"/>
  <c r="K37" i="17" s="1"/>
  <c r="J46" i="11"/>
  <c r="V28" i="10"/>
  <c r="AG19" i="11" l="1"/>
  <c r="AG8" i="11"/>
  <c r="AG13" i="11"/>
  <c r="AG16" i="11"/>
  <c r="AG20" i="11"/>
  <c r="V10" i="11"/>
  <c r="V22" i="11"/>
  <c r="V8" i="11"/>
  <c r="AG24" i="11"/>
  <c r="V12" i="11"/>
  <c r="V13" i="11"/>
  <c r="V15" i="11"/>
  <c r="V9" i="11"/>
  <c r="V4" i="11"/>
  <c r="V14" i="11"/>
  <c r="V18" i="11"/>
  <c r="V17" i="11"/>
  <c r="V7" i="11"/>
  <c r="V38" i="10"/>
  <c r="V6" i="11"/>
  <c r="V16" i="11"/>
  <c r="V19" i="11"/>
  <c r="V11" i="11"/>
  <c r="V23" i="11"/>
  <c r="J52" i="11"/>
  <c r="J50" i="11"/>
  <c r="J49" i="11"/>
  <c r="J51" i="11"/>
  <c r="V31" i="11"/>
  <c r="Q31" i="11"/>
  <c r="K42" i="11"/>
  <c r="V42" i="11" s="1"/>
  <c r="V37" i="17"/>
  <c r="Q37" i="17"/>
  <c r="V29" i="17"/>
  <c r="Q29" i="17"/>
  <c r="Q38" i="10"/>
  <c r="AB36" i="11" l="1"/>
  <c r="AB38" i="11"/>
  <c r="AB34" i="11"/>
  <c r="AB40" i="11"/>
  <c r="Q42" i="11"/>
</calcChain>
</file>

<file path=xl/sharedStrings.xml><?xml version="1.0" encoding="utf-8"?>
<sst xmlns="http://schemas.openxmlformats.org/spreadsheetml/2006/main" count="1885" uniqueCount="246">
  <si>
    <t>3루타</t>
  </si>
  <si>
    <t>1. 타자 기록</t>
  </si>
  <si>
    <t>◎ 라스칼 통산 성적</t>
  </si>
  <si>
    <t>2. 투수 기록</t>
  </si>
  <si>
    <t>김범희</t>
  </si>
  <si>
    <t>이닝</t>
  </si>
  <si>
    <t>탈삼진</t>
  </si>
  <si>
    <t>22년</t>
  </si>
  <si>
    <t>김현철</t>
  </si>
  <si>
    <t>김민석</t>
  </si>
  <si>
    <t>총합</t>
  </si>
  <si>
    <t>사구</t>
  </si>
  <si>
    <t>백정철</t>
  </si>
  <si>
    <t>경기</t>
  </si>
  <si>
    <t>이철민</t>
  </si>
  <si>
    <t>김형준</t>
  </si>
  <si>
    <t>자책</t>
  </si>
  <si>
    <t>피안타</t>
  </si>
  <si>
    <t>BB</t>
  </si>
  <si>
    <t>타석</t>
  </si>
  <si>
    <t>세이브</t>
  </si>
  <si>
    <t>김태양</t>
  </si>
  <si>
    <t>조태형</t>
  </si>
  <si>
    <t>남동수</t>
  </si>
  <si>
    <t>이동진</t>
  </si>
  <si>
    <t>김재영</t>
  </si>
  <si>
    <t>피홈런</t>
  </si>
  <si>
    <t>이름</t>
  </si>
  <si>
    <t>삼진률</t>
  </si>
  <si>
    <t>사사구</t>
  </si>
  <si>
    <t>볼넷</t>
  </si>
  <si>
    <t>득점</t>
  </si>
  <si>
    <t>선수명</t>
  </si>
  <si>
    <t>박영준</t>
  </si>
  <si>
    <t>권혁진</t>
  </si>
  <si>
    <t>자책점</t>
  </si>
  <si>
    <t>타점</t>
  </si>
  <si>
    <t>출루율</t>
  </si>
  <si>
    <t>타수</t>
  </si>
  <si>
    <t>HP</t>
  </si>
  <si>
    <t>도루</t>
  </si>
  <si>
    <t>패</t>
  </si>
  <si>
    <t>실점</t>
  </si>
  <si>
    <t>장타율</t>
  </si>
  <si>
    <t>김기태</t>
  </si>
  <si>
    <t>타자</t>
  </si>
  <si>
    <t>게임수</t>
  </si>
  <si>
    <t>임지헌</t>
  </si>
  <si>
    <t>세</t>
  </si>
  <si>
    <t>방어율</t>
  </si>
  <si>
    <t>류동현</t>
  </si>
  <si>
    <t>김병진</t>
  </si>
  <si>
    <t>김희제</t>
  </si>
  <si>
    <t>안타</t>
  </si>
  <si>
    <t>차현철</t>
  </si>
  <si>
    <t>승</t>
  </si>
  <si>
    <t>제구</t>
  </si>
  <si>
    <t>타율</t>
  </si>
  <si>
    <t>삼진</t>
  </si>
  <si>
    <t>권강현</t>
  </si>
  <si>
    <t>박재현</t>
  </si>
  <si>
    <t>◎ 23년 상반기 코모도리그</t>
  </si>
  <si>
    <t>◎ 22년 하반기 드림즈리그</t>
  </si>
  <si>
    <t>◎ 22년 상반기 샘프리그</t>
  </si>
  <si>
    <t>◎ 23년 상반기 디비전리그</t>
  </si>
  <si>
    <t>1루타</t>
  </si>
  <si>
    <t>피안타율</t>
  </si>
  <si>
    <t>경기/이닝</t>
  </si>
  <si>
    <t>WHIP</t>
  </si>
  <si>
    <t>수비성공률</t>
  </si>
  <si>
    <t>이닝/K</t>
  </si>
  <si>
    <t>출루율 등수</t>
  </si>
  <si>
    <t>2루타</t>
  </si>
  <si>
    <t>홈런</t>
  </si>
  <si>
    <t>김민석</t>
    <phoneticPr fontId="10" type="noConversion"/>
  </si>
  <si>
    <t>김현철</t>
    <phoneticPr fontId="10" type="noConversion"/>
  </si>
  <si>
    <t>남동수</t>
    <phoneticPr fontId="10" type="noConversion"/>
  </si>
  <si>
    <t>박영준</t>
    <phoneticPr fontId="10" type="noConversion"/>
  </si>
  <si>
    <t>차현철</t>
    <phoneticPr fontId="10" type="noConversion"/>
  </si>
  <si>
    <t>1루타</t>
    <phoneticPr fontId="10" type="noConversion"/>
  </si>
  <si>
    <t>2루타</t>
    <phoneticPr fontId="10" type="noConversion"/>
  </si>
  <si>
    <t>3루타</t>
    <phoneticPr fontId="10" type="noConversion"/>
  </si>
  <si>
    <t>홈런</t>
    <phoneticPr fontId="10" type="noConversion"/>
  </si>
  <si>
    <t>OPS</t>
    <phoneticPr fontId="10" type="noConversion"/>
  </si>
  <si>
    <t>장타율</t>
    <phoneticPr fontId="10" type="noConversion"/>
  </si>
  <si>
    <t>아웃 比
삼진률</t>
    <phoneticPr fontId="10" type="noConversion"/>
  </si>
  <si>
    <t>OPS
등수</t>
    <phoneticPr fontId="10" type="noConversion"/>
  </si>
  <si>
    <t>-</t>
    <phoneticPr fontId="10" type="noConversion"/>
  </si>
  <si>
    <t>실책</t>
    <phoneticPr fontId="10" type="noConversion"/>
  </si>
  <si>
    <t>사구</t>
    <phoneticPr fontId="10" type="noConversion"/>
  </si>
  <si>
    <t>경기당
평균 이닝</t>
    <phoneticPr fontId="10" type="noConversion"/>
  </si>
  <si>
    <t>◎ 23년 하반기 서구 리그 ('24)</t>
    <phoneticPr fontId="10" type="noConversion"/>
  </si>
  <si>
    <t>◎ 23년 하반기 코모도리그 ('24)</t>
    <phoneticPr fontId="10" type="noConversion"/>
  </si>
  <si>
    <t>박영준</t>
    <phoneticPr fontId="10" type="noConversion"/>
  </si>
  <si>
    <t>김민석</t>
    <phoneticPr fontId="10" type="noConversion"/>
  </si>
  <si>
    <t>아웃 比
삼진율</t>
    <phoneticPr fontId="10" type="noConversion"/>
  </si>
  <si>
    <t>삼진율</t>
    <phoneticPr fontId="10" type="noConversion"/>
  </si>
  <si>
    <t>◎ 라스칼 통산 성적 (~'23 Season)</t>
    <phoneticPr fontId="10" type="noConversion"/>
  </si>
  <si>
    <t>◎ 라스칼 통산 성적 (~'24 Season)</t>
    <phoneticPr fontId="10" type="noConversion"/>
  </si>
  <si>
    <t>전년 대비</t>
    <phoneticPr fontId="10" type="noConversion"/>
  </si>
  <si>
    <t>타율</t>
    <phoneticPr fontId="10" type="noConversion"/>
  </si>
  <si>
    <t>삼진률</t>
    <phoneticPr fontId="10" type="noConversion"/>
  </si>
  <si>
    <t>장타율</t>
    <phoneticPr fontId="10" type="noConversion"/>
  </si>
  <si>
    <t>출루율</t>
    <phoneticPr fontId="10" type="noConversion"/>
  </si>
  <si>
    <t>OPS</t>
    <phoneticPr fontId="10" type="noConversion"/>
  </si>
  <si>
    <t>이닝</t>
    <phoneticPr fontId="10" type="noConversion"/>
  </si>
  <si>
    <t>피안타율</t>
    <phoneticPr fontId="10" type="noConversion"/>
  </si>
  <si>
    <t>WHIP</t>
    <phoneticPr fontId="10" type="noConversion"/>
  </si>
  <si>
    <t>-</t>
    <phoneticPr fontId="10" type="noConversion"/>
  </si>
  <si>
    <t>이닝 당
사사구</t>
    <phoneticPr fontId="10" type="noConversion"/>
  </si>
  <si>
    <t>이닝 당
삼진</t>
    <phoneticPr fontId="10" type="noConversion"/>
  </si>
  <si>
    <t>타석</t>
    <phoneticPr fontId="10" type="noConversion"/>
  </si>
  <si>
    <t>타수</t>
    <phoneticPr fontId="10" type="noConversion"/>
  </si>
  <si>
    <t>◎ 24년 상반기 코모도리그 ('24)</t>
    <phoneticPr fontId="10" type="noConversion"/>
  </si>
  <si>
    <t>◎ 24년 상반기 디비전리그 ('24)</t>
    <phoneticPr fontId="10" type="noConversion"/>
  </si>
  <si>
    <t>출루율 등수</t>
    <phoneticPr fontId="10" type="noConversion"/>
  </si>
  <si>
    <t>타율
등수</t>
    <phoneticPr fontId="10" type="noConversion"/>
  </si>
  <si>
    <t>1. 리그별 타율</t>
    <phoneticPr fontId="10" type="noConversion"/>
  </si>
  <si>
    <t>上샘프</t>
    <phoneticPr fontId="10" type="noConversion"/>
  </si>
  <si>
    <t>下드림즈</t>
    <phoneticPr fontId="10" type="noConversion"/>
  </si>
  <si>
    <t>23년</t>
    <phoneticPr fontId="10" type="noConversion"/>
  </si>
  <si>
    <t>上코모도</t>
    <phoneticPr fontId="10" type="noConversion"/>
  </si>
  <si>
    <t>上디비전</t>
    <phoneticPr fontId="10" type="noConversion"/>
  </si>
  <si>
    <t>下서구</t>
    <phoneticPr fontId="10" type="noConversion"/>
  </si>
  <si>
    <t>下코모도</t>
    <phoneticPr fontId="10" type="noConversion"/>
  </si>
  <si>
    <t>24년</t>
    <phoneticPr fontId="10" type="noConversion"/>
  </si>
  <si>
    <t>이동진</t>
    <phoneticPr fontId="10" type="noConversion"/>
  </si>
  <si>
    <t>남동수</t>
    <phoneticPr fontId="10" type="noConversion"/>
  </si>
  <si>
    <t>-</t>
    <phoneticPr fontId="10" type="noConversion"/>
  </si>
  <si>
    <t>22년</t>
    <phoneticPr fontId="10" type="noConversion"/>
  </si>
  <si>
    <t>23년</t>
    <phoneticPr fontId="10" type="noConversion"/>
  </si>
  <si>
    <t>24년</t>
    <phoneticPr fontId="10" type="noConversion"/>
  </si>
  <si>
    <t>구분</t>
    <phoneticPr fontId="10" type="noConversion"/>
  </si>
  <si>
    <t>통산</t>
    <phoneticPr fontId="10" type="noConversion"/>
  </si>
  <si>
    <t>김형준</t>
    <phoneticPr fontId="10" type="noConversion"/>
  </si>
  <si>
    <t>사사구
/100타자</t>
    <phoneticPr fontId="10" type="noConversion"/>
  </si>
  <si>
    <t>25년</t>
    <phoneticPr fontId="10" type="noConversion"/>
  </si>
  <si>
    <t>1. 타자 기록</t>
    <phoneticPr fontId="10" type="noConversion"/>
  </si>
  <si>
    <t>김상훈</t>
    <phoneticPr fontId="10" type="noConversion"/>
  </si>
  <si>
    <t>◎ 24년 하반기 디비전리그 6부-C ('25)</t>
    <phoneticPr fontId="10" type="noConversion"/>
  </si>
  <si>
    <t>◎ 24년 하반기 디비전리그 6부-A ('25)</t>
    <phoneticPr fontId="10" type="noConversion"/>
  </si>
  <si>
    <t>김상훈</t>
    <phoneticPr fontId="10" type="noConversion"/>
  </si>
  <si>
    <t>◎ '23시즌 Rascal 성적</t>
    <phoneticPr fontId="10" type="noConversion"/>
  </si>
  <si>
    <t>◎ '22시즌 Rascal 성적</t>
    <phoneticPr fontId="10" type="noConversion"/>
  </si>
  <si>
    <t>◎ '24시즌 Rascal 성적</t>
    <phoneticPr fontId="10" type="noConversion"/>
  </si>
  <si>
    <t>◎ '25시즌 Rascal 성적</t>
    <phoneticPr fontId="10" type="noConversion"/>
  </si>
  <si>
    <t>4구</t>
    <phoneticPr fontId="10" type="noConversion"/>
  </si>
  <si>
    <t>Fine Play</t>
    <phoneticPr fontId="10" type="noConversion"/>
  </si>
  <si>
    <t>보크</t>
    <phoneticPr fontId="10" type="noConversion"/>
  </si>
  <si>
    <t>수비
성공률</t>
    <phoneticPr fontId="10" type="noConversion"/>
  </si>
  <si>
    <t>수비
성공률</t>
    <phoneticPr fontId="10" type="noConversion"/>
  </si>
  <si>
    <t>타격방해</t>
    <phoneticPr fontId="10" type="noConversion"/>
  </si>
  <si>
    <t>이철민</t>
    <phoneticPr fontId="10" type="noConversion"/>
  </si>
  <si>
    <t>주혁진</t>
    <phoneticPr fontId="10" type="noConversion"/>
  </si>
  <si>
    <t>윤태규</t>
    <phoneticPr fontId="10" type="noConversion"/>
  </si>
  <si>
    <t>주혁진</t>
    <phoneticPr fontId="10" type="noConversion"/>
  </si>
  <si>
    <t>윤태규</t>
    <phoneticPr fontId="10" type="noConversion"/>
  </si>
  <si>
    <t>윤태규</t>
    <phoneticPr fontId="10" type="noConversion"/>
  </si>
  <si>
    <t>주혁진</t>
    <phoneticPr fontId="10" type="noConversion"/>
  </si>
  <si>
    <t>폭투</t>
    <phoneticPr fontId="10" type="noConversion"/>
  </si>
  <si>
    <t>포지션</t>
    <phoneticPr fontId="10" type="noConversion"/>
  </si>
  <si>
    <t>투수/1루수</t>
    <phoneticPr fontId="10" type="noConversion"/>
  </si>
  <si>
    <t>중견수/유격수</t>
    <phoneticPr fontId="10" type="noConversion"/>
  </si>
  <si>
    <t>3루수/2루수</t>
    <phoneticPr fontId="10" type="noConversion"/>
  </si>
  <si>
    <t>유격수/중견수</t>
    <phoneticPr fontId="10" type="noConversion"/>
  </si>
  <si>
    <t>1루수/포수</t>
    <phoneticPr fontId="10" type="noConversion"/>
  </si>
  <si>
    <t>2루수/유격수</t>
    <phoneticPr fontId="10" type="noConversion"/>
  </si>
  <si>
    <t>유격수/투수</t>
    <phoneticPr fontId="10" type="noConversion"/>
  </si>
  <si>
    <t>좌익수/투수</t>
    <phoneticPr fontId="10" type="noConversion"/>
  </si>
  <si>
    <t>중견수/투수</t>
    <phoneticPr fontId="10" type="noConversion"/>
  </si>
  <si>
    <t>좌익수/1루수</t>
    <phoneticPr fontId="10" type="noConversion"/>
  </si>
  <si>
    <t>포수/</t>
    <phoneticPr fontId="10" type="noConversion"/>
  </si>
  <si>
    <t>우익수/</t>
    <phoneticPr fontId="10" type="noConversion"/>
  </si>
  <si>
    <t>1루수/</t>
    <phoneticPr fontId="10" type="noConversion"/>
  </si>
  <si>
    <t>3루수/</t>
    <phoneticPr fontId="10" type="noConversion"/>
  </si>
  <si>
    <t>투수/3루수</t>
    <phoneticPr fontId="10" type="noConversion"/>
  </si>
  <si>
    <t>청팀</t>
    <phoneticPr fontId="10" type="noConversion"/>
  </si>
  <si>
    <t>백팀</t>
    <phoneticPr fontId="10" type="noConversion"/>
  </si>
  <si>
    <t>경우1.</t>
    <phoneticPr fontId="10" type="noConversion"/>
  </si>
  <si>
    <t>타순</t>
    <phoneticPr fontId="10" type="noConversion"/>
  </si>
  <si>
    <t>포지션</t>
    <phoneticPr fontId="10" type="noConversion"/>
  </si>
  <si>
    <t>이름</t>
    <phoneticPr fontId="10" type="noConversion"/>
  </si>
  <si>
    <t>CF</t>
    <phoneticPr fontId="10" type="noConversion"/>
  </si>
  <si>
    <t>RF</t>
    <phoneticPr fontId="10" type="noConversion"/>
  </si>
  <si>
    <t>3B</t>
    <phoneticPr fontId="10" type="noConversion"/>
  </si>
  <si>
    <t>P</t>
    <phoneticPr fontId="10" type="noConversion"/>
  </si>
  <si>
    <t>LF</t>
    <phoneticPr fontId="10" type="noConversion"/>
  </si>
  <si>
    <t>2B</t>
    <phoneticPr fontId="10" type="noConversion"/>
  </si>
  <si>
    <t>1B</t>
    <phoneticPr fontId="10" type="noConversion"/>
  </si>
  <si>
    <t>SS</t>
    <phoneticPr fontId="10" type="noConversion"/>
  </si>
  <si>
    <t>C</t>
    <phoneticPr fontId="10" type="noConversion"/>
  </si>
  <si>
    <t>김재영</t>
    <phoneticPr fontId="10" type="noConversion"/>
  </si>
  <si>
    <t>이철민</t>
    <phoneticPr fontId="10" type="noConversion"/>
  </si>
  <si>
    <t>김기태</t>
    <phoneticPr fontId="10" type="noConversion"/>
  </si>
  <si>
    <t>조태형</t>
    <phoneticPr fontId="10" type="noConversion"/>
  </si>
  <si>
    <t>임지헌</t>
    <phoneticPr fontId="10" type="noConversion"/>
  </si>
  <si>
    <t>권강현</t>
    <phoneticPr fontId="10" type="noConversion"/>
  </si>
  <si>
    <t>김현철</t>
    <phoneticPr fontId="10" type="noConversion"/>
  </si>
  <si>
    <t>권혁진</t>
    <phoneticPr fontId="10" type="noConversion"/>
  </si>
  <si>
    <t>남동수</t>
    <phoneticPr fontId="10" type="noConversion"/>
  </si>
  <si>
    <t>김병진</t>
    <phoneticPr fontId="10" type="noConversion"/>
  </si>
  <si>
    <t>차현철</t>
    <phoneticPr fontId="10" type="noConversion"/>
  </si>
  <si>
    <t>김형준</t>
    <phoneticPr fontId="10" type="noConversion"/>
  </si>
  <si>
    <t>백정철</t>
    <phoneticPr fontId="10" type="noConversion"/>
  </si>
  <si>
    <t>박재현</t>
    <phoneticPr fontId="10" type="noConversion"/>
  </si>
  <si>
    <t>윤태규</t>
    <phoneticPr fontId="10" type="noConversion"/>
  </si>
  <si>
    <t>김범희</t>
    <phoneticPr fontId="10" type="noConversion"/>
  </si>
  <si>
    <t>김상훈</t>
    <phoneticPr fontId="10" type="noConversion"/>
  </si>
  <si>
    <t>주혁진</t>
    <phoneticPr fontId="10" type="noConversion"/>
  </si>
  <si>
    <t>경우2</t>
    <phoneticPr fontId="10" type="noConversion"/>
  </si>
  <si>
    <t>경우3</t>
    <phoneticPr fontId="10" type="noConversion"/>
  </si>
  <si>
    <t>경우4</t>
    <phoneticPr fontId="10" type="noConversion"/>
  </si>
  <si>
    <t>CF</t>
    <phoneticPr fontId="10" type="noConversion"/>
  </si>
  <si>
    <t>김재영</t>
    <phoneticPr fontId="10" type="noConversion"/>
  </si>
  <si>
    <t>LF</t>
    <phoneticPr fontId="10" type="noConversion"/>
  </si>
  <si>
    <t>백정철</t>
    <phoneticPr fontId="10" type="noConversion"/>
  </si>
  <si>
    <t>김형준</t>
    <phoneticPr fontId="10" type="noConversion"/>
  </si>
  <si>
    <t>윤태규</t>
    <phoneticPr fontId="10" type="noConversion"/>
  </si>
  <si>
    <t>박재현</t>
    <phoneticPr fontId="10" type="noConversion"/>
  </si>
  <si>
    <t>임지헌</t>
    <phoneticPr fontId="10" type="noConversion"/>
  </si>
  <si>
    <t>김상훈</t>
    <phoneticPr fontId="10" type="noConversion"/>
  </si>
  <si>
    <t>주혁진</t>
    <phoneticPr fontId="10" type="noConversion"/>
  </si>
  <si>
    <t>2B</t>
    <phoneticPr fontId="10" type="noConversion"/>
  </si>
  <si>
    <t>1B</t>
    <phoneticPr fontId="10" type="noConversion"/>
  </si>
  <si>
    <t>RF</t>
    <phoneticPr fontId="10" type="noConversion"/>
  </si>
  <si>
    <t>3B</t>
    <phoneticPr fontId="10" type="noConversion"/>
  </si>
  <si>
    <t>C</t>
    <phoneticPr fontId="10" type="noConversion"/>
  </si>
  <si>
    <t>P</t>
    <phoneticPr fontId="10" type="noConversion"/>
  </si>
  <si>
    <t>上코모도
(6부-BB)</t>
    <phoneticPr fontId="10" type="noConversion"/>
  </si>
  <si>
    <t>윤태규</t>
    <phoneticPr fontId="10" type="noConversion"/>
  </si>
  <si>
    <t>김상훈</t>
    <phoneticPr fontId="10" type="noConversion"/>
  </si>
  <si>
    <t>규정 타석 미달</t>
    <phoneticPr fontId="10" type="noConversion"/>
  </si>
  <si>
    <t>타율 0.500 미만</t>
    <phoneticPr fontId="10" type="noConversion"/>
  </si>
  <si>
    <t>타율 0.500 이상</t>
    <phoneticPr fontId="10" type="noConversion"/>
  </si>
  <si>
    <t>타율 0.700 이상</t>
    <phoneticPr fontId="10" type="noConversion"/>
  </si>
  <si>
    <t>타율 0.300 미만</t>
    <phoneticPr fontId="10" type="noConversion"/>
  </si>
  <si>
    <t>下코모도
(6부C+A)</t>
    <phoneticPr fontId="10" type="noConversion"/>
  </si>
  <si>
    <t>上코모도
(6부-B)</t>
    <phoneticPr fontId="10" type="noConversion"/>
  </si>
  <si>
    <t>디비전</t>
    <phoneticPr fontId="10" type="noConversion"/>
  </si>
  <si>
    <t>주루사</t>
    <phoneticPr fontId="10" type="noConversion"/>
  </si>
  <si>
    <t>◎ 라스칼 통산 성적 (~'25 Season)</t>
    <phoneticPr fontId="10" type="noConversion"/>
  </si>
  <si>
    <t xml:space="preserve"> </t>
    <phoneticPr fontId="10" type="noConversion"/>
  </si>
  <si>
    <t>◎ 25년 상반기 코모도리그 6부-BB ('25)</t>
    <phoneticPr fontId="10" type="noConversion"/>
  </si>
  <si>
    <t>◎ 25년 하반기 디비전리그 ('26)</t>
    <phoneticPr fontId="10" type="noConversion"/>
  </si>
  <si>
    <t>이닝당
사사구</t>
    <phoneticPr fontId="10" type="noConversion"/>
  </si>
  <si>
    <t>`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</si>
</sst>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76" formatCode="0.000"/>
    <numFmt numFmtId="177" formatCode="0.0"/>
    <numFmt numFmtId="178" formatCode="0.00_ "/>
    <numFmt numFmtId="179" formatCode="0.0%"/>
    <numFmt numFmtId="180" formatCode="0.000_ "/>
    <numFmt numFmtId="181" formatCode="[Blue]\+#,##0.0;[Red]\-#,##0.0"/>
    <numFmt numFmtId="182" formatCode="[Blue]\+#,##0.00;[Red]\-#,##0.00"/>
    <numFmt numFmtId="183" formatCode="[Blue]\+0.0%;[Red]\-0.0%"/>
    <numFmt numFmtId="184" formatCode="[Red]\+#,##0.000;[Blue]\-#,##0.000"/>
    <numFmt numFmtId="185" formatCode="[Red]\+#,##0.0;[Blue]\-#,##0.0"/>
    <numFmt numFmtId="186" formatCode="\+0.0"/>
    <numFmt numFmtId="187" formatCode="\+0"/>
    <numFmt numFmtId="188" formatCode="0_);[Red]\(0\)"/>
    <numFmt numFmtId="189" formatCode="[Red]\+#,##0.00;[Blue]\-#,##0.00"/>
    <numFmt numFmtId="190" formatCode="\+0.00"/>
  </numFmts>
  <fonts count="23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2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</font>
    <font>
      <b/>
      <sz val="12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2"/>
      <color rgb="FFFFFFFF"/>
      <name val="맑은 고딕"/>
      <family val="3"/>
      <charset val="129"/>
    </font>
    <font>
      <sz val="11"/>
      <color theme="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12"/>
      <color theme="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AF3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thin">
        <color indexed="64"/>
      </right>
      <top/>
      <bottom style="medium">
        <color indexed="64"/>
      </bottom>
      <diagonal/>
    </border>
    <border diagonalUp="1">
      <left style="hair">
        <color auto="1"/>
      </left>
      <right style="hair">
        <color auto="1"/>
      </right>
      <top/>
      <bottom style="medium">
        <color indexed="64"/>
      </bottom>
      <diagonal style="thin">
        <color auto="1"/>
      </diagonal>
    </border>
    <border diagonalUp="1"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 style="thin">
        <color auto="1"/>
      </diagonal>
    </border>
  </borders>
  <cellStyleXfs count="1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9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</cellStyleXfs>
  <cellXfs count="189">
    <xf numFmtId="0" fontId="0" fillId="0" borderId="0" xfId="0">
      <alignment vertical="center"/>
    </xf>
    <xf numFmtId="0" fontId="4" fillId="2" borderId="1" xfId="0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 wrapText="1"/>
    </xf>
    <xf numFmtId="0" fontId="5" fillId="0" borderId="0" xfId="0" applyFont="1">
      <alignment vertical="center"/>
    </xf>
    <xf numFmtId="0" fontId="4" fillId="0" borderId="0" xfId="0" applyFont="1">
      <alignment vertical="center"/>
    </xf>
    <xf numFmtId="177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6" fontId="6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77" fontId="5" fillId="4" borderId="1" xfId="0" applyNumberFormat="1" applyFont="1" applyFill="1" applyBorder="1" applyAlignment="1">
      <alignment horizontal="center" vertical="center" wrapText="1"/>
    </xf>
    <xf numFmtId="2" fontId="5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177" fontId="0" fillId="0" borderId="0" xfId="0" applyNumberFormat="1">
      <alignment vertical="center"/>
    </xf>
    <xf numFmtId="2" fontId="4" fillId="2" borderId="1" xfId="0" applyNumberFormat="1" applyFont="1" applyFill="1" applyBorder="1" applyAlignment="1">
      <alignment horizontal="center" vertical="center"/>
    </xf>
    <xf numFmtId="177" fontId="4" fillId="2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76" fontId="5" fillId="2" borderId="0" xfId="0" applyNumberFormat="1" applyFont="1" applyFill="1" applyAlignment="1">
      <alignment horizontal="center" vertical="center" wrapText="1"/>
    </xf>
    <xf numFmtId="0" fontId="7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176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9" fontId="5" fillId="4" borderId="1" xfId="0" applyNumberFormat="1" applyFont="1" applyFill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78" fontId="0" fillId="4" borderId="1" xfId="1" applyNumberFormat="1" applyFont="1" applyFill="1" applyBorder="1" applyAlignment="1">
      <alignment horizontal="center" vertical="center"/>
    </xf>
    <xf numFmtId="2" fontId="0" fillId="4" borderId="1" xfId="1" applyNumberFormat="1" applyFont="1" applyFill="1" applyBorder="1" applyAlignment="1">
      <alignment horizontal="center" vertical="center"/>
    </xf>
    <xf numFmtId="179" fontId="8" fillId="4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78" fontId="0" fillId="0" borderId="1" xfId="1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176" fontId="12" fillId="5" borderId="1" xfId="0" applyNumberFormat="1" applyFont="1" applyFill="1" applyBorder="1" applyAlignment="1">
      <alignment horizontal="center" vertical="center" wrapText="1"/>
    </xf>
    <xf numFmtId="176" fontId="11" fillId="2" borderId="1" xfId="0" applyNumberFormat="1" applyFont="1" applyFill="1" applyBorder="1" applyAlignment="1">
      <alignment horizontal="center" vertical="center" wrapText="1"/>
    </xf>
    <xf numFmtId="180" fontId="13" fillId="0" borderId="1" xfId="0" applyNumberFormat="1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177" fontId="4" fillId="8" borderId="1" xfId="0" applyNumberFormat="1" applyFont="1" applyFill="1" applyBorder="1" applyAlignment="1">
      <alignment horizontal="center" vertical="center" wrapText="1"/>
    </xf>
    <xf numFmtId="2" fontId="4" fillId="8" borderId="1" xfId="0" applyNumberFormat="1" applyFont="1" applyFill="1" applyBorder="1" applyAlignment="1">
      <alignment horizontal="center" vertical="center" wrapText="1"/>
    </xf>
    <xf numFmtId="176" fontId="4" fillId="9" borderId="1" xfId="0" applyNumberFormat="1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176" fontId="12" fillId="9" borderId="1" xfId="0" applyNumberFormat="1" applyFont="1" applyFill="1" applyBorder="1" applyAlignment="1">
      <alignment horizontal="center" vertical="center" wrapText="1"/>
    </xf>
    <xf numFmtId="176" fontId="11" fillId="8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176" fontId="12" fillId="4" borderId="1" xfId="0" applyNumberFormat="1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/>
    </xf>
    <xf numFmtId="176" fontId="12" fillId="10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9" fontId="8" fillId="7" borderId="1" xfId="1" applyNumberFormat="1" applyFont="1" applyFill="1" applyBorder="1" applyAlignment="1">
      <alignment horizontal="center" vertical="center"/>
    </xf>
    <xf numFmtId="9" fontId="5" fillId="7" borderId="1" xfId="1" applyNumberFormat="1" applyFont="1" applyFill="1" applyBorder="1" applyAlignment="1">
      <alignment horizontal="center" vertical="center"/>
    </xf>
    <xf numFmtId="9" fontId="15" fillId="6" borderId="1" xfId="1" applyNumberFormat="1" applyFont="1" applyFill="1" applyBorder="1" applyAlignment="1">
      <alignment horizontal="center" vertical="center"/>
    </xf>
    <xf numFmtId="9" fontId="8" fillId="7" borderId="2" xfId="1" applyNumberFormat="1" applyFont="1" applyFill="1" applyBorder="1" applyAlignment="1">
      <alignment horizontal="center" vertical="center"/>
    </xf>
    <xf numFmtId="9" fontId="8" fillId="6" borderId="2" xfId="1" applyNumberFormat="1" applyFont="1" applyFill="1" applyBorder="1" applyAlignment="1">
      <alignment horizontal="center" vertical="center"/>
    </xf>
    <xf numFmtId="9" fontId="15" fillId="6" borderId="2" xfId="1" applyNumberFormat="1" applyFont="1" applyFill="1" applyBorder="1" applyAlignment="1">
      <alignment horizontal="center" vertical="center"/>
    </xf>
    <xf numFmtId="176" fontId="12" fillId="4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78" fontId="9" fillId="0" borderId="1" xfId="1" applyNumberFormat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9" fontId="8" fillId="6" borderId="1" xfId="1" applyNumberFormat="1" applyFont="1" applyFill="1" applyBorder="1" applyAlignment="1">
      <alignment horizontal="center" vertical="center"/>
    </xf>
    <xf numFmtId="9" fontId="5" fillId="7" borderId="2" xfId="1" applyNumberFormat="1" applyFont="1" applyFill="1" applyBorder="1" applyAlignment="1">
      <alignment horizontal="center" vertical="center"/>
    </xf>
    <xf numFmtId="9" fontId="12" fillId="8" borderId="1" xfId="1" applyNumberFormat="1" applyFont="1" applyFill="1" applyBorder="1" applyAlignment="1">
      <alignment horizontal="center" vertical="center"/>
    </xf>
    <xf numFmtId="177" fontId="11" fillId="8" borderId="1" xfId="0" applyNumberFormat="1" applyFont="1" applyFill="1" applyBorder="1" applyAlignment="1">
      <alignment horizontal="center" vertical="center" wrapText="1"/>
    </xf>
    <xf numFmtId="9" fontId="12" fillId="0" borderId="1" xfId="1" applyNumberFormat="1" applyFont="1" applyFill="1" applyBorder="1" applyAlignment="1">
      <alignment horizontal="center" vertical="center"/>
    </xf>
    <xf numFmtId="9" fontId="8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12" fillId="4" borderId="1" xfId="0" applyNumberFormat="1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 wrapText="1"/>
    </xf>
    <xf numFmtId="9" fontId="5" fillId="2" borderId="1" xfId="0" applyNumberFormat="1" applyFont="1" applyFill="1" applyBorder="1" applyAlignment="1">
      <alignment horizontal="center" vertical="center" wrapText="1"/>
    </xf>
    <xf numFmtId="9" fontId="8" fillId="0" borderId="1" xfId="1" applyNumberFormat="1" applyFont="1" applyFill="1" applyBorder="1" applyAlignment="1">
      <alignment horizontal="center" vertical="center"/>
    </xf>
    <xf numFmtId="9" fontId="8" fillId="11" borderId="1" xfId="1" applyNumberFormat="1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>
      <alignment horizontal="center" vertical="center" wrapText="1"/>
    </xf>
    <xf numFmtId="9" fontId="5" fillId="12" borderId="1" xfId="0" applyNumberFormat="1" applyFont="1" applyFill="1" applyBorder="1" applyAlignment="1">
      <alignment horizontal="center" vertical="center" wrapText="1"/>
    </xf>
    <xf numFmtId="9" fontId="8" fillId="12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2" fontId="5" fillId="13" borderId="1" xfId="0" applyNumberFormat="1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2" fontId="16" fillId="0" borderId="1" xfId="0" applyNumberFormat="1" applyFont="1" applyBorder="1" applyAlignment="1">
      <alignment horizontal="center" vertical="center"/>
    </xf>
    <xf numFmtId="178" fontId="16" fillId="0" borderId="1" xfId="1" applyNumberFormat="1" applyFont="1" applyBorder="1" applyAlignment="1">
      <alignment horizontal="center" vertical="center"/>
    </xf>
    <xf numFmtId="2" fontId="16" fillId="0" borderId="1" xfId="1" applyNumberFormat="1" applyFont="1" applyBorder="1" applyAlignment="1">
      <alignment horizontal="center" vertical="center"/>
    </xf>
    <xf numFmtId="179" fontId="16" fillId="0" borderId="1" xfId="1" applyNumberFormat="1" applyFont="1" applyBorder="1" applyAlignment="1">
      <alignment horizontal="center" vertical="center"/>
    </xf>
    <xf numFmtId="176" fontId="0" fillId="0" borderId="0" xfId="0" applyNumberFormat="1">
      <alignment vertical="center"/>
    </xf>
    <xf numFmtId="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9" fontId="8" fillId="14" borderId="1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83" fontId="6" fillId="0" borderId="1" xfId="0" applyNumberFormat="1" applyFont="1" applyBorder="1" applyAlignment="1">
      <alignment horizontal="center" vertical="center"/>
    </xf>
    <xf numFmtId="184" fontId="6" fillId="0" borderId="1" xfId="0" applyNumberFormat="1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center" vertical="center"/>
    </xf>
    <xf numFmtId="182" fontId="6" fillId="0" borderId="1" xfId="0" applyNumberFormat="1" applyFont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186" fontId="6" fillId="0" borderId="1" xfId="0" applyNumberFormat="1" applyFont="1" applyBorder="1" applyAlignment="1">
      <alignment horizontal="center" vertical="center"/>
    </xf>
    <xf numFmtId="187" fontId="6" fillId="0" borderId="1" xfId="0" applyNumberFormat="1" applyFont="1" applyBorder="1" applyAlignment="1">
      <alignment horizontal="center" vertical="center"/>
    </xf>
    <xf numFmtId="187" fontId="14" fillId="0" borderId="1" xfId="0" applyNumberFormat="1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176" fontId="12" fillId="16" borderId="1" xfId="0" applyNumberFormat="1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8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78" fontId="0" fillId="0" borderId="1" xfId="1" applyNumberFormat="1" applyFont="1" applyFill="1" applyBorder="1" applyAlignment="1">
      <alignment horizontal="center" vertical="center"/>
    </xf>
    <xf numFmtId="176" fontId="4" fillId="18" borderId="1" xfId="0" applyNumberFormat="1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center" vertical="center" wrapText="1"/>
    </xf>
    <xf numFmtId="2" fontId="9" fillId="0" borderId="1" xfId="1" applyNumberFormat="1" applyFont="1" applyBorder="1" applyAlignment="1">
      <alignment horizontal="center" vertical="center"/>
    </xf>
    <xf numFmtId="1" fontId="0" fillId="0" borderId="0" xfId="0" applyNumberFormat="1">
      <alignment vertical="center"/>
    </xf>
    <xf numFmtId="0" fontId="19" fillId="19" borderId="1" xfId="0" applyFont="1" applyFill="1" applyBorder="1" applyAlignment="1">
      <alignment horizontal="center" vertical="center"/>
    </xf>
    <xf numFmtId="188" fontId="0" fillId="0" borderId="1" xfId="0" applyNumberFormat="1" applyBorder="1">
      <alignment vertical="center"/>
    </xf>
    <xf numFmtId="188" fontId="0" fillId="13" borderId="1" xfId="0" applyNumberFormat="1" applyFill="1" applyBorder="1">
      <alignment vertical="center"/>
    </xf>
    <xf numFmtId="186" fontId="14" fillId="0" borderId="1" xfId="0" applyNumberFormat="1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9" fontId="12" fillId="0" borderId="1" xfId="0" applyNumberFormat="1" applyFont="1" applyBorder="1" applyAlignment="1">
      <alignment horizontal="center" vertical="center" wrapText="1"/>
    </xf>
    <xf numFmtId="189" fontId="6" fillId="0" borderId="1" xfId="0" applyNumberFormat="1" applyFont="1" applyBorder="1" applyAlignment="1">
      <alignment horizontal="center" vertical="center"/>
    </xf>
    <xf numFmtId="190" fontId="6" fillId="0" borderId="1" xfId="0" applyNumberFormat="1" applyFont="1" applyBorder="1" applyAlignment="1">
      <alignment horizontal="center" vertical="center"/>
    </xf>
    <xf numFmtId="184" fontId="14" fillId="0" borderId="1" xfId="0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0" xfId="2">
      <alignment vertical="center"/>
    </xf>
    <xf numFmtId="0" fontId="9" fillId="0" borderId="0" xfId="0" applyFont="1">
      <alignment vertical="center"/>
    </xf>
    <xf numFmtId="0" fontId="5" fillId="20" borderId="1" xfId="0" applyFont="1" applyFill="1" applyBorder="1" applyAlignment="1">
      <alignment horizontal="left" vertical="center" wrapText="1"/>
    </xf>
    <xf numFmtId="0" fontId="9" fillId="0" borderId="1" xfId="0" applyFont="1" applyBorder="1">
      <alignment vertical="center"/>
    </xf>
    <xf numFmtId="0" fontId="6" fillId="14" borderId="1" xfId="0" applyFont="1" applyFill="1" applyBorder="1" applyAlignment="1">
      <alignment horizontal="center" vertical="center"/>
    </xf>
    <xf numFmtId="0" fontId="0" fillId="21" borderId="1" xfId="0" applyFill="1" applyBorder="1">
      <alignment vertical="center"/>
    </xf>
    <xf numFmtId="0" fontId="0" fillId="21" borderId="1" xfId="0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176" fontId="1" fillId="25" borderId="10" xfId="9" applyNumberFormat="1" applyBorder="1" applyAlignment="1">
      <alignment horizontal="center" vertical="center"/>
    </xf>
    <xf numFmtId="176" fontId="13" fillId="0" borderId="10" xfId="0" applyNumberFormat="1" applyFont="1" applyBorder="1" applyAlignment="1">
      <alignment horizontal="center" vertical="center"/>
    </xf>
    <xf numFmtId="176" fontId="13" fillId="0" borderId="11" xfId="0" applyNumberFormat="1" applyFont="1" applyBorder="1" applyAlignment="1">
      <alignment horizontal="center" vertical="center"/>
    </xf>
    <xf numFmtId="176" fontId="12" fillId="13" borderId="4" xfId="0" applyNumberFormat="1" applyFont="1" applyFill="1" applyBorder="1" applyAlignment="1">
      <alignment horizontal="center" vertical="center"/>
    </xf>
    <xf numFmtId="176" fontId="14" fillId="13" borderId="4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  <xf numFmtId="176" fontId="21" fillId="23" borderId="14" xfId="7" applyNumberFormat="1" applyBorder="1" applyAlignment="1">
      <alignment horizontal="center" vertical="center"/>
    </xf>
    <xf numFmtId="176" fontId="13" fillId="0" borderId="14" xfId="0" applyNumberFormat="1" applyFont="1" applyBorder="1" applyAlignment="1">
      <alignment horizontal="center" vertical="center"/>
    </xf>
    <xf numFmtId="176" fontId="1" fillId="25" borderId="14" xfId="9" applyNumberFormat="1" applyBorder="1" applyAlignment="1">
      <alignment horizontal="center" vertical="center"/>
    </xf>
    <xf numFmtId="176" fontId="13" fillId="0" borderId="15" xfId="0" applyNumberFormat="1" applyFont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 wrapText="1"/>
    </xf>
    <xf numFmtId="176" fontId="13" fillId="0" borderId="17" xfId="0" applyNumberFormat="1" applyFont="1" applyBorder="1" applyAlignment="1">
      <alignment horizontal="center" vertical="center"/>
    </xf>
    <xf numFmtId="176" fontId="1" fillId="25" borderId="17" xfId="9" applyNumberFormat="1" applyBorder="1" applyAlignment="1">
      <alignment horizontal="center" vertical="center"/>
    </xf>
    <xf numFmtId="176" fontId="1" fillId="0" borderId="17" xfId="9" applyNumberFormat="1" applyFill="1" applyBorder="1" applyAlignment="1">
      <alignment horizontal="center" vertical="center"/>
    </xf>
    <xf numFmtId="176" fontId="1" fillId="0" borderId="18" xfId="9" applyNumberFormat="1" applyFill="1" applyBorder="1" applyAlignment="1">
      <alignment horizontal="center" vertical="center"/>
    </xf>
    <xf numFmtId="176" fontId="21" fillId="23" borderId="17" xfId="7" applyNumberFormat="1" applyBorder="1" applyAlignment="1">
      <alignment horizontal="center" vertical="center"/>
    </xf>
    <xf numFmtId="176" fontId="13" fillId="0" borderId="18" xfId="0" applyNumberFormat="1" applyFont="1" applyBorder="1" applyAlignment="1">
      <alignment horizontal="center" vertical="center"/>
    </xf>
    <xf numFmtId="176" fontId="11" fillId="0" borderId="19" xfId="0" applyNumberFormat="1" applyFont="1" applyBorder="1" applyAlignment="1">
      <alignment vertical="center" wrapText="1"/>
    </xf>
    <xf numFmtId="176" fontId="1" fillId="0" borderId="14" xfId="9" applyNumberFormat="1" applyFill="1" applyBorder="1" applyAlignment="1">
      <alignment horizontal="center" vertical="center"/>
    </xf>
    <xf numFmtId="176" fontId="1" fillId="0" borderId="15" xfId="9" applyNumberFormat="1" applyFill="1" applyBorder="1" applyAlignment="1">
      <alignment horizontal="center" vertical="center"/>
    </xf>
    <xf numFmtId="176" fontId="21" fillId="0" borderId="15" xfId="7" applyNumberFormat="1" applyFill="1" applyBorder="1" applyAlignment="1">
      <alignment horizontal="center" vertical="center"/>
    </xf>
    <xf numFmtId="176" fontId="11" fillId="0" borderId="20" xfId="0" applyNumberFormat="1" applyFont="1" applyBorder="1" applyAlignment="1">
      <alignment vertical="center" wrapText="1"/>
    </xf>
    <xf numFmtId="0" fontId="17" fillId="15" borderId="1" xfId="0" applyFont="1" applyFill="1" applyBorder="1" applyAlignment="1">
      <alignment horizontal="center" vertical="center"/>
    </xf>
    <xf numFmtId="0" fontId="20" fillId="22" borderId="0" xfId="6" applyBorder="1" applyAlignment="1">
      <alignment horizontal="center" vertical="center"/>
    </xf>
    <xf numFmtId="176" fontId="13" fillId="0" borderId="0" xfId="0" applyNumberFormat="1" applyFont="1" applyAlignment="1">
      <alignment horizontal="center" vertical="center"/>
    </xf>
    <xf numFmtId="0" fontId="18" fillId="17" borderId="5" xfId="0" applyFont="1" applyFill="1" applyBorder="1" applyAlignment="1">
      <alignment horizontal="center" vertical="center" wrapText="1"/>
    </xf>
    <xf numFmtId="0" fontId="18" fillId="17" borderId="6" xfId="0" applyFont="1" applyFill="1" applyBorder="1" applyAlignment="1">
      <alignment horizontal="center" vertical="center" wrapText="1"/>
    </xf>
    <xf numFmtId="0" fontId="18" fillId="17" borderId="7" xfId="0" applyFont="1" applyFill="1" applyBorder="1" applyAlignment="1">
      <alignment horizontal="center" vertical="center" wrapText="1"/>
    </xf>
    <xf numFmtId="176" fontId="1" fillId="25" borderId="0" xfId="9" applyNumberFormat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 wrapText="1"/>
    </xf>
    <xf numFmtId="0" fontId="18" fillId="17" borderId="12" xfId="0" applyFont="1" applyFill="1" applyBorder="1" applyAlignment="1">
      <alignment horizontal="center" vertical="center" wrapText="1"/>
    </xf>
    <xf numFmtId="0" fontId="21" fillId="23" borderId="0" xfId="7" applyBorder="1" applyAlignment="1">
      <alignment horizontal="center" vertical="center"/>
    </xf>
    <xf numFmtId="0" fontId="22" fillId="24" borderId="0" xfId="8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</cellXfs>
  <cellStyles count="10">
    <cellStyle name="60% - 강조색3" xfId="9" builtinId="40"/>
    <cellStyle name="나쁨" xfId="7" builtinId="27"/>
    <cellStyle name="보통" xfId="8" builtinId="28"/>
    <cellStyle name="쉼표" xfId="1" builtinId="3"/>
    <cellStyle name="쉼표 2" xfId="4" xr:uid="{CDDADB19-6252-4B9F-B8F7-2681F120F78F}"/>
    <cellStyle name="좋음" xfId="6" builtinId="26"/>
    <cellStyle name="표준" xfId="0" builtinId="0"/>
    <cellStyle name="표준 2" xfId="2" xr:uid="{74BE3DB5-4D5F-41D0-8E61-E90B13BF64AE}"/>
    <cellStyle name="표준 2 2" xfId="5" xr:uid="{853EECEB-FFB4-468F-BB81-56C0AE2BAD37}"/>
    <cellStyle name="표준 3" xfId="3" xr:uid="{784AD4F1-5DE2-4C3E-99D9-A637084B9B9E}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wrap="none" lIns="0" tIns="0" rIns="0" bIns="0" anchor="ctr" anchorCtr="1"/>
          <a:lstStyle/>
          <a:p>
            <a:pPr algn="l">
              <a:defRPr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r>
              <a:rPr lang="ko-KR" altLang="en-US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rPr>
              <a:t>라스칼 시즌별 팀 타율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'시즌별 정리'!$A$28</c:f>
              <c:strCache>
                <c:ptCount val="1"/>
                <c:pt idx="0">
                  <c:v>총합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rnd" cmpd="sng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 w="9525">
                <a:noFill/>
              </a:ln>
              <a:effectLst/>
            </c:spPr>
            <c:txPr>
              <a:bodyPr rot="0" vert="horz" wrap="none" lIns="0" tIns="0" rIns="0" bIns="0" anchor="ctr" anchorCtr="1"/>
              <a:lstStyle/>
              <a:p>
                <a:pPr algn="l">
                  <a:defRPr sz="1400" b="1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'시즌별 정리'!$B$3:$F$3</c:f>
              <c:strCache>
                <c:ptCount val="5"/>
                <c:pt idx="0">
                  <c:v>22년</c:v>
                </c:pt>
                <c:pt idx="1">
                  <c:v>23년</c:v>
                </c:pt>
                <c:pt idx="4">
                  <c:v>24년</c:v>
                </c:pt>
              </c:strCache>
            </c:strRef>
          </c:cat>
          <c:val>
            <c:numRef>
              <c:f>'시즌별 정리'!$B$28:$F$28</c:f>
              <c:numCache>
                <c:formatCode>0.000</c:formatCode>
                <c:ptCount val="5"/>
                <c:pt idx="0">
                  <c:v>0.43283582089552236</c:v>
                </c:pt>
                <c:pt idx="1">
                  <c:v>0.34285714285714286</c:v>
                </c:pt>
                <c:pt idx="2">
                  <c:v>0.35748792270531399</c:v>
                </c:pt>
                <c:pt idx="3">
                  <c:v>0.37</c:v>
                </c:pt>
                <c:pt idx="4">
                  <c:v>0.38607594936708861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D0-4DFD-BFAA-3B12F81BD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8979976"/>
        <c:axId val="658980336"/>
      </c:lineChart>
      <c:catAx>
        <c:axId val="658979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658980336"/>
        <c:crosses val="autoZero"/>
        <c:auto val="1"/>
        <c:lblAlgn val="ctr"/>
        <c:lblOffset val="100"/>
        <c:tickMarkSkip val="1"/>
        <c:noMultiLvlLbl val="0"/>
      </c:catAx>
      <c:valAx>
        <c:axId val="6589803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65897997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'시즌별 정리'!$B$3:$L$4</c:f>
              <c:multiLvlStrCache>
                <c:ptCount val="11"/>
                <c:lvl>
                  <c:pt idx="0">
                    <c:v>上샘프</c:v>
                  </c:pt>
                  <c:pt idx="1">
                    <c:v>下드림즈</c:v>
                  </c:pt>
                  <c:pt idx="2">
                    <c:v>上코모도</c:v>
                  </c:pt>
                  <c:pt idx="3">
                    <c:v>上디비전</c:v>
                  </c:pt>
                  <c:pt idx="4">
                    <c:v>下서구</c:v>
                  </c:pt>
                  <c:pt idx="5">
                    <c:v>下코모도</c:v>
                  </c:pt>
                  <c:pt idx="6">
                    <c:v>上코모도
(6부-B)</c:v>
                  </c:pt>
                  <c:pt idx="7">
                    <c:v>上디비전</c:v>
                  </c:pt>
                  <c:pt idx="8">
                    <c:v>下코모도
(6부C+A)</c:v>
                  </c:pt>
                  <c:pt idx="9">
                    <c:v>上코모도
(6부-BB)</c:v>
                  </c:pt>
                  <c:pt idx="10">
                    <c:v>디비전</c:v>
                  </c:pt>
                </c:lvl>
                <c:lvl>
                  <c:pt idx="0">
                    <c:v>22년</c:v>
                  </c:pt>
                  <c:pt idx="1">
                    <c:v>23년</c:v>
                  </c:pt>
                  <c:pt idx="4">
                    <c:v>24년</c:v>
                  </c:pt>
                  <c:pt idx="8">
                    <c:v>25년</c:v>
                  </c:pt>
                </c:lvl>
              </c:multiLvlStrCache>
            </c:multiLvlStrRef>
          </c:cat>
          <c:val>
            <c:numRef>
              <c:f>'시즌별 정리'!$B$28:$L$28</c:f>
              <c:numCache>
                <c:formatCode>0.000</c:formatCode>
                <c:ptCount val="11"/>
                <c:pt idx="0">
                  <c:v>0.43283582089552236</c:v>
                </c:pt>
                <c:pt idx="1">
                  <c:v>0.34285714285714286</c:v>
                </c:pt>
                <c:pt idx="2">
                  <c:v>0.35748792270531399</c:v>
                </c:pt>
                <c:pt idx="3">
                  <c:v>0.37</c:v>
                </c:pt>
                <c:pt idx="4">
                  <c:v>0.38607594936708861</c:v>
                </c:pt>
                <c:pt idx="5">
                  <c:v>0.38732394366197181</c:v>
                </c:pt>
                <c:pt idx="6">
                  <c:v>0.42439024390243901</c:v>
                </c:pt>
                <c:pt idx="7">
                  <c:v>0.37341772151898733</c:v>
                </c:pt>
                <c:pt idx="8">
                  <c:v>0.40066225165562913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25-4D4B-9598-8539B0A66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370672"/>
        <c:axId val="623372472"/>
      </c:lineChart>
      <c:catAx>
        <c:axId val="62337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3372472"/>
        <c:crosses val="autoZero"/>
        <c:auto val="1"/>
        <c:lblAlgn val="ctr"/>
        <c:lblOffset val="100"/>
        <c:noMultiLvlLbl val="0"/>
      </c:catAx>
      <c:valAx>
        <c:axId val="623372472"/>
        <c:scaling>
          <c:orientation val="minMax"/>
          <c:max val="0.5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3370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125309</xdr:colOff>
      <xdr:row>2</xdr:row>
      <xdr:rowOff>189633</xdr:rowOff>
    </xdr:from>
    <xdr:to>
      <xdr:col>34</xdr:col>
      <xdr:colOff>244558</xdr:colOff>
      <xdr:row>23</xdr:row>
      <xdr:rowOff>189633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170088</xdr:colOff>
      <xdr:row>3</xdr:row>
      <xdr:rowOff>43544</xdr:rowOff>
    </xdr:from>
    <xdr:to>
      <xdr:col>30</xdr:col>
      <xdr:colOff>285750</xdr:colOff>
      <xdr:row>19</xdr:row>
      <xdr:rowOff>231323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F027E28-4699-7A9D-9EBD-6470CE5CC1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V37"/>
  <sheetViews>
    <sheetView zoomScale="70" zoomScaleNormal="70" zoomScaleSheetLayoutView="75" workbookViewId="0">
      <pane ySplit="3" topLeftCell="A4" activePane="bottomLeft" state="frozen"/>
      <selection pane="bottomLeft" activeCell="K33" sqref="K33:L33"/>
    </sheetView>
  </sheetViews>
  <sheetFormatPr defaultColWidth="9" defaultRowHeight="16.5" x14ac:dyDescent="0.3"/>
  <cols>
    <col min="1" max="19" width="8.875" customWidth="1"/>
    <col min="20" max="20" width="8.875" style="31" customWidth="1"/>
    <col min="21" max="22" width="8.875" customWidth="1"/>
    <col min="25" max="25" width="10" bestFit="1" customWidth="1"/>
    <col min="27" max="27" width="11.125" bestFit="1" customWidth="1"/>
  </cols>
  <sheetData>
    <row r="1" spans="1:22" ht="26.25" x14ac:dyDescent="0.3">
      <c r="A1" s="24" t="s">
        <v>97</v>
      </c>
    </row>
    <row r="2" spans="1:22" ht="17.25" x14ac:dyDescent="0.3">
      <c r="A2" s="4" t="s">
        <v>1</v>
      </c>
    </row>
    <row r="3" spans="1:22" ht="34.5" x14ac:dyDescent="0.3">
      <c r="A3" s="10" t="s">
        <v>27</v>
      </c>
      <c r="B3" s="10" t="s">
        <v>46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65</v>
      </c>
      <c r="H3" s="10" t="s">
        <v>72</v>
      </c>
      <c r="I3" s="10" t="s">
        <v>0</v>
      </c>
      <c r="J3" s="10" t="s">
        <v>73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84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</row>
    <row r="4" spans="1:22" ht="15" customHeight="1" x14ac:dyDescent="0.3">
      <c r="A4" s="10" t="s">
        <v>59</v>
      </c>
      <c r="B4" s="1">
        <f>+'22년 시즌'!B4+'23년 시즌'!B4</f>
        <v>6</v>
      </c>
      <c r="C4" s="51">
        <f t="shared" ref="C4:C24" si="0">+F4/E4</f>
        <v>0</v>
      </c>
      <c r="D4" s="1">
        <f>+'22년 시즌'!D4+'23년 시즌'!D4</f>
        <v>1</v>
      </c>
      <c r="E4" s="1">
        <f>+'22년 시즌'!E4+'23년 시즌'!E4</f>
        <v>1</v>
      </c>
      <c r="F4" s="1">
        <f>+'22년 시즌'!F4+'23년 시즌'!F4</f>
        <v>0</v>
      </c>
      <c r="G4" s="1">
        <f>+'22년 시즌'!G4+'23년 시즌'!G4</f>
        <v>0</v>
      </c>
      <c r="H4" s="1">
        <f>+'22년 시즌'!H4+'23년 시즌'!H4</f>
        <v>0</v>
      </c>
      <c r="I4" s="1">
        <f>+'22년 시즌'!I4+'23년 시즌'!I4</f>
        <v>0</v>
      </c>
      <c r="J4" s="1">
        <f>+'22년 시즌'!J4+'23년 시즌'!J4</f>
        <v>0</v>
      </c>
      <c r="K4" s="1">
        <f>+'22년 시즌'!K4+'23년 시즌'!K4</f>
        <v>0</v>
      </c>
      <c r="L4" s="1">
        <f>+'22년 시즌'!L4+'23년 시즌'!L4</f>
        <v>0</v>
      </c>
      <c r="M4" s="1">
        <f>+'22년 시즌'!M4+'23년 시즌'!M4</f>
        <v>1</v>
      </c>
      <c r="N4" s="1">
        <f>+'22년 시즌'!N4+'23년 시즌'!N4</f>
        <v>0</v>
      </c>
      <c r="O4" s="1">
        <f>+'22년 시즌'!O4+'23년 시즌'!O4</f>
        <v>1</v>
      </c>
      <c r="P4" s="79">
        <f t="shared" ref="P4:P24" si="1">+O4/D4</f>
        <v>1</v>
      </c>
      <c r="Q4" s="46">
        <f t="shared" ref="Q4:Q24" si="2">+(G4*1+H4*2+I4*3+J4*4)/E4</f>
        <v>0</v>
      </c>
      <c r="R4" s="28">
        <f t="shared" ref="R4:R24" si="3">+(F4+N4)/D4</f>
        <v>0</v>
      </c>
      <c r="S4" s="58">
        <f t="shared" ref="S4:S24" si="4">+R4+Q4</f>
        <v>0</v>
      </c>
      <c r="T4" s="74">
        <f t="shared" ref="T4:T24" si="5">O4/(D4-(F4+N4))</f>
        <v>1</v>
      </c>
      <c r="U4" s="61">
        <f t="shared" ref="U4:U24" si="6">RANK(R4,$R$4:$R$24)</f>
        <v>20</v>
      </c>
      <c r="V4" s="69">
        <f t="shared" ref="V4:V24" si="7">RANK(S4,$S$4:$S$24)</f>
        <v>20</v>
      </c>
    </row>
    <row r="5" spans="1:22" ht="17.25" x14ac:dyDescent="0.3">
      <c r="A5" s="10" t="s">
        <v>34</v>
      </c>
      <c r="B5" s="1">
        <f>+'22년 시즌'!B5+'23년 시즌'!B5</f>
        <v>19</v>
      </c>
      <c r="C5" s="51">
        <f t="shared" si="0"/>
        <v>0.23529411764705882</v>
      </c>
      <c r="D5" s="1">
        <f>+'22년 시즌'!D5+'23년 시즌'!D5</f>
        <v>34</v>
      </c>
      <c r="E5" s="1">
        <f>+'22년 시즌'!E5+'23년 시즌'!E5</f>
        <v>17</v>
      </c>
      <c r="F5" s="1">
        <f>+'22년 시즌'!F5+'23년 시즌'!F5</f>
        <v>4</v>
      </c>
      <c r="G5" s="1">
        <f>+'22년 시즌'!G5+'23년 시즌'!G5</f>
        <v>4</v>
      </c>
      <c r="H5" s="1">
        <f>+'22년 시즌'!H5+'23년 시즌'!H5</f>
        <v>0</v>
      </c>
      <c r="I5" s="1">
        <f>+'22년 시즌'!I5+'23년 시즌'!I5</f>
        <v>0</v>
      </c>
      <c r="J5" s="1">
        <f>+'22년 시즌'!J5+'23년 시즌'!J5</f>
        <v>0</v>
      </c>
      <c r="K5" s="1">
        <f>+'22년 시즌'!K5+'23년 시즌'!K5</f>
        <v>6</v>
      </c>
      <c r="L5" s="1">
        <f>+'22년 시즌'!L5+'23년 시즌'!L5</f>
        <v>6</v>
      </c>
      <c r="M5" s="1">
        <f>+'22년 시즌'!M5+'23년 시즌'!M5</f>
        <v>3</v>
      </c>
      <c r="N5" s="1">
        <f>+'22년 시즌'!N5+'23년 시즌'!N5</f>
        <v>16</v>
      </c>
      <c r="O5" s="1">
        <f>+'22년 시즌'!O5+'23년 시즌'!O5</f>
        <v>7</v>
      </c>
      <c r="P5" s="83">
        <f t="shared" si="1"/>
        <v>0.20588235294117646</v>
      </c>
      <c r="Q5" s="46">
        <f t="shared" si="2"/>
        <v>0.23529411764705882</v>
      </c>
      <c r="R5" s="28">
        <f t="shared" si="3"/>
        <v>0.58823529411764708</v>
      </c>
      <c r="S5" s="58">
        <f t="shared" si="4"/>
        <v>0.82352941176470584</v>
      </c>
      <c r="T5" s="62">
        <f t="shared" si="5"/>
        <v>0.5</v>
      </c>
      <c r="U5" s="61">
        <f t="shared" si="6"/>
        <v>2</v>
      </c>
      <c r="V5" s="69">
        <f t="shared" si="7"/>
        <v>10</v>
      </c>
    </row>
    <row r="6" spans="1:22" ht="17.25" x14ac:dyDescent="0.3">
      <c r="A6" s="10" t="s">
        <v>44</v>
      </c>
      <c r="B6" s="1">
        <f>+'22년 시즌'!B6+'23년 시즌'!B6</f>
        <v>29</v>
      </c>
      <c r="C6" s="51">
        <f t="shared" si="0"/>
        <v>0.55000000000000004</v>
      </c>
      <c r="D6" s="1">
        <f>+'22년 시즌'!D6+'23년 시즌'!D6</f>
        <v>78</v>
      </c>
      <c r="E6" s="1">
        <f>+'22년 시즌'!E6+'23년 시즌'!E6</f>
        <v>60</v>
      </c>
      <c r="F6" s="1">
        <f>+'22년 시즌'!F6+'23년 시즌'!F6</f>
        <v>33</v>
      </c>
      <c r="G6" s="1">
        <f>+'22년 시즌'!G6+'23년 시즌'!G6</f>
        <v>24</v>
      </c>
      <c r="H6" s="1">
        <f>+'22년 시즌'!H6+'23년 시즌'!H6</f>
        <v>7</v>
      </c>
      <c r="I6" s="1">
        <f>+'22년 시즌'!I6+'23년 시즌'!I6</f>
        <v>2</v>
      </c>
      <c r="J6" s="1">
        <f>+'22년 시즌'!J6+'23년 시즌'!J6</f>
        <v>0</v>
      </c>
      <c r="K6" s="1">
        <f>+'22년 시즌'!K6+'23년 시즌'!K6</f>
        <v>35</v>
      </c>
      <c r="L6" s="1">
        <f>+'22년 시즌'!L6+'23년 시즌'!L6</f>
        <v>30</v>
      </c>
      <c r="M6" s="1">
        <f>+'22년 시즌'!M6+'23년 시즌'!M6</f>
        <v>24</v>
      </c>
      <c r="N6" s="1">
        <f>+'22년 시즌'!N6+'23년 시즌'!N6</f>
        <v>16</v>
      </c>
      <c r="O6" s="1">
        <f>+'22년 시즌'!O6+'23년 시즌'!O6</f>
        <v>5</v>
      </c>
      <c r="P6" s="83">
        <f t="shared" si="1"/>
        <v>6.4102564102564097E-2</v>
      </c>
      <c r="Q6" s="46">
        <f t="shared" si="2"/>
        <v>0.73333333333333328</v>
      </c>
      <c r="R6" s="28">
        <f t="shared" si="3"/>
        <v>0.62820512820512819</v>
      </c>
      <c r="S6" s="58">
        <f t="shared" si="4"/>
        <v>1.3615384615384616</v>
      </c>
      <c r="T6" s="63">
        <f t="shared" si="5"/>
        <v>0.17241379310344829</v>
      </c>
      <c r="U6" s="61">
        <f t="shared" si="6"/>
        <v>1</v>
      </c>
      <c r="V6" s="69">
        <f t="shared" si="7"/>
        <v>2</v>
      </c>
    </row>
    <row r="7" spans="1:22" ht="17.25" x14ac:dyDescent="0.3">
      <c r="A7" s="10" t="s">
        <v>9</v>
      </c>
      <c r="B7" s="1">
        <f>+'22년 시즌'!B7+'23년 시즌'!B7</f>
        <v>1</v>
      </c>
      <c r="C7" s="51">
        <f t="shared" si="0"/>
        <v>0</v>
      </c>
      <c r="D7" s="1">
        <f>+'22년 시즌'!D7+'23년 시즌'!D7</f>
        <v>4</v>
      </c>
      <c r="E7" s="1">
        <f>+'22년 시즌'!E7+'23년 시즌'!E7</f>
        <v>4</v>
      </c>
      <c r="F7" s="1">
        <f>+'22년 시즌'!F7+'23년 시즌'!F7</f>
        <v>0</v>
      </c>
      <c r="G7" s="1">
        <f>+'22년 시즌'!G7+'23년 시즌'!G7</f>
        <v>0</v>
      </c>
      <c r="H7" s="1">
        <f>+'22년 시즌'!H7+'23년 시즌'!H7</f>
        <v>0</v>
      </c>
      <c r="I7" s="1">
        <f>+'22년 시즌'!I7+'23년 시즌'!I7</f>
        <v>0</v>
      </c>
      <c r="J7" s="1">
        <f>+'22년 시즌'!J7+'23년 시즌'!J7</f>
        <v>0</v>
      </c>
      <c r="K7" s="1">
        <f>+'22년 시즌'!K7+'23년 시즌'!K7</f>
        <v>0</v>
      </c>
      <c r="L7" s="1">
        <f>+'22년 시즌'!L7+'23년 시즌'!L7</f>
        <v>3</v>
      </c>
      <c r="M7" s="1">
        <f>+'22년 시즌'!M7+'23년 시즌'!M7</f>
        <v>0</v>
      </c>
      <c r="N7" s="1">
        <f>+'22년 시즌'!N7+'23년 시즌'!N7</f>
        <v>0</v>
      </c>
      <c r="O7" s="1">
        <f>+'22년 시즌'!O7+'23년 시즌'!O7</f>
        <v>0</v>
      </c>
      <c r="P7" s="83">
        <f t="shared" si="1"/>
        <v>0</v>
      </c>
      <c r="Q7" s="46">
        <f t="shared" si="2"/>
        <v>0</v>
      </c>
      <c r="R7" s="28">
        <f t="shared" si="3"/>
        <v>0</v>
      </c>
      <c r="S7" s="58">
        <f t="shared" si="4"/>
        <v>0</v>
      </c>
      <c r="T7" s="64">
        <f t="shared" si="5"/>
        <v>0</v>
      </c>
      <c r="U7" s="61">
        <f t="shared" si="6"/>
        <v>20</v>
      </c>
      <c r="V7" s="69">
        <f t="shared" si="7"/>
        <v>20</v>
      </c>
    </row>
    <row r="8" spans="1:22" ht="17.25" x14ac:dyDescent="0.3">
      <c r="A8" s="10" t="s">
        <v>4</v>
      </c>
      <c r="B8" s="1">
        <f>+'22년 시즌'!B8+'23년 시즌'!B8</f>
        <v>30</v>
      </c>
      <c r="C8" s="51">
        <f t="shared" si="0"/>
        <v>0.36666666666666664</v>
      </c>
      <c r="D8" s="1">
        <f>+'22년 시즌'!D8+'23년 시즌'!D8</f>
        <v>75</v>
      </c>
      <c r="E8" s="1">
        <f>+'22년 시즌'!E8+'23년 시즌'!E8</f>
        <v>60</v>
      </c>
      <c r="F8" s="1">
        <f>+'22년 시즌'!F8+'23년 시즌'!F8</f>
        <v>22</v>
      </c>
      <c r="G8" s="1">
        <f>+'22년 시즌'!G8+'23년 시즌'!G8</f>
        <v>14</v>
      </c>
      <c r="H8" s="1">
        <f>+'22년 시즌'!H8+'23년 시즌'!H8</f>
        <v>5</v>
      </c>
      <c r="I8" s="1">
        <f>+'22년 시즌'!I8+'23년 시즌'!I8</f>
        <v>3</v>
      </c>
      <c r="J8" s="1">
        <f>+'22년 시즌'!J8+'23년 시즌'!J8</f>
        <v>0</v>
      </c>
      <c r="K8" s="1">
        <f>+'22년 시즌'!K8+'23년 시즌'!K8</f>
        <v>22</v>
      </c>
      <c r="L8" s="1">
        <f>+'22년 시즌'!L8+'23년 시즌'!L8</f>
        <v>24</v>
      </c>
      <c r="M8" s="1">
        <f>+'22년 시즌'!M8+'23년 시즌'!M8</f>
        <v>13</v>
      </c>
      <c r="N8" s="1">
        <f>+'22년 시즌'!N8+'23년 시즌'!N8</f>
        <v>14</v>
      </c>
      <c r="O8" s="1">
        <f>+'22년 시즌'!O8+'23년 시즌'!O8</f>
        <v>14</v>
      </c>
      <c r="P8" s="83">
        <f t="shared" si="1"/>
        <v>0.18666666666666668</v>
      </c>
      <c r="Q8" s="46">
        <f t="shared" si="2"/>
        <v>0.55000000000000004</v>
      </c>
      <c r="R8" s="28">
        <f t="shared" si="3"/>
        <v>0.48</v>
      </c>
      <c r="S8" s="58">
        <f t="shared" si="4"/>
        <v>1.03</v>
      </c>
      <c r="T8" s="62">
        <f t="shared" si="5"/>
        <v>0.35897435897435898</v>
      </c>
      <c r="U8" s="61">
        <f t="shared" si="6"/>
        <v>8</v>
      </c>
      <c r="V8" s="69">
        <f t="shared" si="7"/>
        <v>6</v>
      </c>
    </row>
    <row r="9" spans="1:22" ht="17.25" x14ac:dyDescent="0.3">
      <c r="A9" s="10" t="s">
        <v>51</v>
      </c>
      <c r="B9" s="1">
        <f>+'22년 시즌'!B9+'23년 시즌'!B9</f>
        <v>17</v>
      </c>
      <c r="C9" s="51">
        <f t="shared" si="0"/>
        <v>0.22580645161290322</v>
      </c>
      <c r="D9" s="1">
        <f>+'22년 시즌'!D9+'23년 시즌'!D9</f>
        <v>38</v>
      </c>
      <c r="E9" s="1">
        <f>+'22년 시즌'!E9+'23년 시즌'!E9</f>
        <v>31</v>
      </c>
      <c r="F9" s="1">
        <f>+'22년 시즌'!F9+'23년 시즌'!F9</f>
        <v>7</v>
      </c>
      <c r="G9" s="1">
        <f>+'22년 시즌'!G9+'23년 시즌'!G9</f>
        <v>6</v>
      </c>
      <c r="H9" s="1">
        <f>+'22년 시즌'!H9+'23년 시즌'!H9</f>
        <v>1</v>
      </c>
      <c r="I9" s="1">
        <f>+'22년 시즌'!I9+'23년 시즌'!I9</f>
        <v>0</v>
      </c>
      <c r="J9" s="1">
        <f>+'22년 시즌'!J9+'23년 시즌'!J9</f>
        <v>0</v>
      </c>
      <c r="K9" s="1">
        <f>+'22년 시즌'!K9+'23년 시즌'!K9</f>
        <v>7</v>
      </c>
      <c r="L9" s="1">
        <f>+'22년 시즌'!L9+'23년 시즌'!L9</f>
        <v>4</v>
      </c>
      <c r="M9" s="1">
        <f>+'22년 시즌'!M9+'23년 시즌'!M9</f>
        <v>7</v>
      </c>
      <c r="N9" s="1">
        <f>+'22년 시즌'!N9+'23년 시즌'!N9</f>
        <v>7</v>
      </c>
      <c r="O9" s="1">
        <f>+'22년 시즌'!O9+'23년 시즌'!O9</f>
        <v>15</v>
      </c>
      <c r="P9" s="79">
        <f t="shared" si="1"/>
        <v>0.39473684210526316</v>
      </c>
      <c r="Q9" s="46">
        <f t="shared" si="2"/>
        <v>0.25806451612903225</v>
      </c>
      <c r="R9" s="28">
        <f t="shared" si="3"/>
        <v>0.36842105263157893</v>
      </c>
      <c r="S9" s="58">
        <f t="shared" si="4"/>
        <v>0.62648556876061123</v>
      </c>
      <c r="T9" s="62">
        <f t="shared" si="5"/>
        <v>0.625</v>
      </c>
      <c r="U9" s="61">
        <f t="shared" si="6"/>
        <v>15</v>
      </c>
      <c r="V9" s="69">
        <f t="shared" si="7"/>
        <v>16</v>
      </c>
    </row>
    <row r="10" spans="1:22" ht="17.25" x14ac:dyDescent="0.3">
      <c r="A10" s="10" t="s">
        <v>25</v>
      </c>
      <c r="B10" s="1">
        <f>+'22년 시즌'!B10+'23년 시즌'!B10</f>
        <v>29</v>
      </c>
      <c r="C10" s="51">
        <f t="shared" si="0"/>
        <v>0.51315789473684215</v>
      </c>
      <c r="D10" s="1">
        <f>+'22년 시즌'!D10+'23년 시즌'!D10</f>
        <v>94</v>
      </c>
      <c r="E10" s="1">
        <f>+'22년 시즌'!E10+'23년 시즌'!E10</f>
        <v>76</v>
      </c>
      <c r="F10" s="1">
        <f>+'22년 시즌'!F10+'23년 시즌'!F10</f>
        <v>39</v>
      </c>
      <c r="G10" s="1">
        <f>+'22년 시즌'!G10+'23년 시즌'!G10</f>
        <v>28</v>
      </c>
      <c r="H10" s="1">
        <f>+'22년 시즌'!H10+'23년 시즌'!H10</f>
        <v>7</v>
      </c>
      <c r="I10" s="1">
        <f>+'22년 시즌'!I10+'23년 시즌'!I10</f>
        <v>3</v>
      </c>
      <c r="J10" s="1">
        <f>+'22년 시즌'!J10+'23년 시즌'!J10</f>
        <v>1</v>
      </c>
      <c r="K10" s="1">
        <f>+'22년 시즌'!K10+'23년 시즌'!K10</f>
        <v>40</v>
      </c>
      <c r="L10" s="1">
        <f>+'22년 시즌'!L10+'23년 시즌'!L10</f>
        <v>27</v>
      </c>
      <c r="M10" s="1">
        <f>+'22년 시즌'!M10+'23년 시즌'!M10</f>
        <v>47</v>
      </c>
      <c r="N10" s="1">
        <f>+'22년 시즌'!N10+'23년 시즌'!N10</f>
        <v>16</v>
      </c>
      <c r="O10" s="1">
        <f>+'22년 시즌'!O10+'23년 시즌'!O10</f>
        <v>8</v>
      </c>
      <c r="P10" s="83">
        <f t="shared" si="1"/>
        <v>8.5106382978723402E-2</v>
      </c>
      <c r="Q10" s="46">
        <f t="shared" si="2"/>
        <v>0.72368421052631582</v>
      </c>
      <c r="R10" s="28">
        <f t="shared" si="3"/>
        <v>0.58510638297872342</v>
      </c>
      <c r="S10" s="58">
        <f t="shared" si="4"/>
        <v>1.3087905935050392</v>
      </c>
      <c r="T10" s="75">
        <f t="shared" si="5"/>
        <v>0.20512820512820512</v>
      </c>
      <c r="U10" s="61">
        <f t="shared" si="6"/>
        <v>3</v>
      </c>
      <c r="V10" s="69">
        <f t="shared" si="7"/>
        <v>3</v>
      </c>
    </row>
    <row r="11" spans="1:22" ht="17.25" x14ac:dyDescent="0.3">
      <c r="A11" s="10" t="s">
        <v>21</v>
      </c>
      <c r="B11" s="1">
        <f>+'22년 시즌'!B11+'23년 시즌'!B11</f>
        <v>16</v>
      </c>
      <c r="C11" s="51">
        <f t="shared" si="0"/>
        <v>0.28125</v>
      </c>
      <c r="D11" s="1">
        <f>+'22년 시즌'!D11+'23년 시즌'!D11</f>
        <v>36</v>
      </c>
      <c r="E11" s="1">
        <f>+'22년 시즌'!E11+'23년 시즌'!E11</f>
        <v>32</v>
      </c>
      <c r="F11" s="1">
        <f>+'22년 시즌'!F11+'23년 시즌'!F11</f>
        <v>9</v>
      </c>
      <c r="G11" s="1">
        <f>+'22년 시즌'!G11+'23년 시즌'!G11</f>
        <v>8</v>
      </c>
      <c r="H11" s="1">
        <f>+'22년 시즌'!H11+'23년 시즌'!H11</f>
        <v>1</v>
      </c>
      <c r="I11" s="1">
        <f>+'22년 시즌'!I11+'23년 시즌'!I11</f>
        <v>0</v>
      </c>
      <c r="J11" s="1">
        <f>+'22년 시즌'!J11+'23년 시즌'!J11</f>
        <v>0</v>
      </c>
      <c r="K11" s="1">
        <f>+'22년 시즌'!K11+'23년 시즌'!K11</f>
        <v>10</v>
      </c>
      <c r="L11" s="1">
        <f>+'22년 시즌'!L11+'23년 시즌'!L11</f>
        <v>9</v>
      </c>
      <c r="M11" s="1">
        <f>+'22년 시즌'!M11+'23년 시즌'!M11</f>
        <v>8</v>
      </c>
      <c r="N11" s="1">
        <f>+'22년 시즌'!N11+'23년 시즌'!N11</f>
        <v>4</v>
      </c>
      <c r="O11" s="1">
        <f>+'22년 시즌'!O11+'23년 시즌'!O11</f>
        <v>8</v>
      </c>
      <c r="P11" s="83">
        <f t="shared" si="1"/>
        <v>0.22222222222222221</v>
      </c>
      <c r="Q11" s="46">
        <f t="shared" si="2"/>
        <v>0.3125</v>
      </c>
      <c r="R11" s="28">
        <f t="shared" si="3"/>
        <v>0.3611111111111111</v>
      </c>
      <c r="S11" s="58">
        <f t="shared" si="4"/>
        <v>0.67361111111111116</v>
      </c>
      <c r="T11" s="62">
        <f t="shared" si="5"/>
        <v>0.34782608695652173</v>
      </c>
      <c r="U11" s="61">
        <f t="shared" si="6"/>
        <v>16</v>
      </c>
      <c r="V11" s="69">
        <f t="shared" si="7"/>
        <v>13</v>
      </c>
    </row>
    <row r="12" spans="1:22" ht="17.25" x14ac:dyDescent="0.3">
      <c r="A12" s="10" t="s">
        <v>8</v>
      </c>
      <c r="B12" s="1">
        <f>+'22년 시즌'!B12+'23년 시즌'!B12</f>
        <v>5</v>
      </c>
      <c r="C12" s="51">
        <f t="shared" si="0"/>
        <v>0.16666666666666666</v>
      </c>
      <c r="D12" s="1">
        <f>+'22년 시즌'!D12+'23년 시즌'!D12</f>
        <v>9</v>
      </c>
      <c r="E12" s="1">
        <f>+'22년 시즌'!E12+'23년 시즌'!E12</f>
        <v>6</v>
      </c>
      <c r="F12" s="1">
        <f>+'22년 시즌'!F12+'23년 시즌'!F12</f>
        <v>1</v>
      </c>
      <c r="G12" s="1">
        <f>+'22년 시즌'!G12+'23년 시즌'!G12</f>
        <v>1</v>
      </c>
      <c r="H12" s="1">
        <f>+'22년 시즌'!H12+'23년 시즌'!H12</f>
        <v>0</v>
      </c>
      <c r="I12" s="1">
        <f>+'22년 시즌'!I12+'23년 시즌'!I12</f>
        <v>0</v>
      </c>
      <c r="J12" s="1">
        <f>+'22년 시즌'!J12+'23년 시즌'!J12</f>
        <v>0</v>
      </c>
      <c r="K12" s="1">
        <f>+'22년 시즌'!K12+'23년 시즌'!K12</f>
        <v>1</v>
      </c>
      <c r="L12" s="1">
        <f>+'22년 시즌'!L12+'23년 시즌'!L12</f>
        <v>1</v>
      </c>
      <c r="M12" s="1">
        <f>+'22년 시즌'!M12+'23년 시즌'!M12</f>
        <v>1</v>
      </c>
      <c r="N12" s="1">
        <f>+'22년 시즌'!N12+'23년 시즌'!N12</f>
        <v>0</v>
      </c>
      <c r="O12" s="1">
        <f>+'22년 시즌'!O12+'23년 시즌'!O12</f>
        <v>1</v>
      </c>
      <c r="P12" s="83">
        <f t="shared" si="1"/>
        <v>0.1111111111111111</v>
      </c>
      <c r="Q12" s="46">
        <f t="shared" si="2"/>
        <v>0.16666666666666666</v>
      </c>
      <c r="R12" s="28">
        <f t="shared" si="3"/>
        <v>0.1111111111111111</v>
      </c>
      <c r="S12" s="58">
        <f t="shared" si="4"/>
        <v>0.27777777777777779</v>
      </c>
      <c r="T12" s="64">
        <f t="shared" si="5"/>
        <v>0.125</v>
      </c>
      <c r="U12" s="61">
        <f t="shared" si="6"/>
        <v>19</v>
      </c>
      <c r="V12" s="69">
        <f t="shared" si="7"/>
        <v>19</v>
      </c>
    </row>
    <row r="13" spans="1:22" ht="17.25" x14ac:dyDescent="0.3">
      <c r="A13" s="10" t="s">
        <v>15</v>
      </c>
      <c r="B13" s="1">
        <f>+'22년 시즌'!B13+'23년 시즌'!B13</f>
        <v>24</v>
      </c>
      <c r="C13" s="51">
        <f t="shared" si="0"/>
        <v>0.51923076923076927</v>
      </c>
      <c r="D13" s="1">
        <f>+'22년 시즌'!D13+'23년 시즌'!D13</f>
        <v>58</v>
      </c>
      <c r="E13" s="1">
        <f>+'22년 시즌'!E13+'23년 시즌'!E13</f>
        <v>52</v>
      </c>
      <c r="F13" s="1">
        <f>+'22년 시즌'!F13+'23년 시즌'!F13</f>
        <v>27</v>
      </c>
      <c r="G13" s="1">
        <f>+'22년 시즌'!G13+'23년 시즌'!G13</f>
        <v>12</v>
      </c>
      <c r="H13" s="1">
        <f>+'22년 시즌'!H13+'23년 시즌'!H13</f>
        <v>13</v>
      </c>
      <c r="I13" s="1">
        <f>+'22년 시즌'!I13+'23년 시즌'!I13</f>
        <v>1</v>
      </c>
      <c r="J13" s="1">
        <f>+'22년 시즌'!J13+'23년 시즌'!J13</f>
        <v>1</v>
      </c>
      <c r="K13" s="1">
        <f>+'22년 시즌'!K13+'23년 시즌'!K13</f>
        <v>18</v>
      </c>
      <c r="L13" s="1">
        <f>+'22년 시즌'!L13+'23년 시즌'!L13</f>
        <v>23</v>
      </c>
      <c r="M13" s="1">
        <f>+'22년 시즌'!M13+'23년 시즌'!M13</f>
        <v>8</v>
      </c>
      <c r="N13" s="1">
        <f>+'22년 시즌'!N13+'23년 시즌'!N13</f>
        <v>5</v>
      </c>
      <c r="O13" s="1">
        <f>+'22년 시즌'!O13+'23년 시즌'!O13</f>
        <v>5</v>
      </c>
      <c r="P13" s="83">
        <f t="shared" si="1"/>
        <v>8.6206896551724144E-2</v>
      </c>
      <c r="Q13" s="46">
        <f t="shared" si="2"/>
        <v>0.86538461538461542</v>
      </c>
      <c r="R13" s="28">
        <f t="shared" si="3"/>
        <v>0.55172413793103448</v>
      </c>
      <c r="S13" s="58">
        <f t="shared" si="4"/>
        <v>1.4171087533156499</v>
      </c>
      <c r="T13" s="75">
        <f t="shared" si="5"/>
        <v>0.19230769230769232</v>
      </c>
      <c r="U13" s="61">
        <f t="shared" si="6"/>
        <v>5</v>
      </c>
      <c r="V13" s="69">
        <f t="shared" si="7"/>
        <v>1</v>
      </c>
    </row>
    <row r="14" spans="1:22" ht="17.25" x14ac:dyDescent="0.3">
      <c r="A14" s="10" t="s">
        <v>52</v>
      </c>
      <c r="B14" s="1">
        <f>+'22년 시즌'!B14+'23년 시즌'!B14</f>
        <v>14</v>
      </c>
      <c r="C14" s="51">
        <f t="shared" si="0"/>
        <v>0.16666666666666666</v>
      </c>
      <c r="D14" s="1">
        <f>+'22년 시즌'!D14+'23년 시즌'!D14</f>
        <v>33</v>
      </c>
      <c r="E14" s="1">
        <f>+'22년 시즌'!E14+'23년 시즌'!E14</f>
        <v>24</v>
      </c>
      <c r="F14" s="1">
        <f>+'22년 시즌'!F14+'23년 시즌'!F14</f>
        <v>4</v>
      </c>
      <c r="G14" s="1">
        <f>+'22년 시즌'!G14+'23년 시즌'!G14</f>
        <v>3</v>
      </c>
      <c r="H14" s="1">
        <f>+'22년 시즌'!H14+'23년 시즌'!H14</f>
        <v>0</v>
      </c>
      <c r="I14" s="1">
        <f>+'22년 시즌'!I14+'23년 시즌'!I14</f>
        <v>1</v>
      </c>
      <c r="J14" s="1">
        <f>+'22년 시즌'!J14+'23년 시즌'!J14</f>
        <v>0</v>
      </c>
      <c r="K14" s="1">
        <f>+'22년 시즌'!K14+'23년 시즌'!K14</f>
        <v>10</v>
      </c>
      <c r="L14" s="1">
        <f>+'22년 시즌'!L14+'23년 시즌'!L14</f>
        <v>2</v>
      </c>
      <c r="M14" s="1">
        <f>+'22년 시즌'!M14+'23년 시즌'!M14</f>
        <v>5</v>
      </c>
      <c r="N14" s="1">
        <f>+'22년 시즌'!N14+'23년 시즌'!N14</f>
        <v>9</v>
      </c>
      <c r="O14" s="1">
        <f>+'22년 시즌'!O14+'23년 시즌'!O14</f>
        <v>11</v>
      </c>
      <c r="P14" s="79">
        <f t="shared" si="1"/>
        <v>0.33333333333333331</v>
      </c>
      <c r="Q14" s="46">
        <f t="shared" si="2"/>
        <v>0.25</v>
      </c>
      <c r="R14" s="28">
        <f t="shared" si="3"/>
        <v>0.39393939393939392</v>
      </c>
      <c r="S14" s="58">
        <f t="shared" si="4"/>
        <v>0.64393939393939392</v>
      </c>
      <c r="T14" s="65">
        <f t="shared" si="5"/>
        <v>0.55000000000000004</v>
      </c>
      <c r="U14" s="61">
        <f t="shared" si="6"/>
        <v>13</v>
      </c>
      <c r="V14" s="69">
        <f t="shared" si="7"/>
        <v>14</v>
      </c>
    </row>
    <row r="15" spans="1:22" ht="17.25" x14ac:dyDescent="0.3">
      <c r="A15" s="10" t="s">
        <v>23</v>
      </c>
      <c r="B15" s="1">
        <f>+'22년 시즌'!B15+'23년 시즌'!B15</f>
        <v>8</v>
      </c>
      <c r="C15" s="51">
        <f t="shared" si="0"/>
        <v>0.15384615384615385</v>
      </c>
      <c r="D15" s="1">
        <f>+'22년 시즌'!D15+'23년 시즌'!D15</f>
        <v>20</v>
      </c>
      <c r="E15" s="1">
        <f>+'22년 시즌'!E15+'23년 시즌'!E15</f>
        <v>13</v>
      </c>
      <c r="F15" s="1">
        <f>+'22년 시즌'!F15+'23년 시즌'!F15</f>
        <v>2</v>
      </c>
      <c r="G15" s="1">
        <f>+'22년 시즌'!G15+'23년 시즌'!G15</f>
        <v>2</v>
      </c>
      <c r="H15" s="1">
        <f>+'22년 시즌'!H15+'23년 시즌'!H15</f>
        <v>0</v>
      </c>
      <c r="I15" s="1">
        <f>+'22년 시즌'!I15+'23년 시즌'!I15</f>
        <v>0</v>
      </c>
      <c r="J15" s="1">
        <f>+'22년 시즌'!J15+'23년 시즌'!J15</f>
        <v>0</v>
      </c>
      <c r="K15" s="1">
        <f>+'22년 시즌'!K15+'23년 시즌'!K15</f>
        <v>3</v>
      </c>
      <c r="L15" s="1">
        <f>+'22년 시즌'!L15+'23년 시즌'!L15</f>
        <v>4</v>
      </c>
      <c r="M15" s="1">
        <f>+'22년 시즌'!M15+'23년 시즌'!M15</f>
        <v>1</v>
      </c>
      <c r="N15" s="1">
        <f>+'22년 시즌'!N15+'23년 시즌'!N15</f>
        <v>4</v>
      </c>
      <c r="O15" s="1">
        <f>+'22년 시즌'!O15+'23년 시즌'!O15</f>
        <v>7</v>
      </c>
      <c r="P15" s="79">
        <f t="shared" si="1"/>
        <v>0.35</v>
      </c>
      <c r="Q15" s="46">
        <f t="shared" si="2"/>
        <v>0.15384615384615385</v>
      </c>
      <c r="R15" s="28">
        <f t="shared" si="3"/>
        <v>0.3</v>
      </c>
      <c r="S15" s="58">
        <f t="shared" si="4"/>
        <v>0.45384615384615384</v>
      </c>
      <c r="T15" s="74">
        <f t="shared" si="5"/>
        <v>0.5</v>
      </c>
      <c r="U15" s="61">
        <f t="shared" si="6"/>
        <v>17</v>
      </c>
      <c r="V15" s="69">
        <f t="shared" si="7"/>
        <v>17</v>
      </c>
    </row>
    <row r="16" spans="1:22" ht="17.25" x14ac:dyDescent="0.3">
      <c r="A16" s="10" t="s">
        <v>50</v>
      </c>
      <c r="B16" s="1">
        <f>+'22년 시즌'!B16+'23년 시즌'!B16</f>
        <v>15</v>
      </c>
      <c r="C16" s="51">
        <f t="shared" si="0"/>
        <v>0.375</v>
      </c>
      <c r="D16" s="1">
        <f>+'22년 시즌'!D16+'23년 시즌'!D16</f>
        <v>21</v>
      </c>
      <c r="E16" s="1">
        <f>+'22년 시즌'!E16+'23년 시즌'!E16</f>
        <v>16</v>
      </c>
      <c r="F16" s="1">
        <f>+'22년 시즌'!F16+'23년 시즌'!F16</f>
        <v>6</v>
      </c>
      <c r="G16" s="1">
        <f>+'22년 시즌'!G16+'23년 시즌'!G16</f>
        <v>4</v>
      </c>
      <c r="H16" s="1">
        <f>+'22년 시즌'!H16+'23년 시즌'!H16</f>
        <v>2</v>
      </c>
      <c r="I16" s="1">
        <f>+'22년 시즌'!I16+'23년 시즌'!I16</f>
        <v>0</v>
      </c>
      <c r="J16" s="1">
        <f>+'22년 시즌'!J16+'23년 시즌'!J16</f>
        <v>0</v>
      </c>
      <c r="K16" s="1">
        <f>+'22년 시즌'!K16+'23년 시즌'!K16</f>
        <v>4</v>
      </c>
      <c r="L16" s="1">
        <f>+'22년 시즌'!L16+'23년 시즌'!L16</f>
        <v>6</v>
      </c>
      <c r="M16" s="1">
        <f>+'22년 시즌'!M16+'23년 시즌'!M16</f>
        <v>5</v>
      </c>
      <c r="N16" s="1">
        <f>+'22년 시즌'!N16+'23년 시즌'!N16</f>
        <v>5</v>
      </c>
      <c r="O16" s="1">
        <f>+'22년 시즌'!O16+'23년 시즌'!O16</f>
        <v>3</v>
      </c>
      <c r="P16" s="83">
        <f t="shared" si="1"/>
        <v>0.14285714285714285</v>
      </c>
      <c r="Q16" s="46">
        <f t="shared" si="2"/>
        <v>0.5</v>
      </c>
      <c r="R16" s="28">
        <f t="shared" si="3"/>
        <v>0.52380952380952384</v>
      </c>
      <c r="S16" s="58">
        <f t="shared" si="4"/>
        <v>1.0238095238095237</v>
      </c>
      <c r="T16" s="74">
        <f t="shared" si="5"/>
        <v>0.3</v>
      </c>
      <c r="U16" s="61">
        <f t="shared" si="6"/>
        <v>6</v>
      </c>
      <c r="V16" s="69">
        <f t="shared" si="7"/>
        <v>7</v>
      </c>
    </row>
    <row r="17" spans="1:22" ht="17.25" x14ac:dyDescent="0.3">
      <c r="A17" s="10" t="s">
        <v>33</v>
      </c>
      <c r="B17" s="1">
        <f>+'22년 시즌'!B17+'23년 시즌'!B17</f>
        <v>4</v>
      </c>
      <c r="C17" s="51">
        <f t="shared" si="0"/>
        <v>0.3</v>
      </c>
      <c r="D17" s="1">
        <f>+'22년 시즌'!D17+'23년 시즌'!D17</f>
        <v>12</v>
      </c>
      <c r="E17" s="1">
        <f>+'22년 시즌'!E17+'23년 시즌'!E17</f>
        <v>10</v>
      </c>
      <c r="F17" s="1">
        <f>+'22년 시즌'!F17+'23년 시즌'!F17</f>
        <v>3</v>
      </c>
      <c r="G17" s="1">
        <f>+'22년 시즌'!G17+'23년 시즌'!G17</f>
        <v>2</v>
      </c>
      <c r="H17" s="1">
        <f>+'22년 시즌'!H17+'23년 시즌'!H17</f>
        <v>1</v>
      </c>
      <c r="I17" s="1">
        <f>+'22년 시즌'!I17+'23년 시즌'!I17</f>
        <v>0</v>
      </c>
      <c r="J17" s="1">
        <f>+'22년 시즌'!J17+'23년 시즌'!J17</f>
        <v>0</v>
      </c>
      <c r="K17" s="1">
        <f>+'22년 시즌'!K17+'23년 시즌'!K17</f>
        <v>3</v>
      </c>
      <c r="L17" s="1">
        <f>+'22년 시즌'!L17+'23년 시즌'!L17</f>
        <v>2</v>
      </c>
      <c r="M17" s="1">
        <f>+'22년 시즌'!M17+'23년 시즌'!M17</f>
        <v>2</v>
      </c>
      <c r="N17" s="1">
        <f>+'22년 시즌'!N17+'23년 시즌'!N17</f>
        <v>2</v>
      </c>
      <c r="O17" s="1">
        <f>+'22년 시즌'!O17+'23년 시즌'!O17</f>
        <v>4</v>
      </c>
      <c r="P17" s="79">
        <f t="shared" si="1"/>
        <v>0.33333333333333331</v>
      </c>
      <c r="Q17" s="46">
        <f t="shared" si="2"/>
        <v>0.4</v>
      </c>
      <c r="R17" s="28">
        <f t="shared" si="3"/>
        <v>0.41666666666666669</v>
      </c>
      <c r="S17" s="58">
        <f t="shared" si="4"/>
        <v>0.81666666666666665</v>
      </c>
      <c r="T17" s="74">
        <f t="shared" si="5"/>
        <v>0.5714285714285714</v>
      </c>
      <c r="U17" s="61">
        <f t="shared" si="6"/>
        <v>11</v>
      </c>
      <c r="V17" s="69">
        <f t="shared" si="7"/>
        <v>11</v>
      </c>
    </row>
    <row r="18" spans="1:22" ht="17.25" x14ac:dyDescent="0.3">
      <c r="A18" s="10" t="s">
        <v>60</v>
      </c>
      <c r="B18" s="1">
        <f>+'22년 시즌'!B18+'23년 시즌'!B18</f>
        <v>16</v>
      </c>
      <c r="C18" s="51">
        <f t="shared" si="0"/>
        <v>0.5161290322580645</v>
      </c>
      <c r="D18" s="1">
        <f>+'22년 시즌'!D18+'23년 시즌'!D18</f>
        <v>37</v>
      </c>
      <c r="E18" s="1">
        <f>+'22년 시즌'!E18+'23년 시즌'!E18</f>
        <v>31</v>
      </c>
      <c r="F18" s="1">
        <f>+'22년 시즌'!F18+'23년 시즌'!F18</f>
        <v>16</v>
      </c>
      <c r="G18" s="1">
        <f>+'22년 시즌'!G18+'23년 시즌'!G18</f>
        <v>14</v>
      </c>
      <c r="H18" s="1">
        <f>+'22년 시즌'!H18+'23년 시즌'!H18</f>
        <v>0</v>
      </c>
      <c r="I18" s="1">
        <f>+'22년 시즌'!I18+'23년 시즌'!I18</f>
        <v>1</v>
      </c>
      <c r="J18" s="1">
        <f>+'22년 시즌'!J18+'23년 시즌'!J18</f>
        <v>1</v>
      </c>
      <c r="K18" s="1">
        <f>+'22년 시즌'!K18+'23년 시즌'!K18</f>
        <v>10</v>
      </c>
      <c r="L18" s="1">
        <f>+'22년 시즌'!L18+'23년 시즌'!L18</f>
        <v>9</v>
      </c>
      <c r="M18" s="1">
        <f>+'22년 시즌'!M18+'23년 시즌'!M18</f>
        <v>6</v>
      </c>
      <c r="N18" s="1">
        <f>+'22년 시즌'!N18+'23년 시즌'!N18</f>
        <v>5</v>
      </c>
      <c r="O18" s="1">
        <f>+'22년 시즌'!O18+'23년 시즌'!O18</f>
        <v>6</v>
      </c>
      <c r="P18" s="83">
        <f t="shared" si="1"/>
        <v>0.16216216216216217</v>
      </c>
      <c r="Q18" s="46">
        <f t="shared" si="2"/>
        <v>0.67741935483870963</v>
      </c>
      <c r="R18" s="28">
        <f t="shared" si="3"/>
        <v>0.56756756756756754</v>
      </c>
      <c r="S18" s="58">
        <f t="shared" si="4"/>
        <v>1.2449869224062771</v>
      </c>
      <c r="T18" s="62">
        <f t="shared" si="5"/>
        <v>0.375</v>
      </c>
      <c r="U18" s="61">
        <f t="shared" si="6"/>
        <v>4</v>
      </c>
      <c r="V18" s="69">
        <f t="shared" si="7"/>
        <v>4</v>
      </c>
    </row>
    <row r="19" spans="1:22" ht="17.25" x14ac:dyDescent="0.3">
      <c r="A19" s="10" t="s">
        <v>12</v>
      </c>
      <c r="B19" s="1">
        <f>+'22년 시즌'!B19+'23년 시즌'!B19</f>
        <v>16</v>
      </c>
      <c r="C19" s="51">
        <f t="shared" si="0"/>
        <v>0.38235294117647056</v>
      </c>
      <c r="D19" s="1">
        <f>+'22년 시즌'!D19+'23년 시즌'!D19</f>
        <v>40</v>
      </c>
      <c r="E19" s="1">
        <f>+'22년 시즌'!E19+'23년 시즌'!E19</f>
        <v>34</v>
      </c>
      <c r="F19" s="1">
        <f>+'22년 시즌'!F19+'23년 시즌'!F19</f>
        <v>13</v>
      </c>
      <c r="G19" s="1">
        <f>+'22년 시즌'!G19+'23년 시즌'!G19</f>
        <v>13</v>
      </c>
      <c r="H19" s="1">
        <f>+'22년 시즌'!H19+'23년 시즌'!H19</f>
        <v>0</v>
      </c>
      <c r="I19" s="1">
        <f>+'22년 시즌'!I19+'23년 시즌'!I19</f>
        <v>0</v>
      </c>
      <c r="J19" s="1">
        <f>+'22년 시즌'!J19+'23년 시즌'!J19</f>
        <v>0</v>
      </c>
      <c r="K19" s="1">
        <f>+'22년 시즌'!K19+'23년 시즌'!K19</f>
        <v>11</v>
      </c>
      <c r="L19" s="1">
        <f>+'22년 시즌'!L19+'23년 시즌'!L19</f>
        <v>11</v>
      </c>
      <c r="M19" s="1">
        <f>+'22년 시즌'!M19+'23년 시즌'!M19</f>
        <v>7</v>
      </c>
      <c r="N19" s="1">
        <f>+'22년 시즌'!N19+'23년 시즌'!N19</f>
        <v>5</v>
      </c>
      <c r="O19" s="1">
        <f>+'22년 시즌'!O19+'23년 시즌'!O19</f>
        <v>4</v>
      </c>
      <c r="P19" s="83">
        <f t="shared" si="1"/>
        <v>0.1</v>
      </c>
      <c r="Q19" s="46">
        <f t="shared" si="2"/>
        <v>0.38235294117647056</v>
      </c>
      <c r="R19" s="28">
        <f t="shared" si="3"/>
        <v>0.45</v>
      </c>
      <c r="S19" s="58">
        <f t="shared" si="4"/>
        <v>0.83235294117647052</v>
      </c>
      <c r="T19" s="75">
        <f t="shared" si="5"/>
        <v>0.18181818181818182</v>
      </c>
      <c r="U19" s="61">
        <f t="shared" si="6"/>
        <v>10</v>
      </c>
      <c r="V19" s="69">
        <f t="shared" si="7"/>
        <v>9</v>
      </c>
    </row>
    <row r="20" spans="1:22" ht="17.25" x14ac:dyDescent="0.3">
      <c r="A20" s="10" t="s">
        <v>24</v>
      </c>
      <c r="B20" s="1">
        <f>+'22년 시즌'!B20+'23년 시즌'!B20</f>
        <v>24</v>
      </c>
      <c r="C20" s="51">
        <f t="shared" si="0"/>
        <v>0.19444444444444445</v>
      </c>
      <c r="D20" s="1">
        <f>+'22년 시즌'!D20+'23년 시즌'!D20</f>
        <v>47</v>
      </c>
      <c r="E20" s="1">
        <f>+'22년 시즌'!E20+'23년 시즌'!E20</f>
        <v>36</v>
      </c>
      <c r="F20" s="1">
        <f>+'22년 시즌'!F20+'23년 시즌'!F20</f>
        <v>7</v>
      </c>
      <c r="G20" s="1">
        <f>+'22년 시즌'!G20+'23년 시즌'!G20</f>
        <v>5</v>
      </c>
      <c r="H20" s="1">
        <f>+'22년 시즌'!H20+'23년 시즌'!H20</f>
        <v>2</v>
      </c>
      <c r="I20" s="1">
        <f>+'22년 시즌'!I20+'23년 시즌'!I20</f>
        <v>0</v>
      </c>
      <c r="J20" s="1">
        <f>+'22년 시즌'!J20+'23년 시즌'!J20</f>
        <v>0</v>
      </c>
      <c r="K20" s="1">
        <f>+'22년 시즌'!K20+'23년 시즌'!K20</f>
        <v>9</v>
      </c>
      <c r="L20" s="1">
        <f>+'22년 시즌'!L20+'23년 시즌'!L20</f>
        <v>14</v>
      </c>
      <c r="M20" s="1">
        <f>+'22년 시즌'!M20+'23년 시즌'!M20</f>
        <v>12</v>
      </c>
      <c r="N20" s="1">
        <f>+'22년 시즌'!N20+'23년 시즌'!N20</f>
        <v>11</v>
      </c>
      <c r="O20" s="1">
        <f>+'22년 시즌'!O20+'23년 시즌'!O20</f>
        <v>17</v>
      </c>
      <c r="P20" s="79">
        <f t="shared" si="1"/>
        <v>0.36170212765957449</v>
      </c>
      <c r="Q20" s="46">
        <f t="shared" si="2"/>
        <v>0.25</v>
      </c>
      <c r="R20" s="28">
        <f t="shared" si="3"/>
        <v>0.38297872340425532</v>
      </c>
      <c r="S20" s="58">
        <f t="shared" si="4"/>
        <v>0.63297872340425532</v>
      </c>
      <c r="T20" s="62">
        <f t="shared" si="5"/>
        <v>0.58620689655172409</v>
      </c>
      <c r="U20" s="61">
        <f t="shared" si="6"/>
        <v>14</v>
      </c>
      <c r="V20" s="69">
        <f t="shared" si="7"/>
        <v>15</v>
      </c>
    </row>
    <row r="21" spans="1:22" ht="17.25" x14ac:dyDescent="0.3">
      <c r="A21" s="10" t="s">
        <v>14</v>
      </c>
      <c r="B21" s="1">
        <f>+'22년 시즌'!B21+'23년 시즌'!B21</f>
        <v>28</v>
      </c>
      <c r="C21" s="51">
        <f t="shared" si="0"/>
        <v>0.42857142857142855</v>
      </c>
      <c r="D21" s="1">
        <f>+'22년 시즌'!D21+'23년 시즌'!D21</f>
        <v>71</v>
      </c>
      <c r="E21" s="1">
        <f>+'22년 시즌'!E21+'23년 시즌'!E21</f>
        <v>63</v>
      </c>
      <c r="F21" s="1">
        <f>+'22년 시즌'!F21+'23년 시즌'!F21</f>
        <v>27</v>
      </c>
      <c r="G21" s="1">
        <f>+'22년 시즌'!G21+'23년 시즌'!G21</f>
        <v>22</v>
      </c>
      <c r="H21" s="1">
        <f>+'22년 시즌'!H21+'23년 시즌'!H21</f>
        <v>4</v>
      </c>
      <c r="I21" s="1">
        <f>+'22년 시즌'!I21+'23년 시즌'!I21</f>
        <v>0</v>
      </c>
      <c r="J21" s="1">
        <f>+'22년 시즌'!J21+'23년 시즌'!J21</f>
        <v>1</v>
      </c>
      <c r="K21" s="1">
        <f>+'22년 시즌'!K21+'23년 시즌'!K21</f>
        <v>22</v>
      </c>
      <c r="L21" s="1">
        <f>+'22년 시즌'!L21+'23년 시즌'!L21</f>
        <v>17</v>
      </c>
      <c r="M21" s="1">
        <f>+'22년 시즌'!M21+'23년 시즌'!M21</f>
        <v>13</v>
      </c>
      <c r="N21" s="1">
        <f>+'22년 시즌'!N21+'23년 시즌'!N21</f>
        <v>8</v>
      </c>
      <c r="O21" s="1">
        <f>+'22년 시즌'!O21+'23년 시즌'!O21</f>
        <v>10</v>
      </c>
      <c r="P21" s="83">
        <f t="shared" si="1"/>
        <v>0.14084507042253522</v>
      </c>
      <c r="Q21" s="46">
        <f t="shared" si="2"/>
        <v>0.53968253968253965</v>
      </c>
      <c r="R21" s="28">
        <f t="shared" si="3"/>
        <v>0.49295774647887325</v>
      </c>
      <c r="S21" s="58">
        <f t="shared" si="4"/>
        <v>1.032640286161413</v>
      </c>
      <c r="T21" s="65">
        <f t="shared" si="5"/>
        <v>0.27777777777777779</v>
      </c>
      <c r="U21" s="61">
        <f t="shared" si="6"/>
        <v>7</v>
      </c>
      <c r="V21" s="69">
        <f t="shared" si="7"/>
        <v>5</v>
      </c>
    </row>
    <row r="22" spans="1:22" ht="17.25" x14ac:dyDescent="0.3">
      <c r="A22" s="10" t="s">
        <v>47</v>
      </c>
      <c r="B22" s="1">
        <f>+'22년 시즌'!B22+'23년 시즌'!B22</f>
        <v>13</v>
      </c>
      <c r="C22" s="51">
        <f t="shared" si="0"/>
        <v>0.31578947368421051</v>
      </c>
      <c r="D22" s="1">
        <f>+'22년 시즌'!D22+'23년 시즌'!D22</f>
        <v>24</v>
      </c>
      <c r="E22" s="1">
        <f>+'22년 시즌'!E22+'23년 시즌'!E22</f>
        <v>19</v>
      </c>
      <c r="F22" s="1">
        <f>+'22년 시즌'!F22+'23년 시즌'!F22</f>
        <v>6</v>
      </c>
      <c r="G22" s="1">
        <f>+'22년 시즌'!G22+'23년 시즌'!G22</f>
        <v>6</v>
      </c>
      <c r="H22" s="1">
        <f>+'22년 시즌'!H22+'23년 시즌'!H22</f>
        <v>0</v>
      </c>
      <c r="I22" s="1">
        <f>+'22년 시즌'!I22+'23년 시즌'!I22</f>
        <v>0</v>
      </c>
      <c r="J22" s="1">
        <f>+'22년 시즌'!J22+'23년 시즌'!J22</f>
        <v>0</v>
      </c>
      <c r="K22" s="1">
        <f>+'22년 시즌'!K22+'23년 시즌'!K22</f>
        <v>10</v>
      </c>
      <c r="L22" s="1">
        <f>+'22년 시즌'!L22+'23년 시즌'!L22</f>
        <v>2</v>
      </c>
      <c r="M22" s="1">
        <f>+'22년 시즌'!M22+'23년 시즌'!M22</f>
        <v>10</v>
      </c>
      <c r="N22" s="1">
        <f>+'22년 시즌'!N22+'23년 시즌'!N22</f>
        <v>4</v>
      </c>
      <c r="O22" s="1">
        <f>+'22년 시즌'!O22+'23년 시즌'!O22</f>
        <v>5</v>
      </c>
      <c r="P22" s="83">
        <f t="shared" si="1"/>
        <v>0.20833333333333334</v>
      </c>
      <c r="Q22" s="46">
        <f t="shared" si="2"/>
        <v>0.31578947368421051</v>
      </c>
      <c r="R22" s="28">
        <f t="shared" si="3"/>
        <v>0.41666666666666669</v>
      </c>
      <c r="S22" s="58">
        <f t="shared" si="4"/>
        <v>0.73245614035087714</v>
      </c>
      <c r="T22" s="66">
        <f t="shared" si="5"/>
        <v>0.35714285714285715</v>
      </c>
      <c r="U22" s="61">
        <f t="shared" si="6"/>
        <v>11</v>
      </c>
      <c r="V22" s="69">
        <f t="shared" si="7"/>
        <v>12</v>
      </c>
    </row>
    <row r="23" spans="1:22" ht="17.25" x14ac:dyDescent="0.3">
      <c r="A23" s="10" t="s">
        <v>22</v>
      </c>
      <c r="B23" s="1">
        <f>+'22년 시즌'!B23+'23년 시즌'!B23</f>
        <v>23</v>
      </c>
      <c r="C23" s="51">
        <f t="shared" si="0"/>
        <v>0.36538461538461536</v>
      </c>
      <c r="D23" s="1">
        <f>+'22년 시즌'!D23+'23년 시즌'!D23</f>
        <v>62</v>
      </c>
      <c r="E23" s="1">
        <f>+'22년 시즌'!E23+'23년 시즌'!E23</f>
        <v>52</v>
      </c>
      <c r="F23" s="1">
        <f>+'22년 시즌'!F23+'23년 시즌'!F23</f>
        <v>19</v>
      </c>
      <c r="G23" s="1">
        <f>+'22년 시즌'!G23+'23년 시즌'!G23</f>
        <v>12</v>
      </c>
      <c r="H23" s="1">
        <f>+'22년 시즌'!H23+'23년 시즌'!H23</f>
        <v>6</v>
      </c>
      <c r="I23" s="1">
        <f>+'22년 시즌'!I23+'23년 시즌'!I23</f>
        <v>1</v>
      </c>
      <c r="J23" s="1">
        <f>+'22년 시즌'!J23+'23년 시즌'!J23</f>
        <v>0</v>
      </c>
      <c r="K23" s="1">
        <f>+'22년 시즌'!K23+'23년 시즌'!K23</f>
        <v>15</v>
      </c>
      <c r="L23" s="1">
        <f>+'22년 시즌'!L23+'23년 시즌'!L23</f>
        <v>13</v>
      </c>
      <c r="M23" s="1">
        <f>+'22년 시즌'!M23+'23년 시즌'!M23</f>
        <v>8</v>
      </c>
      <c r="N23" s="1">
        <f>+'22년 시즌'!N23+'23년 시즌'!N23</f>
        <v>10</v>
      </c>
      <c r="O23" s="1">
        <f>+'22년 시즌'!O23+'23년 시즌'!O23</f>
        <v>12</v>
      </c>
      <c r="P23" s="83">
        <f t="shared" si="1"/>
        <v>0.19354838709677419</v>
      </c>
      <c r="Q23" s="46">
        <f t="shared" si="2"/>
        <v>0.51923076923076927</v>
      </c>
      <c r="R23" s="28">
        <f t="shared" si="3"/>
        <v>0.46774193548387094</v>
      </c>
      <c r="S23" s="58">
        <f t="shared" si="4"/>
        <v>0.98697270471464016</v>
      </c>
      <c r="T23" s="65">
        <f t="shared" si="5"/>
        <v>0.36363636363636365</v>
      </c>
      <c r="U23" s="61">
        <f t="shared" si="6"/>
        <v>9</v>
      </c>
      <c r="V23" s="69">
        <f t="shared" si="7"/>
        <v>8</v>
      </c>
    </row>
    <row r="24" spans="1:22" ht="17.25" x14ac:dyDescent="0.3">
      <c r="A24" s="10" t="s">
        <v>54</v>
      </c>
      <c r="B24" s="1">
        <f>+'22년 시즌'!B24+'23년 시즌'!B24</f>
        <v>7</v>
      </c>
      <c r="C24" s="51">
        <f t="shared" si="0"/>
        <v>9.0909090909090912E-2</v>
      </c>
      <c r="D24" s="1">
        <f>+'22년 시즌'!D24+'23년 시즌'!D24</f>
        <v>16</v>
      </c>
      <c r="E24" s="1">
        <f>+'22년 시즌'!E24+'23년 시즌'!E24</f>
        <v>11</v>
      </c>
      <c r="F24" s="1">
        <f>+'22년 시즌'!F24+'23년 시즌'!F24</f>
        <v>1</v>
      </c>
      <c r="G24" s="1">
        <f>+'22년 시즌'!G24+'23년 시즌'!G24</f>
        <v>1</v>
      </c>
      <c r="H24" s="1">
        <f>+'22년 시즌'!H24+'23년 시즌'!H24</f>
        <v>0</v>
      </c>
      <c r="I24" s="1">
        <f>+'22년 시즌'!I24+'23년 시즌'!I24</f>
        <v>0</v>
      </c>
      <c r="J24" s="1">
        <f>+'22년 시즌'!J24+'23년 시즌'!J24</f>
        <v>0</v>
      </c>
      <c r="K24" s="1">
        <f>+'22년 시즌'!K24+'23년 시즌'!K24</f>
        <v>3</v>
      </c>
      <c r="L24" s="1">
        <f>+'22년 시즌'!L24+'23년 시즌'!L24</f>
        <v>0</v>
      </c>
      <c r="M24" s="1">
        <f>+'22년 시즌'!M24+'23년 시즌'!M24</f>
        <v>2</v>
      </c>
      <c r="N24" s="1">
        <f>+'22년 시즌'!N24+'23년 시즌'!N24</f>
        <v>2</v>
      </c>
      <c r="O24" s="1">
        <f>+'22년 시즌'!O24+'23년 시즌'!O24</f>
        <v>3</v>
      </c>
      <c r="P24" s="83">
        <f t="shared" si="1"/>
        <v>0.1875</v>
      </c>
      <c r="Q24" s="46">
        <f t="shared" si="2"/>
        <v>9.0909090909090912E-2</v>
      </c>
      <c r="R24" s="28">
        <f t="shared" si="3"/>
        <v>0.1875</v>
      </c>
      <c r="S24" s="58">
        <f t="shared" si="4"/>
        <v>0.27840909090909094</v>
      </c>
      <c r="T24" s="67">
        <f t="shared" si="5"/>
        <v>0.23076923076923078</v>
      </c>
      <c r="U24" s="61">
        <f t="shared" si="6"/>
        <v>18</v>
      </c>
      <c r="V24" s="69">
        <f t="shared" si="7"/>
        <v>18</v>
      </c>
    </row>
    <row r="25" spans="1:22" ht="17.25" x14ac:dyDescent="0.3">
      <c r="A25" s="11" t="s">
        <v>10</v>
      </c>
      <c r="B25" s="27"/>
      <c r="C25" s="26">
        <f t="shared" ref="C25" si="8">+F25/E25</f>
        <v>0.37962962962962965</v>
      </c>
      <c r="D25" s="27">
        <f t="shared" ref="D25:O25" si="9">SUM(D4:D24)</f>
        <v>810</v>
      </c>
      <c r="E25" s="27">
        <f t="shared" si="9"/>
        <v>648</v>
      </c>
      <c r="F25" s="27">
        <f t="shared" si="9"/>
        <v>246</v>
      </c>
      <c r="G25" s="27">
        <f t="shared" si="9"/>
        <v>181</v>
      </c>
      <c r="H25" s="27">
        <f t="shared" si="9"/>
        <v>49</v>
      </c>
      <c r="I25" s="27">
        <f t="shared" si="9"/>
        <v>12</v>
      </c>
      <c r="J25" s="27">
        <f t="shared" si="9"/>
        <v>4</v>
      </c>
      <c r="K25" s="27">
        <f t="shared" si="9"/>
        <v>239</v>
      </c>
      <c r="L25" s="27">
        <f t="shared" si="9"/>
        <v>207</v>
      </c>
      <c r="M25" s="27">
        <f t="shared" si="9"/>
        <v>183</v>
      </c>
      <c r="N25" s="27">
        <f t="shared" si="9"/>
        <v>143</v>
      </c>
      <c r="O25" s="27">
        <f t="shared" si="9"/>
        <v>146</v>
      </c>
      <c r="P25" s="29">
        <f t="shared" ref="P25" si="10">+O25/D25</f>
        <v>0.18024691358024691</v>
      </c>
      <c r="Q25" s="26">
        <f t="shared" ref="Q25" si="11">+(G25*1+H25*2+I25*3+J25*4)/E25</f>
        <v>0.51080246913580252</v>
      </c>
      <c r="R25" s="26">
        <f t="shared" ref="R25" si="12">+(F25+N25)/D25</f>
        <v>0.4802469135802469</v>
      </c>
      <c r="S25" s="68">
        <f t="shared" ref="S25" si="13">+R25+Q25</f>
        <v>0.99104938271604937</v>
      </c>
      <c r="T25" s="68"/>
      <c r="U25" s="68"/>
      <c r="V25" s="68"/>
    </row>
    <row r="27" spans="1:22" ht="17.25" x14ac:dyDescent="0.3">
      <c r="A27" s="4" t="s">
        <v>3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32"/>
      <c r="U27" s="5"/>
      <c r="V27" s="5"/>
    </row>
    <row r="28" spans="1:22" ht="34.5" x14ac:dyDescent="0.3">
      <c r="A28" s="10" t="s">
        <v>27</v>
      </c>
      <c r="B28" s="10" t="s">
        <v>46</v>
      </c>
      <c r="C28" s="10" t="s">
        <v>55</v>
      </c>
      <c r="D28" s="10" t="s">
        <v>41</v>
      </c>
      <c r="E28" s="10" t="s">
        <v>48</v>
      </c>
      <c r="F28" s="10" t="s">
        <v>45</v>
      </c>
      <c r="G28" s="10" t="s">
        <v>38</v>
      </c>
      <c r="H28" s="10" t="s">
        <v>5</v>
      </c>
      <c r="I28" s="10" t="s">
        <v>17</v>
      </c>
      <c r="J28" s="10" t="s">
        <v>26</v>
      </c>
      <c r="K28" s="10" t="s">
        <v>30</v>
      </c>
      <c r="L28" s="10" t="s">
        <v>11</v>
      </c>
      <c r="M28" s="10" t="s">
        <v>6</v>
      </c>
      <c r="N28" s="10" t="s">
        <v>42</v>
      </c>
      <c r="O28" s="10" t="s">
        <v>35</v>
      </c>
      <c r="P28" s="10" t="s">
        <v>49</v>
      </c>
      <c r="Q28" s="10" t="s">
        <v>56</v>
      </c>
      <c r="R28" s="10" t="s">
        <v>66</v>
      </c>
      <c r="S28" s="10" t="s">
        <v>67</v>
      </c>
      <c r="T28" s="10" t="s">
        <v>70</v>
      </c>
      <c r="U28" s="10" t="s">
        <v>69</v>
      </c>
      <c r="V28" s="10" t="s">
        <v>68</v>
      </c>
    </row>
    <row r="29" spans="1:22" ht="17.25" x14ac:dyDescent="0.3">
      <c r="A29" s="9" t="s">
        <v>59</v>
      </c>
      <c r="B29" s="1">
        <f>+'22년 드림즈(23'')'!B29+'23년 상반기 코모도(23'')'!B29+'23년 디비전 리그(23'')'!B29+'22년 샘프리그(22'')'!B30+'22년 샘프리그(22'')'!B30</f>
        <v>14</v>
      </c>
      <c r="C29" s="1">
        <f>+'22년 드림즈(23'')'!C29+'23년 상반기 코모도(23'')'!C29+'23년 디비전 리그(23'')'!C29+'22년 샘프리그(22'')'!C30+'22년 샘프리그(22'')'!C30</f>
        <v>1</v>
      </c>
      <c r="D29" s="1">
        <f>+'22년 드림즈(23'')'!D29+'23년 상반기 코모도(23'')'!D29+'23년 디비전 리그(23'')'!D29+'22년 샘프리그(22'')'!D30+'22년 샘프리그(22'')'!D30</f>
        <v>2</v>
      </c>
      <c r="E29" s="1">
        <f>+'22년 드림즈(23'')'!E29+'23년 상반기 코모도(23'')'!E29+'23년 디비전 리그(23'')'!E29+'22년 샘프리그(22'')'!E30+'22년 샘프리그(22'')'!E30</f>
        <v>0</v>
      </c>
      <c r="F29" s="1">
        <f>+'22년 드림즈(23'')'!F29+'23년 상반기 코모도(23'')'!F29+'23년 디비전 리그(23'')'!F29+'22년 샘프리그(22'')'!F30+'22년 샘프리그(22'')'!F30</f>
        <v>75</v>
      </c>
      <c r="G29" s="1">
        <f>+'22년 드림즈(23'')'!G29+'23년 상반기 코모도(23'')'!G29+'23년 디비전 리그(23'')'!G29+'22년 샘프리그(22'')'!G30+'22년 샘프리그(22'')'!G30</f>
        <v>40</v>
      </c>
      <c r="H29" s="6">
        <v>6.7</v>
      </c>
      <c r="I29" s="1">
        <f>+'22년 드림즈(23'')'!I29+'23년 상반기 코모도(23'')'!I29+'23년 디비전 리그(23'')'!I29+'22년 샘프리그(22'')'!I30+'22년 샘프리그(22'')'!I30</f>
        <v>15</v>
      </c>
      <c r="J29" s="1">
        <f>+'22년 드림즈(23'')'!J29+'23년 상반기 코모도(23'')'!J29+'23년 디비전 리그(23'')'!J29+'22년 샘프리그(22'')'!J30+'22년 샘프리그(22'')'!J30</f>
        <v>0</v>
      </c>
      <c r="K29" s="1">
        <f>+'22년 드림즈(23'')'!K29+'23년 상반기 코모도(23'')'!K29+'23년 디비전 리그(23'')'!K29+'22년 샘프리그(22'')'!K30+'22년 샘프리그(22'')'!K30</f>
        <v>31</v>
      </c>
      <c r="L29" s="1">
        <f>+'22년 드림즈(23'')'!L29+'23년 상반기 코모도(23'')'!L29+'23년 디비전 리그(23'')'!L29+'22년 샘프리그(22'')'!L30+'22년 샘프리그(22'')'!L30</f>
        <v>4</v>
      </c>
      <c r="M29" s="1">
        <f>+'22년 드림즈(23'')'!M29+'23년 상반기 코모도(23'')'!M29+'23년 디비전 리그(23'')'!M29+'22년 샘프리그(22'')'!M30+'22년 샘프리그(22'')'!M30</f>
        <v>4</v>
      </c>
      <c r="N29" s="1">
        <f>+'22년 드림즈(23'')'!N29+'23년 상반기 코모도(23'')'!N29+'23년 디비전 리그(23'')'!N29+'22년 샘프리그(22'')'!N30+'22년 샘프리그(22'')'!N30</f>
        <v>35</v>
      </c>
      <c r="O29" s="1">
        <f>+'22년 드림즈(23'')'!O29+'23년 상반기 코모도(23'')'!O29+'23년 디비전 리그(23'')'!O29+'22년 샘프리그(22'')'!O30+'22년 샘프리그(22'')'!O30</f>
        <v>19</v>
      </c>
      <c r="P29" s="3">
        <f>+O29*9/H29</f>
        <v>25.522388059701491</v>
      </c>
      <c r="Q29" s="38">
        <f>(K29+L29)/H29</f>
        <v>5.2238805970149249</v>
      </c>
      <c r="R29" s="39">
        <f>I29/H29</f>
        <v>2.2388059701492535</v>
      </c>
      <c r="S29" s="39">
        <f t="shared" ref="S29:S36" si="14">H29/B29</f>
        <v>0.47857142857142859</v>
      </c>
      <c r="T29" s="40">
        <f>M29/H29</f>
        <v>0.59701492537313428</v>
      </c>
      <c r="U29" s="33">
        <f>O29/N29</f>
        <v>0.54285714285714282</v>
      </c>
      <c r="V29" s="38">
        <f>(I29+K29+L29)/H29</f>
        <v>7.4626865671641793</v>
      </c>
    </row>
    <row r="30" spans="1:22" ht="17.25" x14ac:dyDescent="0.3">
      <c r="A30" s="9" t="s">
        <v>9</v>
      </c>
      <c r="B30" s="1">
        <f>+'22년 샘프리그(22'')'!B29</f>
        <v>1</v>
      </c>
      <c r="C30" s="1">
        <f>+'22년 샘프리그(22'')'!C29</f>
        <v>0</v>
      </c>
      <c r="D30" s="1">
        <f>+'22년 샘프리그(22'')'!D29</f>
        <v>0</v>
      </c>
      <c r="E30" s="1">
        <f>+'22년 샘프리그(22'')'!E29</f>
        <v>0</v>
      </c>
      <c r="F30" s="1">
        <f>+'22년 샘프리그(22'')'!F29</f>
        <v>1</v>
      </c>
      <c r="G30" s="1">
        <f>+'22년 샘프리그(22'')'!G29</f>
        <v>0</v>
      </c>
      <c r="H30" s="6">
        <f>+'22년 샘프리그(22'')'!H29</f>
        <v>0</v>
      </c>
      <c r="I30" s="1">
        <f>+'22년 샘프리그(22'')'!I29</f>
        <v>0</v>
      </c>
      <c r="J30" s="1">
        <f>+'22년 샘프리그(22'')'!J29</f>
        <v>0</v>
      </c>
      <c r="K30" s="1">
        <f>+'22년 샘프리그(22'')'!K29</f>
        <v>1</v>
      </c>
      <c r="L30" s="1">
        <f>+'22년 샘프리그(22'')'!L29</f>
        <v>0</v>
      </c>
      <c r="M30" s="1">
        <f>+'22년 샘프리그(22'')'!M29</f>
        <v>0</v>
      </c>
      <c r="N30" s="1">
        <f>+'22년 샘프리그(22'')'!N29</f>
        <v>0</v>
      </c>
      <c r="O30" s="1">
        <f>+'22년 샘프리그(22'')'!O29</f>
        <v>0</v>
      </c>
      <c r="P30" s="3">
        <v>0</v>
      </c>
      <c r="Q30" s="70" t="s">
        <v>87</v>
      </c>
      <c r="R30" s="71" t="s">
        <v>87</v>
      </c>
      <c r="S30" s="39">
        <f t="shared" si="14"/>
        <v>0</v>
      </c>
      <c r="T30" s="72" t="s">
        <v>87</v>
      </c>
      <c r="U30" s="73" t="s">
        <v>87</v>
      </c>
      <c r="V30" s="73" t="s">
        <v>87</v>
      </c>
    </row>
    <row r="31" spans="1:22" ht="17.25" x14ac:dyDescent="0.3">
      <c r="A31" s="9" t="s">
        <v>51</v>
      </c>
      <c r="B31" s="1">
        <f>+'22년 드림즈(23'')'!B30+'23년 상반기 코모도(23'')'!B30+'23년 디비전 리그(23'')'!B30</f>
        <v>9</v>
      </c>
      <c r="C31" s="1">
        <f>+'22년 드림즈(23'')'!C30+'23년 상반기 코모도(23'')'!C30+'23년 디비전 리그(23'')'!C30</f>
        <v>1</v>
      </c>
      <c r="D31" s="1">
        <f>+'22년 드림즈(23'')'!D30+'23년 상반기 코모도(23'')'!D30+'23년 디비전 리그(23'')'!D30</f>
        <v>2</v>
      </c>
      <c r="E31" s="1">
        <f>+'22년 드림즈(23'')'!E30+'23년 상반기 코모도(23'')'!E30+'23년 디비전 리그(23'')'!E30</f>
        <v>0</v>
      </c>
      <c r="F31" s="1">
        <f>+'22년 드림즈(23'')'!F30+'23년 상반기 코모도(23'')'!F30+'23년 디비전 리그(23'')'!F30</f>
        <v>113</v>
      </c>
      <c r="G31" s="1">
        <f>+'22년 드림즈(23'')'!G30+'23년 상반기 코모도(23'')'!G30+'23년 디비전 리그(23'')'!G30</f>
        <v>85</v>
      </c>
      <c r="H31" s="6">
        <v>13</v>
      </c>
      <c r="I31" s="1">
        <f>+'22년 드림즈(23'')'!I30+'23년 상반기 코모도(23'')'!I30+'23년 디비전 리그(23'')'!I30</f>
        <v>33</v>
      </c>
      <c r="J31" s="1">
        <f>+'22년 드림즈(23'')'!J30+'23년 상반기 코모도(23'')'!J30+'23년 디비전 리그(23'')'!J30</f>
        <v>3</v>
      </c>
      <c r="K31" s="1">
        <f>+'22년 드림즈(23'')'!K30+'23년 상반기 코모도(23'')'!K30+'23년 디비전 리그(23'')'!K30</f>
        <v>23</v>
      </c>
      <c r="L31" s="1">
        <f>+'22년 드림즈(23'')'!L30+'23년 상반기 코모도(23'')'!L30+'23년 디비전 리그(23'')'!L30</f>
        <v>5</v>
      </c>
      <c r="M31" s="1">
        <f>+'22년 드림즈(23'')'!M30+'23년 상반기 코모도(23'')'!M30+'23년 디비전 리그(23'')'!M30</f>
        <v>11</v>
      </c>
      <c r="N31" s="1">
        <f>+'22년 드림즈(23'')'!N30+'23년 상반기 코모도(23'')'!N30+'23년 디비전 리그(23'')'!N30</f>
        <v>48</v>
      </c>
      <c r="O31" s="1">
        <f>+'22년 드림즈(23'')'!O30+'23년 상반기 코모도(23'')'!O30+'23년 디비전 리그(23'')'!O30</f>
        <v>32</v>
      </c>
      <c r="P31" s="3">
        <f>+O31*9/H31</f>
        <v>22.153846153846153</v>
      </c>
      <c r="Q31" s="38">
        <f t="shared" ref="Q31:Q37" si="15">(K31+L31)/H31</f>
        <v>2.1538461538461537</v>
      </c>
      <c r="R31" s="39">
        <f t="shared" ref="R31:R37" si="16">I31/H31</f>
        <v>2.5384615384615383</v>
      </c>
      <c r="S31" s="39">
        <f t="shared" si="14"/>
        <v>1.4444444444444444</v>
      </c>
      <c r="T31" s="40">
        <f t="shared" ref="T31:T37" si="17">M31/H31</f>
        <v>0.84615384615384615</v>
      </c>
      <c r="U31" s="33">
        <f>O31/N31</f>
        <v>0.66666666666666663</v>
      </c>
      <c r="V31" s="38">
        <f t="shared" ref="V31:V37" si="18">(I31+K31+L31)/H31</f>
        <v>4.6923076923076925</v>
      </c>
    </row>
    <row r="32" spans="1:22" ht="17.25" x14ac:dyDescent="0.3">
      <c r="A32" s="9" t="s">
        <v>15</v>
      </c>
      <c r="B32" s="1">
        <f>+'22년 드림즈(23'')'!B31+'23년 상반기 코모도(23'')'!B31+'23년 디비전 리그(23'')'!B31+'22년 샘프리그(22'')'!B31</f>
        <v>19</v>
      </c>
      <c r="C32" s="1">
        <f>+'22년 드림즈(23'')'!C31+'23년 상반기 코모도(23'')'!C31+'23년 디비전 리그(23'')'!C31+'22년 샘프리그(22'')'!C31</f>
        <v>3</v>
      </c>
      <c r="D32" s="1">
        <f>+'22년 드림즈(23'')'!D31+'23년 상반기 코모도(23'')'!D31+'23년 디비전 리그(23'')'!D31+'22년 샘프리그(22'')'!D31</f>
        <v>3</v>
      </c>
      <c r="E32" s="1">
        <f>+'22년 드림즈(23'')'!E31+'23년 상반기 코모도(23'')'!E31+'23년 디비전 리그(23'')'!E31+'22년 샘프리그(22'')'!E31</f>
        <v>1</v>
      </c>
      <c r="F32" s="1">
        <f>+'22년 드림즈(23'')'!F31+'23년 상반기 코모도(23'')'!F31+'23년 디비전 리그(23'')'!F31+'22년 샘프리그(22'')'!F31</f>
        <v>151</v>
      </c>
      <c r="G32" s="1">
        <f>+'22년 드림즈(23'')'!G31+'23년 상반기 코모도(23'')'!G31+'23년 디비전 리그(23'')'!G31+'22년 샘프리그(22'')'!G31</f>
        <v>127</v>
      </c>
      <c r="H32" s="6">
        <v>27.332999999999998</v>
      </c>
      <c r="I32" s="1">
        <f>+'22년 드림즈(23'')'!I31+'23년 상반기 코모도(23'')'!I31+'23년 디비전 리그(23'')'!I31+'22년 샘프리그(22'')'!I31</f>
        <v>39</v>
      </c>
      <c r="J32" s="1">
        <f>+'22년 드림즈(23'')'!J31+'23년 상반기 코모도(23'')'!J31+'23년 디비전 리그(23'')'!J31+'22년 샘프리그(22'')'!J31</f>
        <v>0</v>
      </c>
      <c r="K32" s="1">
        <f>+'22년 드림즈(23'')'!K31+'23년 상반기 코모도(23'')'!K31+'23년 디비전 리그(23'')'!K31+'22년 샘프리그(22'')'!K31</f>
        <v>20</v>
      </c>
      <c r="L32" s="1">
        <f>+'22년 드림즈(23'')'!L31+'23년 상반기 코모도(23'')'!L31+'23년 디비전 리그(23'')'!L31+'22년 샘프리그(22'')'!L31</f>
        <v>4</v>
      </c>
      <c r="M32" s="1">
        <f>+'22년 드림즈(23'')'!M31+'23년 상반기 코모도(23'')'!M31+'23년 디비전 리그(23'')'!M31+'22년 샘프리그(22'')'!M31</f>
        <v>39</v>
      </c>
      <c r="N32" s="1">
        <f>+'22년 드림즈(23'')'!N31+'23년 상반기 코모도(23'')'!N31+'23년 디비전 리그(23'')'!N31+'22년 샘프리그(22'')'!N31</f>
        <v>36</v>
      </c>
      <c r="O32" s="1">
        <f>+'22년 드림즈(23'')'!O31+'23년 상반기 코모도(23'')'!O31+'23년 디비전 리그(23'')'!O31+'22년 샘프리그(22'')'!O31</f>
        <v>19</v>
      </c>
      <c r="P32" s="3">
        <f>+O32*9/H32</f>
        <v>6.2561738557787292</v>
      </c>
      <c r="Q32" s="38">
        <f t="shared" si="15"/>
        <v>0.87805948853034799</v>
      </c>
      <c r="R32" s="39">
        <f t="shared" si="16"/>
        <v>1.4268466688618155</v>
      </c>
      <c r="S32" s="39">
        <f t="shared" si="14"/>
        <v>1.438578947368421</v>
      </c>
      <c r="T32" s="40">
        <f t="shared" si="17"/>
        <v>1.4268466688618155</v>
      </c>
      <c r="U32" s="33">
        <f>O32/N32</f>
        <v>0.52777777777777779</v>
      </c>
      <c r="V32" s="38">
        <f t="shared" si="18"/>
        <v>2.3049061573921636</v>
      </c>
    </row>
    <row r="33" spans="1:22" ht="17.25" x14ac:dyDescent="0.3">
      <c r="A33" s="9" t="s">
        <v>50</v>
      </c>
      <c r="B33" s="1">
        <f>+'22년 드림즈(23'')'!B32+'23년 상반기 코모도(23'')'!B32+'23년 디비전 리그(23'')'!B32+'22년 샘프리그(22'')'!B34</f>
        <v>12</v>
      </c>
      <c r="C33" s="1">
        <f>+'22년 드림즈(23'')'!C32+'23년 상반기 코모도(23'')'!C32+'23년 디비전 리그(23'')'!C32+'22년 샘프리그(22'')'!C34</f>
        <v>0</v>
      </c>
      <c r="D33" s="1">
        <f>+'22년 드림즈(23'')'!D32+'23년 상반기 코모도(23'')'!D32+'23년 디비전 리그(23'')'!D32+'22년 샘프리그(22'')'!D34</f>
        <v>3</v>
      </c>
      <c r="E33" s="1">
        <f>+'22년 드림즈(23'')'!E32+'23년 상반기 코모도(23'')'!E32+'23년 디비전 리그(23'')'!E32+'22년 샘프리그(22'')'!E34</f>
        <v>0</v>
      </c>
      <c r="F33" s="1">
        <f>+'22년 드림즈(23'')'!F32+'23년 상반기 코모도(23'')'!F32+'23년 디비전 리그(23'')'!F32+'22년 샘프리그(22'')'!F34</f>
        <v>143</v>
      </c>
      <c r="G33" s="1">
        <f>+'22년 드림즈(23'')'!G32+'23년 상반기 코모도(23'')'!G32+'23년 디비전 리그(23'')'!G32+'22년 샘프리그(22'')'!G34</f>
        <v>101</v>
      </c>
      <c r="H33" s="6">
        <v>19</v>
      </c>
      <c r="I33" s="1">
        <f>+'22년 드림즈(23'')'!I32+'23년 상반기 코모도(23'')'!I32+'23년 디비전 리그(23'')'!I32+'22년 샘프리그(22'')'!I34</f>
        <v>41</v>
      </c>
      <c r="J33" s="1">
        <f>+'22년 드림즈(23'')'!J32+'23년 상반기 코모도(23'')'!J32+'23년 디비전 리그(23'')'!J32+'22년 샘프리그(22'')'!J34</f>
        <v>2</v>
      </c>
      <c r="K33" s="1">
        <f>+'22년 드림즈(23'')'!K32+'23년 상반기 코모도(23'')'!K32+'23년 디비전 리그(23'')'!K32+'22년 샘프리그(22'')'!K34</f>
        <v>38</v>
      </c>
      <c r="L33" s="1">
        <f>+'22년 드림즈(23'')'!L32+'23년 상반기 코모도(23'')'!L32+'23년 디비전 리그(23'')'!L32+'22년 샘프리그(22'')'!L34</f>
        <v>3</v>
      </c>
      <c r="M33" s="1">
        <f>+'22년 드림즈(23'')'!M32+'23년 상반기 코모도(23'')'!M32+'23년 디비전 리그(23'')'!M32+'22년 샘프리그(22'')'!M34</f>
        <v>21</v>
      </c>
      <c r="N33" s="1">
        <f>+'22년 드림즈(23'')'!N32+'23년 상반기 코모도(23'')'!N32+'23년 디비전 리그(23'')'!N32+'22년 샘프리그(22'')'!N34</f>
        <v>58</v>
      </c>
      <c r="O33" s="1">
        <f>+'22년 드림즈(23'')'!O32+'23년 상반기 코모도(23'')'!O32+'23년 디비전 리그(23'')'!O32+'22년 샘프리그(22'')'!O34</f>
        <v>41</v>
      </c>
      <c r="P33" s="3">
        <f>+O33*9/H33</f>
        <v>19.421052631578949</v>
      </c>
      <c r="Q33" s="38">
        <f t="shared" si="15"/>
        <v>2.1578947368421053</v>
      </c>
      <c r="R33" s="39">
        <f t="shared" si="16"/>
        <v>2.1578947368421053</v>
      </c>
      <c r="S33" s="39">
        <f t="shared" si="14"/>
        <v>1.5833333333333333</v>
      </c>
      <c r="T33" s="40">
        <f t="shared" si="17"/>
        <v>1.1052631578947369</v>
      </c>
      <c r="U33" s="33">
        <f>O33/N33</f>
        <v>0.7068965517241379</v>
      </c>
      <c r="V33" s="38">
        <f t="shared" si="18"/>
        <v>4.3157894736842106</v>
      </c>
    </row>
    <row r="34" spans="1:22" ht="17.25" x14ac:dyDescent="0.3">
      <c r="A34" s="9" t="s">
        <v>33</v>
      </c>
      <c r="B34" s="1">
        <f>+'23년 디비전 리그(23'')'!B33</f>
        <v>1</v>
      </c>
      <c r="C34" s="1">
        <f>+'23년 디비전 리그(23'')'!C33</f>
        <v>0</v>
      </c>
      <c r="D34" s="1">
        <f>+'23년 디비전 리그(23'')'!D33</f>
        <v>0</v>
      </c>
      <c r="E34" s="1">
        <f>+'23년 디비전 리그(23'')'!E33</f>
        <v>0</v>
      </c>
      <c r="F34" s="1">
        <f>+'23년 디비전 리그(23'')'!F33</f>
        <v>3</v>
      </c>
      <c r="G34" s="1">
        <f>+'23년 디비전 리그(23'')'!G33</f>
        <v>2</v>
      </c>
      <c r="H34" s="6">
        <v>1</v>
      </c>
      <c r="I34" s="1">
        <f>+'23년 디비전 리그(23'')'!I33</f>
        <v>1</v>
      </c>
      <c r="J34" s="1">
        <f>+'23년 디비전 리그(23'')'!J33</f>
        <v>0</v>
      </c>
      <c r="K34" s="1">
        <f>+'23년 디비전 리그(23'')'!K33</f>
        <v>1</v>
      </c>
      <c r="L34" s="1">
        <f>+'23년 디비전 리그(23'')'!L33</f>
        <v>0</v>
      </c>
      <c r="M34" s="1">
        <f>+'23년 디비전 리그(23'')'!M33</f>
        <v>1</v>
      </c>
      <c r="N34" s="1">
        <f>+'23년 디비전 리그(23'')'!N33</f>
        <v>0</v>
      </c>
      <c r="O34" s="1">
        <f>+'23년 디비전 리그(23'')'!O33</f>
        <v>0</v>
      </c>
      <c r="P34" s="3">
        <v>0</v>
      </c>
      <c r="Q34" s="38">
        <f t="shared" si="15"/>
        <v>1</v>
      </c>
      <c r="R34" s="39">
        <f t="shared" si="16"/>
        <v>1</v>
      </c>
      <c r="S34" s="39">
        <f t="shared" si="14"/>
        <v>1</v>
      </c>
      <c r="T34" s="41">
        <f t="shared" si="17"/>
        <v>1</v>
      </c>
      <c r="U34" s="73" t="s">
        <v>87</v>
      </c>
      <c r="V34" s="25">
        <f t="shared" si="18"/>
        <v>2</v>
      </c>
    </row>
    <row r="35" spans="1:22" ht="17.25" x14ac:dyDescent="0.3">
      <c r="A35" s="9" t="s">
        <v>47</v>
      </c>
      <c r="B35" s="1">
        <f>+'22년 드림즈(23'')'!B33+'23년 상반기 코모도(23'')'!B33+'23년 디비전 리그(23'')'!B34+'22년 샘프리그(22'')'!B33</f>
        <v>6</v>
      </c>
      <c r="C35" s="1">
        <f>+'22년 드림즈(23'')'!C33+'23년 상반기 코모도(23'')'!C33+'23년 디비전 리그(23'')'!C34+'22년 샘프리그(22'')'!C33</f>
        <v>2</v>
      </c>
      <c r="D35" s="1">
        <f>+'22년 드림즈(23'')'!D33+'23년 상반기 코모도(23'')'!D33+'23년 디비전 리그(23'')'!D34+'22년 샘프리그(22'')'!D33</f>
        <v>2</v>
      </c>
      <c r="E35" s="1">
        <f>+'22년 드림즈(23'')'!E33+'23년 상반기 코모도(23'')'!E33+'23년 디비전 리그(23'')'!E34+'22년 샘프리그(22'')'!E33</f>
        <v>0</v>
      </c>
      <c r="F35" s="1">
        <f>+'22년 드림즈(23'')'!F33+'23년 상반기 코모도(23'')'!F33+'23년 디비전 리그(23'')'!F34+'22년 샘프리그(22'')'!F33</f>
        <v>97</v>
      </c>
      <c r="G35" s="1">
        <f>+'22년 드림즈(23'')'!G33+'23년 상반기 코모도(23'')'!G33+'23년 디비전 리그(23'')'!G34+'22년 샘프리그(22'')'!G33</f>
        <v>53</v>
      </c>
      <c r="H35" s="6">
        <f>+'22년 드림즈(23'')'!H33+'23년 상반기 코모도(23'')'!H33+'23년 디비전 리그(23'')'!H34+'22년 샘프리그(22'')'!H33</f>
        <v>12.999966666600001</v>
      </c>
      <c r="I35" s="1">
        <f>+'22년 드림즈(23'')'!I33+'23년 상반기 코모도(23'')'!I33+'23년 디비전 리그(23'')'!I34+'22년 샘프리그(22'')'!I33</f>
        <v>16</v>
      </c>
      <c r="J35" s="1">
        <f>+'22년 드림즈(23'')'!J33+'23년 상반기 코모도(23'')'!J33+'23년 디비전 리그(23'')'!J34+'22년 샘프리그(22'')'!J33</f>
        <v>1</v>
      </c>
      <c r="K35" s="1">
        <f>+'22년 드림즈(23'')'!K33+'23년 상반기 코모도(23'')'!K33+'23년 디비전 리그(23'')'!K34+'22년 샘프리그(22'')'!K33</f>
        <v>43</v>
      </c>
      <c r="L35" s="1">
        <f>+'22년 드림즈(23'')'!L33+'23년 상반기 코모도(23'')'!L33+'23년 디비전 리그(23'')'!L34+'22년 샘프리그(22'')'!L33</f>
        <v>0</v>
      </c>
      <c r="M35" s="1">
        <f>+'22년 드림즈(23'')'!M33+'23년 상반기 코모도(23'')'!M33+'23년 디비전 리그(23'')'!M34+'22년 샘프리그(22'')'!M33</f>
        <v>13</v>
      </c>
      <c r="N35" s="1">
        <f>+'22년 드림즈(23'')'!N33+'23년 상반기 코모도(23'')'!N33+'23년 디비전 리그(23'')'!N34+'22년 샘프리그(22'')'!N33</f>
        <v>35</v>
      </c>
      <c r="O35" s="1">
        <f>+'22년 드림즈(23'')'!O33+'23년 상반기 코모도(23'')'!O33+'23년 디비전 리그(23'')'!O34+'22년 샘프리그(22'')'!O33</f>
        <v>21</v>
      </c>
      <c r="P35" s="3">
        <f>+O35*9/H35</f>
        <v>14.538498816738189</v>
      </c>
      <c r="Q35" s="38">
        <f t="shared" si="15"/>
        <v>3.3077007889933445</v>
      </c>
      <c r="R35" s="39">
        <f t="shared" si="16"/>
        <v>1.2307723866021747</v>
      </c>
      <c r="S35" s="39">
        <f t="shared" si="14"/>
        <v>2.1666611111000003</v>
      </c>
      <c r="T35" s="40">
        <f t="shared" si="17"/>
        <v>1.0000025641142669</v>
      </c>
      <c r="U35" s="33">
        <f>O35/N35</f>
        <v>0.6</v>
      </c>
      <c r="V35" s="38">
        <f t="shared" si="18"/>
        <v>4.5384731755955192</v>
      </c>
    </row>
    <row r="36" spans="1:22" ht="17.25" x14ac:dyDescent="0.3">
      <c r="A36" s="9" t="s">
        <v>22</v>
      </c>
      <c r="B36" s="1">
        <f>+'22년 드림즈(23'')'!B34+'23년 상반기 코모도(23'')'!B34+'23년 디비전 리그(23'')'!B35+'22년 샘프리그(22'')'!B32</f>
        <v>24</v>
      </c>
      <c r="C36" s="1">
        <f>+'22년 드림즈(23'')'!C34+'23년 상반기 코모도(23'')'!C34+'23년 디비전 리그(23'')'!C35+'22년 샘프리그(22'')'!C32</f>
        <v>5</v>
      </c>
      <c r="D36" s="1">
        <f>+'22년 드림즈(23'')'!D34+'23년 상반기 코모도(23'')'!D34+'23년 디비전 리그(23'')'!D35+'22년 샘프리그(22'')'!D32</f>
        <v>8</v>
      </c>
      <c r="E36" s="1">
        <f>+'22년 드림즈(23'')'!E34+'23년 상반기 코모도(23'')'!E34+'23년 디비전 리그(23'')'!E35+'22년 샘프리그(22'')'!E32</f>
        <v>3</v>
      </c>
      <c r="F36" s="1">
        <f>+'22년 드림즈(23'')'!F34+'23년 상반기 코모도(23'')'!F34+'23년 디비전 리그(23'')'!F35+'22년 샘프리그(22'')'!F32</f>
        <v>390</v>
      </c>
      <c r="G36" s="1">
        <f>+'22년 드림즈(23'')'!G34+'23년 상반기 코모도(23'')'!G34+'23년 디비전 리그(23'')'!G35+'22년 샘프리그(22'')'!G32</f>
        <v>284</v>
      </c>
      <c r="H36" s="6">
        <f>+'22년 드림즈(23'')'!H34+'23년 상반기 코모도(23'')'!H34+'23년 디비전 리그(23'')'!H35+'22년 샘프리그(22'')'!H32</f>
        <v>54.999966662999995</v>
      </c>
      <c r="I36" s="1">
        <f>+'22년 드림즈(23'')'!I34+'23년 상반기 코모도(23'')'!I34+'23년 디비전 리그(23'')'!I35+'22년 샘프리그(22'')'!I32</f>
        <v>102</v>
      </c>
      <c r="J36" s="1">
        <f>+'22년 드림즈(23'')'!J34+'23년 상반기 코모도(23'')'!J34+'23년 디비전 리그(23'')'!J35+'22년 샘프리그(22'')'!J32</f>
        <v>1</v>
      </c>
      <c r="K36" s="1">
        <f>+'22년 드림즈(23'')'!K34+'23년 상반기 코모도(23'')'!K34+'23년 디비전 리그(23'')'!K35+'22년 샘프리그(22'')'!K32</f>
        <v>90</v>
      </c>
      <c r="L36" s="1">
        <f>+'22년 드림즈(23'')'!L34+'23년 상반기 코모도(23'')'!L34+'23년 디비전 리그(23'')'!L35+'22년 샘프리그(22'')'!L32</f>
        <v>15</v>
      </c>
      <c r="M36" s="1">
        <f>+'22년 드림즈(23'')'!M34+'23년 상반기 코모도(23'')'!M34+'23년 디비전 리그(23'')'!M35+'22년 샘프리그(22'')'!M32</f>
        <v>86</v>
      </c>
      <c r="N36" s="1">
        <f>+'22년 드림즈(23'')'!N34+'23년 상반기 코모도(23'')'!N34+'23년 디비전 리그(23'')'!N35+'22년 샘프리그(22'')'!N32</f>
        <v>141</v>
      </c>
      <c r="O36" s="1">
        <f>+'22년 드림즈(23'')'!O34+'23년 상반기 코모도(23'')'!O34+'23년 디비전 리그(23'')'!O35+'22년 샘프리그(22'')'!O32</f>
        <v>95</v>
      </c>
      <c r="P36" s="3">
        <f>+O36*9/H36</f>
        <v>15.545463967984226</v>
      </c>
      <c r="Q36" s="38">
        <f t="shared" si="15"/>
        <v>1.9090920662436768</v>
      </c>
      <c r="R36" s="39">
        <f t="shared" si="16"/>
        <v>1.8545465786367146</v>
      </c>
      <c r="S36" s="39">
        <f t="shared" si="14"/>
        <v>2.2916652776249999</v>
      </c>
      <c r="T36" s="40">
        <f t="shared" si="17"/>
        <v>1.563637311399583</v>
      </c>
      <c r="U36" s="33">
        <f>O36/N36</f>
        <v>0.67375886524822692</v>
      </c>
      <c r="V36" s="38">
        <f t="shared" si="18"/>
        <v>3.7636386448803911</v>
      </c>
    </row>
    <row r="37" spans="1:22" ht="17.25" x14ac:dyDescent="0.3">
      <c r="A37" s="11" t="s">
        <v>10</v>
      </c>
      <c r="B37" s="11">
        <f>SUM(B29:B36)</f>
        <v>86</v>
      </c>
      <c r="C37" s="11">
        <f>SUM(C29:C36)</f>
        <v>12</v>
      </c>
      <c r="D37" s="11">
        <f t="shared" ref="D37:O37" si="19">SUM(D29:D36)</f>
        <v>20</v>
      </c>
      <c r="E37" s="11">
        <f t="shared" si="19"/>
        <v>4</v>
      </c>
      <c r="F37" s="11">
        <f t="shared" si="19"/>
        <v>973</v>
      </c>
      <c r="G37" s="11">
        <f t="shared" si="19"/>
        <v>692</v>
      </c>
      <c r="H37" s="15">
        <f>SUM(H29:H36)</f>
        <v>135.03293332959998</v>
      </c>
      <c r="I37" s="11">
        <f t="shared" si="19"/>
        <v>247</v>
      </c>
      <c r="J37" s="11">
        <f t="shared" si="19"/>
        <v>7</v>
      </c>
      <c r="K37" s="11">
        <f>SUM(K29:K36)</f>
        <v>247</v>
      </c>
      <c r="L37" s="11">
        <f t="shared" si="19"/>
        <v>31</v>
      </c>
      <c r="M37" s="11">
        <f t="shared" si="19"/>
        <v>175</v>
      </c>
      <c r="N37" s="11">
        <f t="shared" si="19"/>
        <v>353</v>
      </c>
      <c r="O37" s="11">
        <f t="shared" si="19"/>
        <v>227</v>
      </c>
      <c r="P37" s="16">
        <f>+O37*9/H37</f>
        <v>15.129642448137227</v>
      </c>
      <c r="Q37" s="34">
        <f t="shared" si="15"/>
        <v>2.0587570242692848</v>
      </c>
      <c r="R37" s="35">
        <f t="shared" si="16"/>
        <v>1.8291833992608395</v>
      </c>
      <c r="S37" s="35">
        <f t="shared" ref="S37" si="20">H37/B37</f>
        <v>1.5701503875534881</v>
      </c>
      <c r="T37" s="36">
        <f t="shared" si="17"/>
        <v>1.295980141176708</v>
      </c>
      <c r="U37" s="37">
        <f>O37/N37</f>
        <v>0.64305949008498586</v>
      </c>
      <c r="V37" s="34">
        <f t="shared" si="18"/>
        <v>3.8879404235301243</v>
      </c>
    </row>
  </sheetData>
  <sortState xmlns:xlrd2="http://schemas.microsoft.com/office/spreadsheetml/2017/richdata2" ref="A29:V36">
    <sortCondition ref="A29:A36"/>
  </sortState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AFC5C-785E-40A3-B8C9-7A7B539DC5CA}">
  <sheetPr>
    <tabColor rgb="FFFFC000"/>
  </sheetPr>
  <dimension ref="A1:AH55"/>
  <sheetViews>
    <sheetView zoomScale="70" zoomScaleNormal="70" zoomScaleSheetLayoutView="75" workbookViewId="0">
      <pane ySplit="3" topLeftCell="A4" activePane="bottomLeft" state="frozen"/>
      <selection activeCell="D16" sqref="D16"/>
      <selection pane="bottomLeft" activeCell="A4" sqref="A4:V26"/>
    </sheetView>
  </sheetViews>
  <sheetFormatPr defaultColWidth="9" defaultRowHeight="16.5" x14ac:dyDescent="0.3"/>
  <cols>
    <col min="1" max="19" width="8.875" customWidth="1"/>
    <col min="20" max="20" width="8.875" style="31" customWidth="1"/>
    <col min="21" max="22" width="8.875" customWidth="1"/>
    <col min="23" max="23" width="1.125" customWidth="1"/>
    <col min="24" max="28" width="9.875" customWidth="1"/>
  </cols>
  <sheetData>
    <row r="1" spans="1:34" ht="26.25" x14ac:dyDescent="0.3">
      <c r="A1" s="24" t="s">
        <v>240</v>
      </c>
    </row>
    <row r="2" spans="1:34" ht="20.25" x14ac:dyDescent="0.3">
      <c r="A2" s="4" t="s">
        <v>1</v>
      </c>
      <c r="X2" s="173" t="s">
        <v>99</v>
      </c>
      <c r="Y2" s="173"/>
      <c r="Z2" s="173"/>
      <c r="AA2" s="173"/>
      <c r="AB2" s="173"/>
    </row>
    <row r="3" spans="1:34" ht="34.5" x14ac:dyDescent="0.3">
      <c r="A3" s="10" t="s">
        <v>27</v>
      </c>
      <c r="B3" s="10" t="s">
        <v>46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65</v>
      </c>
      <c r="H3" s="10" t="s">
        <v>72</v>
      </c>
      <c r="I3" s="10" t="s">
        <v>0</v>
      </c>
      <c r="J3" s="10" t="s">
        <v>73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84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  <c r="X3" s="101" t="s">
        <v>100</v>
      </c>
      <c r="Y3" s="101" t="s">
        <v>101</v>
      </c>
      <c r="Z3" s="101" t="s">
        <v>102</v>
      </c>
      <c r="AA3" s="101" t="s">
        <v>103</v>
      </c>
      <c r="AB3" s="10" t="s">
        <v>104</v>
      </c>
      <c r="AD3" s="110" t="s">
        <v>111</v>
      </c>
      <c r="AE3" s="110" t="s">
        <v>112</v>
      </c>
    </row>
    <row r="4" spans="1:34" ht="15" customHeight="1" x14ac:dyDescent="0.3">
      <c r="A4" s="133" t="s">
        <v>59</v>
      </c>
      <c r="B4" s="1">
        <f>+'22년 시즌'!B4+'23년 시즌'!B4+'24년 시즌'!B4+'25년 시즌'!B4</f>
        <v>36</v>
      </c>
      <c r="C4" s="86">
        <f>+F4/E4</f>
        <v>0.46268656716417911</v>
      </c>
      <c r="D4" s="1">
        <f>+'22년 시즌'!D4+'23년 시즌'!D4+'24년 시즌'!D4+'25년 시즌'!D4</f>
        <v>81</v>
      </c>
      <c r="E4" s="1">
        <f>+'22년 시즌'!E4+'23년 시즌'!E4+'24년 시즌'!E4+'25년 시즌'!E4</f>
        <v>67</v>
      </c>
      <c r="F4" s="1">
        <f>+'22년 시즌'!F4+'23년 시즌'!F4+'24년 시즌'!F4+'25년 시즌'!F4</f>
        <v>31</v>
      </c>
      <c r="G4" s="1">
        <f>+'22년 시즌'!G4+'23년 시즌'!G4+'24년 시즌'!G4+'25년 시즌'!G4</f>
        <v>22</v>
      </c>
      <c r="H4" s="1">
        <f>+'22년 시즌'!H4+'23년 시즌'!H4+'24년 시즌'!H4+'25년 시즌'!H4</f>
        <v>4</v>
      </c>
      <c r="I4" s="1">
        <f>+'22년 시즌'!I4+'23년 시즌'!I4+'24년 시즌'!I4+'25년 시즌'!I4</f>
        <v>3</v>
      </c>
      <c r="J4" s="1">
        <f>+'22년 시즌'!J4+'23년 시즌'!J4+'24년 시즌'!J4+'25년 시즌'!J4</f>
        <v>2</v>
      </c>
      <c r="K4" s="1">
        <f>+'22년 시즌'!K4+'23년 시즌'!K4+'24년 시즌'!K4+'25년 시즌'!K4</f>
        <v>43</v>
      </c>
      <c r="L4" s="1">
        <f>+'22년 시즌'!L4+'23년 시즌'!L4+'24년 시즌'!L4+'25년 시즌'!L4</f>
        <v>26</v>
      </c>
      <c r="M4" s="1">
        <f>+'22년 시즌'!M4+'23년 시즌'!M4+'24년 시즌'!M4+'25년 시즌'!M4</f>
        <v>39</v>
      </c>
      <c r="N4" s="1">
        <f>+'22년 시즌'!N4+'23년 시즌'!N4+'24년 시즌'!N4+'25년 시즌'!N4</f>
        <v>11</v>
      </c>
      <c r="O4" s="1">
        <f>+'22년 시즌'!O4+'23년 시즌'!O4+'24년 시즌'!O4+'25년 시즌'!O4</f>
        <v>15</v>
      </c>
      <c r="P4" s="136">
        <f>+O4/D4</f>
        <v>0.18518518518518517</v>
      </c>
      <c r="Q4" s="46">
        <f>+(G4*1+H4*2+I4*3+J4*4)/E4</f>
        <v>0.70149253731343286</v>
      </c>
      <c r="R4" s="28">
        <f>+(F4+N4)/D4</f>
        <v>0.51851851851851849</v>
      </c>
      <c r="S4" s="58">
        <f>+R4+Q4</f>
        <v>1.2200110558319515</v>
      </c>
      <c r="T4" s="78">
        <f>O4/(D4-(F4+N4))</f>
        <v>0.38461538461538464</v>
      </c>
      <c r="U4" s="61">
        <f>RANK(R4,$R$4:$R$26)</f>
        <v>7</v>
      </c>
      <c r="V4" s="69">
        <f>RANK(S4,$S$4:$S$26)</f>
        <v>4</v>
      </c>
      <c r="X4" s="139">
        <f>+C4-'통산 성적(~''23)'!C4</f>
        <v>0.46268656716417911</v>
      </c>
      <c r="Y4" s="102">
        <f>+P4-'통산 성적(~''23)'!P4</f>
        <v>-0.81481481481481488</v>
      </c>
      <c r="Z4" s="103">
        <f>+Q4-'통산 성적(~''23)'!Q4</f>
        <v>0.70149253731343286</v>
      </c>
      <c r="AA4" s="103">
        <f>+R4-'통산 성적(~''23)'!R4</f>
        <v>0.51851851851851849</v>
      </c>
      <c r="AB4" s="103">
        <f>+S4-'23년 시즌'!S4</f>
        <v>1.2200110558319515</v>
      </c>
      <c r="AD4">
        <f>+D4-'통산 성적(~''23)'!D16</f>
        <v>60</v>
      </c>
      <c r="AE4">
        <f>+E4-'통산 성적(~''23)'!E16</f>
        <v>51</v>
      </c>
      <c r="AG4">
        <f>+AB4*AD4</f>
        <v>73.200663349917093</v>
      </c>
      <c r="AH4">
        <f>+X4*AE4</f>
        <v>23.597014925373134</v>
      </c>
    </row>
    <row r="5" spans="1:34" ht="17.25" x14ac:dyDescent="0.3">
      <c r="A5" s="133" t="s">
        <v>34</v>
      </c>
      <c r="B5" s="1">
        <f>+'22년 시즌'!B5+'23년 시즌'!B5+'24년 시즌'!B5+'25년 시즌'!B5</f>
        <v>46</v>
      </c>
      <c r="C5" s="86">
        <f>+F5/E5</f>
        <v>0.39240506329113922</v>
      </c>
      <c r="D5" s="1">
        <f>+'22년 시즌'!D5+'23년 시즌'!D5+'24년 시즌'!D5+'25년 시즌'!D5</f>
        <v>113</v>
      </c>
      <c r="E5" s="1">
        <f>+'22년 시즌'!E5+'23년 시즌'!E5+'24년 시즌'!E5+'25년 시즌'!E5</f>
        <v>79</v>
      </c>
      <c r="F5" s="1">
        <f>+'22년 시즌'!F5+'23년 시즌'!F5+'24년 시즌'!F5+'25년 시즌'!F5</f>
        <v>31</v>
      </c>
      <c r="G5" s="1">
        <f>+'22년 시즌'!G5+'23년 시즌'!G5+'24년 시즌'!G5+'25년 시즌'!G5</f>
        <v>15</v>
      </c>
      <c r="H5" s="1">
        <f>+'22년 시즌'!H5+'23년 시즌'!H5+'24년 시즌'!H5+'25년 시즌'!H5</f>
        <v>13</v>
      </c>
      <c r="I5" s="1">
        <f>+'22년 시즌'!I5+'23년 시즌'!I5+'24년 시즌'!I5+'25년 시즌'!I5</f>
        <v>2</v>
      </c>
      <c r="J5" s="1">
        <f>+'22년 시즌'!J5+'23년 시즌'!J5+'24년 시즌'!J5+'25년 시즌'!J5</f>
        <v>1</v>
      </c>
      <c r="K5" s="1">
        <f>+'22년 시즌'!K5+'23년 시즌'!K5+'24년 시즌'!K5+'25년 시즌'!K5</f>
        <v>38</v>
      </c>
      <c r="L5" s="1">
        <f>+'22년 시즌'!L5+'23년 시즌'!L5+'24년 시즌'!L5+'25년 시즌'!L5</f>
        <v>32</v>
      </c>
      <c r="M5" s="1">
        <f>+'22년 시즌'!M5+'23년 시즌'!M5+'24년 시즌'!M5+'25년 시즌'!M5</f>
        <v>23</v>
      </c>
      <c r="N5" s="1">
        <f>+'22년 시즌'!N5+'23년 시즌'!N5+'24년 시즌'!N5+'25년 시즌'!N5</f>
        <v>30</v>
      </c>
      <c r="O5" s="1">
        <f>+'22년 시즌'!O5+'23년 시즌'!O5+'24년 시즌'!O5+'25년 시즌'!O5</f>
        <v>20</v>
      </c>
      <c r="P5" s="136">
        <f>+O5/D5</f>
        <v>0.17699115044247787</v>
      </c>
      <c r="Q5" s="46">
        <f>+(G5*1+H5*2+I5*3+J5*4)/E5</f>
        <v>0.64556962025316456</v>
      </c>
      <c r="R5" s="28">
        <f>+(F5+N5)/D5</f>
        <v>0.53982300884955747</v>
      </c>
      <c r="S5" s="58">
        <f>+R5+Q5</f>
        <v>1.1853926291027221</v>
      </c>
      <c r="T5" s="78">
        <f>O5/(D5-(F5+N5))</f>
        <v>0.38461538461538464</v>
      </c>
      <c r="U5" s="61">
        <f>RANK(R5,$R$4:$R$26)</f>
        <v>5</v>
      </c>
      <c r="V5" s="69">
        <f>RANK(S5,$S$4:$S$26)</f>
        <v>5</v>
      </c>
      <c r="X5" s="139">
        <f>+C5-'통산 성적(~''23)'!C5</f>
        <v>0.1571109456440804</v>
      </c>
      <c r="Y5" s="102">
        <f>+P5-'통산 성적(~''23)'!P5</f>
        <v>-2.8891202498698587E-2</v>
      </c>
      <c r="Z5" s="103">
        <f>+Q5-'통산 성적(~''23)'!Q5</f>
        <v>0.41027550260610574</v>
      </c>
      <c r="AA5" s="103">
        <f>+R5-'통산 성적(~''23)'!R5</f>
        <v>-4.8412285268089605E-2</v>
      </c>
      <c r="AB5" s="103">
        <f>+S5-'23년 시즌'!S5</f>
        <v>0.37793921295365385</v>
      </c>
      <c r="AD5">
        <f>+D5-'통산 성적(~''23)'!D7</f>
        <v>109</v>
      </c>
      <c r="AE5">
        <f>+E5-'통산 성적(~''23)'!E7</f>
        <v>75</v>
      </c>
      <c r="AG5">
        <f>+AB5*AD5</f>
        <v>41.19537421194827</v>
      </c>
      <c r="AH5">
        <f>+X5*AE5</f>
        <v>11.783320923306031</v>
      </c>
    </row>
    <row r="6" spans="1:34" ht="17.25" x14ac:dyDescent="0.3">
      <c r="A6" s="133" t="s">
        <v>44</v>
      </c>
      <c r="B6" s="1">
        <f>+'22년 시즌'!B6+'23년 시즌'!B6+'24년 시즌'!B6+'25년 시즌'!B6</f>
        <v>66</v>
      </c>
      <c r="C6" s="86">
        <f>+F6/E6</f>
        <v>0.54037267080745344</v>
      </c>
      <c r="D6" s="1">
        <f>+'22년 시즌'!D6+'23년 시즌'!D6+'24년 시즌'!D6+'25년 시즌'!D6</f>
        <v>192</v>
      </c>
      <c r="E6" s="1">
        <f>+'22년 시즌'!E6+'23년 시즌'!E6+'24년 시즌'!E6+'25년 시즌'!E6</f>
        <v>161</v>
      </c>
      <c r="F6" s="1">
        <f>+'22년 시즌'!F6+'23년 시즌'!F6+'24년 시즌'!F6+'25년 시즌'!F6</f>
        <v>87</v>
      </c>
      <c r="G6" s="1">
        <f>+'22년 시즌'!G6+'23년 시즌'!G6+'24년 시즌'!G6+'25년 시즌'!G6</f>
        <v>59</v>
      </c>
      <c r="H6" s="1">
        <f>+'22년 시즌'!H6+'23년 시즌'!H6+'24년 시즌'!H6+'25년 시즌'!H6</f>
        <v>22</v>
      </c>
      <c r="I6" s="1">
        <f>+'22년 시즌'!I6+'23년 시즌'!I6+'24년 시즌'!I6+'25년 시즌'!I6</f>
        <v>5</v>
      </c>
      <c r="J6" s="1">
        <f>+'22년 시즌'!J6+'23년 시즌'!J6+'24년 시즌'!J6+'25년 시즌'!J6</f>
        <v>1</v>
      </c>
      <c r="K6" s="1">
        <f>+'22년 시즌'!K6+'23년 시즌'!K6+'24년 시즌'!K6+'25년 시즌'!K6</f>
        <v>75</v>
      </c>
      <c r="L6" s="1">
        <f>+'22년 시즌'!L6+'23년 시즌'!L6+'24년 시즌'!L6+'25년 시즌'!L6</f>
        <v>80</v>
      </c>
      <c r="M6" s="1">
        <f>+'22년 시즌'!M6+'23년 시즌'!M6+'24년 시즌'!M6+'25년 시즌'!M6</f>
        <v>50</v>
      </c>
      <c r="N6" s="1">
        <f>+'22년 시즌'!N6+'23년 시즌'!N6+'24년 시즌'!N6+'25년 시즌'!N6</f>
        <v>29</v>
      </c>
      <c r="O6" s="1">
        <f>+'22년 시즌'!O6+'23년 시즌'!O6+'24년 시즌'!O6+'25년 시즌'!O6</f>
        <v>12</v>
      </c>
      <c r="P6" s="136">
        <f>+O6/D6</f>
        <v>6.25E-2</v>
      </c>
      <c r="Q6" s="46">
        <f>+(G6*1+H6*2+I6*3+J6*4)/E6</f>
        <v>0.75776397515527949</v>
      </c>
      <c r="R6" s="28">
        <f>+(F6+N6)/D6</f>
        <v>0.60416666666666663</v>
      </c>
      <c r="S6" s="58">
        <f>+R6+Q6</f>
        <v>1.3619306418219461</v>
      </c>
      <c r="T6" s="78">
        <f>O6/(D6-(F6+N6))</f>
        <v>0.15789473684210525</v>
      </c>
      <c r="U6" s="61">
        <f>RANK(R6,$R$4:$R$26)</f>
        <v>1</v>
      </c>
      <c r="V6" s="69">
        <f>RANK(S6,$S$4:$S$26)</f>
        <v>1</v>
      </c>
      <c r="X6" s="139">
        <f>+C6-'통산 성적(~''23)'!C6</f>
        <v>-9.6273291925466076E-3</v>
      </c>
      <c r="Y6" s="102">
        <f>+P6-'통산 성적(~''23)'!P6</f>
        <v>-1.6025641025640969E-3</v>
      </c>
      <c r="Z6" s="103">
        <f>+Q6-'통산 성적(~''23)'!Q6</f>
        <v>2.4430641821946208E-2</v>
      </c>
      <c r="AA6" s="103">
        <f>+R6-'통산 성적(~''23)'!R6</f>
        <v>-2.4038461538461564E-2</v>
      </c>
      <c r="AB6" s="103">
        <f>+S6-'23년 시즌'!S6</f>
        <v>0.26693064182194615</v>
      </c>
      <c r="AD6">
        <f>+D6-'통산 성적(~''23)'!D24</f>
        <v>176</v>
      </c>
      <c r="AE6">
        <f>+E6-'통산 성적(~''23)'!E24</f>
        <v>150</v>
      </c>
      <c r="AG6">
        <f>+AB6*AD6</f>
        <v>46.979792960662522</v>
      </c>
      <c r="AH6">
        <f>+X6*AE6</f>
        <v>-1.4440993788819911</v>
      </c>
    </row>
    <row r="7" spans="1:34" ht="17.25" x14ac:dyDescent="0.3">
      <c r="A7" s="133" t="s">
        <v>9</v>
      </c>
      <c r="B7" s="1">
        <f>+'22년 시즌'!B7+'23년 시즌'!B7+'24년 시즌'!B7+'25년 시즌'!B7</f>
        <v>15</v>
      </c>
      <c r="C7" s="86">
        <f>+F7/E7</f>
        <v>0.33333333333333331</v>
      </c>
      <c r="D7" s="1">
        <f>+'22년 시즌'!D7+'23년 시즌'!D7+'24년 시즌'!D7+'25년 시즌'!D7</f>
        <v>31</v>
      </c>
      <c r="E7" s="1">
        <f>+'22년 시즌'!E7+'23년 시즌'!E7+'24년 시즌'!E7+'25년 시즌'!E7</f>
        <v>24</v>
      </c>
      <c r="F7" s="1">
        <f>+'22년 시즌'!F7+'23년 시즌'!F7+'24년 시즌'!F7+'25년 시즌'!F7</f>
        <v>8</v>
      </c>
      <c r="G7" s="1">
        <f>+'22년 시즌'!G7+'23년 시즌'!G7+'24년 시즌'!G7+'25년 시즌'!G7</f>
        <v>6</v>
      </c>
      <c r="H7" s="1">
        <f>+'22년 시즌'!H7+'23년 시즌'!H7+'24년 시즌'!H7+'25년 시즌'!H7</f>
        <v>1</v>
      </c>
      <c r="I7" s="1">
        <f>+'22년 시즌'!I7+'23년 시즌'!I7+'24년 시즌'!I7+'25년 시즌'!I7</f>
        <v>1</v>
      </c>
      <c r="J7" s="1">
        <f>+'22년 시즌'!J7+'23년 시즌'!J7+'24년 시즌'!J7+'25년 시즌'!J7</f>
        <v>0</v>
      </c>
      <c r="K7" s="1">
        <f>+'22년 시즌'!K7+'23년 시즌'!K7+'24년 시즌'!K7+'25년 시즌'!K7</f>
        <v>11</v>
      </c>
      <c r="L7" s="1">
        <f>+'22년 시즌'!L7+'23년 시즌'!L7+'24년 시즌'!L7+'25년 시즌'!L7</f>
        <v>11</v>
      </c>
      <c r="M7" s="1">
        <f>+'22년 시즌'!M7+'23년 시즌'!M7+'24년 시즌'!M7+'25년 시즌'!M7</f>
        <v>9</v>
      </c>
      <c r="N7" s="1">
        <f>+'22년 시즌'!N7+'23년 시즌'!N7+'24년 시즌'!N7+'25년 시즌'!N7</f>
        <v>7</v>
      </c>
      <c r="O7" s="1">
        <f>+'22년 시즌'!O7+'23년 시즌'!O7+'24년 시즌'!O7+'25년 시즌'!O7</f>
        <v>8</v>
      </c>
      <c r="P7" s="136">
        <f>+O7/D7</f>
        <v>0.25806451612903225</v>
      </c>
      <c r="Q7" s="46">
        <f>+(G7*1+H7*2+I7*3+J7*4)/E7</f>
        <v>0.45833333333333331</v>
      </c>
      <c r="R7" s="28">
        <f>+(F7+N7)/D7</f>
        <v>0.4838709677419355</v>
      </c>
      <c r="S7" s="58">
        <f>+R7+Q7</f>
        <v>0.94220430107526876</v>
      </c>
      <c r="T7" s="78">
        <f>O7/(D7-(F7+N7))</f>
        <v>0.5</v>
      </c>
      <c r="U7" s="61">
        <f>RANK(R7,$R$4:$R$26)</f>
        <v>10</v>
      </c>
      <c r="V7" s="69">
        <f>RANK(S7,$S$4:$S$26)</f>
        <v>11</v>
      </c>
      <c r="X7" s="139">
        <f>+C7-'통산 성적(~''23)'!C7</f>
        <v>0.33333333333333331</v>
      </c>
      <c r="Y7" s="102">
        <f>+P7-'통산 성적(~''23)'!P7</f>
        <v>0.25806451612903225</v>
      </c>
      <c r="Z7" s="103">
        <f>+Q7-'통산 성적(~''23)'!Q7</f>
        <v>0.45833333333333331</v>
      </c>
      <c r="AA7" s="103">
        <f>+R7-'통산 성적(~''23)'!R7</f>
        <v>0.4838709677419355</v>
      </c>
      <c r="AB7" s="103">
        <f>+S7-'23년 시즌'!S7</f>
        <v>0.94220430107526876</v>
      </c>
      <c r="AD7">
        <f>+D7-'통산 성적(~''23)'!D15</f>
        <v>11</v>
      </c>
      <c r="AE7">
        <f>+E7-'통산 성적(~''23)'!E15</f>
        <v>11</v>
      </c>
      <c r="AG7">
        <f>+AB7*AD7</f>
        <v>10.364247311827956</v>
      </c>
      <c r="AH7">
        <f>+X7*AE7</f>
        <v>3.6666666666666665</v>
      </c>
    </row>
    <row r="8" spans="1:34" ht="17.25" x14ac:dyDescent="0.3">
      <c r="A8" s="133" t="s">
        <v>4</v>
      </c>
      <c r="B8" s="1">
        <f>+'22년 시즌'!B8+'23년 시즌'!B8+'24년 시즌'!B8+'25년 시즌'!B8</f>
        <v>53</v>
      </c>
      <c r="C8" s="86">
        <f>+F8/E8</f>
        <v>0.37755102040816324</v>
      </c>
      <c r="D8" s="1">
        <f>+'22년 시즌'!D8+'23년 시즌'!D8+'24년 시즌'!D8+'25년 시즌'!D8</f>
        <v>128</v>
      </c>
      <c r="E8" s="1">
        <f>+'22년 시즌'!E8+'23년 시즌'!E8+'24년 시즌'!E8+'25년 시즌'!E8</f>
        <v>98</v>
      </c>
      <c r="F8" s="1">
        <f>+'22년 시즌'!F8+'23년 시즌'!F8+'24년 시즌'!F8+'25년 시즌'!F8</f>
        <v>37</v>
      </c>
      <c r="G8" s="1">
        <f>+'22년 시즌'!G8+'23년 시즌'!G8+'24년 시즌'!G8+'25년 시즌'!G8</f>
        <v>26</v>
      </c>
      <c r="H8" s="1">
        <f>+'22년 시즌'!H8+'23년 시즌'!H8+'24년 시즌'!H8+'25년 시즌'!H8</f>
        <v>7</v>
      </c>
      <c r="I8" s="1">
        <f>+'22년 시즌'!I8+'23년 시즌'!I8+'24년 시즌'!I8+'25년 시즌'!I8</f>
        <v>3</v>
      </c>
      <c r="J8" s="1">
        <f>+'22년 시즌'!J8+'23년 시즌'!J8+'24년 시즌'!J8+'25년 시즌'!J8</f>
        <v>1</v>
      </c>
      <c r="K8" s="1">
        <f>+'22년 시즌'!K8+'23년 시즌'!K8+'24년 시즌'!K8+'25년 시즌'!K8</f>
        <v>41</v>
      </c>
      <c r="L8" s="1">
        <f>+'22년 시즌'!L8+'23년 시즌'!L8+'24년 시즌'!L8+'25년 시즌'!L8</f>
        <v>36</v>
      </c>
      <c r="M8" s="1">
        <f>+'22년 시즌'!M8+'23년 시즌'!M8+'24년 시즌'!M8+'25년 시즌'!M8</f>
        <v>21</v>
      </c>
      <c r="N8" s="1">
        <f>+'22년 시즌'!N8+'23년 시즌'!N8+'24년 시즌'!N8+'25년 시즌'!N8</f>
        <v>28</v>
      </c>
      <c r="O8" s="1">
        <f>+'22년 시즌'!O8+'23년 시즌'!O8+'24년 시즌'!O8+'25년 시즌'!O8</f>
        <v>25</v>
      </c>
      <c r="P8" s="136">
        <f>+O8/D8</f>
        <v>0.1953125</v>
      </c>
      <c r="Q8" s="46">
        <f>+(G8*1+H8*2+I8*3+J8*4)/E8</f>
        <v>0.54081632653061229</v>
      </c>
      <c r="R8" s="28">
        <f>+(F8+N8)/D8</f>
        <v>0.5078125</v>
      </c>
      <c r="S8" s="58">
        <f>+R8+Q8</f>
        <v>1.0486288265306123</v>
      </c>
      <c r="T8" s="78">
        <f>O8/(D8-(F8+N8))</f>
        <v>0.3968253968253968</v>
      </c>
      <c r="U8" s="61">
        <f>RANK(R8,$R$4:$R$26)</f>
        <v>8</v>
      </c>
      <c r="V8" s="69">
        <f>RANK(S8,$S$4:$S$26)</f>
        <v>8</v>
      </c>
      <c r="X8" s="139">
        <f>+C8-'통산 성적(~''23)'!C8</f>
        <v>1.08843537414966E-2</v>
      </c>
      <c r="Y8" s="102">
        <f>+P8-'통산 성적(~''23)'!P8</f>
        <v>8.6458333333333248E-3</v>
      </c>
      <c r="Z8" s="103">
        <f>+Q8-'통산 성적(~''23)'!Q8</f>
        <v>-9.1836734693877542E-3</v>
      </c>
      <c r="AA8" s="103">
        <f>+R8-'통산 성적(~''23)'!R8</f>
        <v>2.7812500000000018E-2</v>
      </c>
      <c r="AB8" s="103">
        <f>+S8-'23년 시즌'!S8</f>
        <v>5.1930713323065092E-2</v>
      </c>
      <c r="AD8">
        <f>+D8-'통산 성적(~''23)'!D10</f>
        <v>34</v>
      </c>
      <c r="AE8">
        <f>+E8-'통산 성적(~''23)'!E10</f>
        <v>22</v>
      </c>
      <c r="AG8">
        <f>+AB8*AD8</f>
        <v>1.7656442529842131</v>
      </c>
      <c r="AH8">
        <f>+X8*AE8</f>
        <v>0.23945578231292519</v>
      </c>
    </row>
    <row r="9" spans="1:34" ht="17.25" x14ac:dyDescent="0.3">
      <c r="A9" s="133" t="s">
        <v>51</v>
      </c>
      <c r="B9" s="1">
        <f>+'22년 시즌'!B9+'23년 시즌'!B9+'24년 시즌'!B9+'25년 시즌'!B9</f>
        <v>35</v>
      </c>
      <c r="C9" s="86">
        <f>+F9/E9</f>
        <v>0.3</v>
      </c>
      <c r="D9" s="1">
        <f>+'22년 시즌'!D9+'23년 시즌'!D9+'24년 시즌'!D9+'25년 시즌'!D9</f>
        <v>78</v>
      </c>
      <c r="E9" s="1">
        <f>+'22년 시즌'!E9+'23년 시즌'!E9+'24년 시즌'!E9+'25년 시즌'!E9</f>
        <v>70</v>
      </c>
      <c r="F9" s="1">
        <f>+'22년 시즌'!F9+'23년 시즌'!F9+'24년 시즌'!F9+'25년 시즌'!F9</f>
        <v>21</v>
      </c>
      <c r="G9" s="1">
        <f>+'22년 시즌'!G9+'23년 시즌'!G9+'24년 시즌'!G9+'25년 시즌'!G9</f>
        <v>17</v>
      </c>
      <c r="H9" s="1">
        <f>+'22년 시즌'!H9+'23년 시즌'!H9+'24년 시즌'!H9+'25년 시즌'!H9</f>
        <v>4</v>
      </c>
      <c r="I9" s="1">
        <f>+'22년 시즌'!I9+'23년 시즌'!I9+'24년 시즌'!I9+'25년 시즌'!I9</f>
        <v>0</v>
      </c>
      <c r="J9" s="1">
        <f>+'22년 시즌'!J9+'23년 시즌'!J9+'24년 시즌'!J9+'25년 시즌'!J9</f>
        <v>0</v>
      </c>
      <c r="K9" s="1">
        <f>+'22년 시즌'!K9+'23년 시즌'!K9+'24년 시즌'!K9+'25년 시즌'!K9</f>
        <v>20</v>
      </c>
      <c r="L9" s="1">
        <f>+'22년 시즌'!L9+'23년 시즌'!L9+'24년 시즌'!L9+'25년 시즌'!L9</f>
        <v>13</v>
      </c>
      <c r="M9" s="1">
        <f>+'22년 시즌'!M9+'23년 시즌'!M9+'24년 시즌'!M9+'25년 시즌'!M9</f>
        <v>24</v>
      </c>
      <c r="N9" s="1">
        <f>+'22년 시즌'!N9+'23년 시즌'!N9+'24년 시즌'!N9+'25년 시즌'!N9</f>
        <v>12</v>
      </c>
      <c r="O9" s="1">
        <f>+'22년 시즌'!O9+'23년 시즌'!O9+'24년 시즌'!O9+'25년 시즌'!O9</f>
        <v>23</v>
      </c>
      <c r="P9" s="136">
        <f>+O9/D9</f>
        <v>0.29487179487179488</v>
      </c>
      <c r="Q9" s="46">
        <f>+(G9*1+H9*2+I9*3+J9*4)/E9</f>
        <v>0.35714285714285715</v>
      </c>
      <c r="R9" s="28">
        <f>+(F9+N9)/D9</f>
        <v>0.42307692307692307</v>
      </c>
      <c r="S9" s="58">
        <f>+R9+Q9</f>
        <v>0.78021978021978022</v>
      </c>
      <c r="T9" s="78">
        <f>O9/(D9-(F9+N9))</f>
        <v>0.51111111111111107</v>
      </c>
      <c r="U9" s="61">
        <f>RANK(R9,$R$4:$R$26)</f>
        <v>18</v>
      </c>
      <c r="V9" s="69">
        <f>RANK(S9,$S$4:$S$26)</f>
        <v>18</v>
      </c>
      <c r="X9" s="139">
        <f>+C9-'통산 성적(~''23)'!C9</f>
        <v>7.4193548387096769E-2</v>
      </c>
      <c r="Y9" s="102">
        <f>+P9-'통산 성적(~''23)'!P9</f>
        <v>-9.9865047233468285E-2</v>
      </c>
      <c r="Z9" s="103">
        <f>+Q9-'통산 성적(~''23)'!Q9</f>
        <v>9.90783410138249E-2</v>
      </c>
      <c r="AA9" s="103">
        <f>+R9-'통산 성적(~''23)'!R9</f>
        <v>5.4655870445344146E-2</v>
      </c>
      <c r="AB9" s="103">
        <f>+S9-'23년 시즌'!S9</f>
        <v>0.26232504337767504</v>
      </c>
    </row>
    <row r="10" spans="1:34" ht="17.25" x14ac:dyDescent="0.3">
      <c r="A10" s="133" t="s">
        <v>141</v>
      </c>
      <c r="B10" s="1">
        <f>+'25년 시즌'!B10</f>
        <v>22</v>
      </c>
      <c r="C10" s="86">
        <f>+F10/E10</f>
        <v>0.43137254901960786</v>
      </c>
      <c r="D10" s="1">
        <f>+'25년 시즌'!D10</f>
        <v>62</v>
      </c>
      <c r="E10" s="1">
        <f>+'25년 시즌'!E10</f>
        <v>51</v>
      </c>
      <c r="F10" s="1">
        <f>+'25년 시즌'!F10</f>
        <v>22</v>
      </c>
      <c r="G10" s="1">
        <f>+'25년 시즌'!G10</f>
        <v>17</v>
      </c>
      <c r="H10" s="1">
        <f>+'25년 시즌'!H10</f>
        <v>5</v>
      </c>
      <c r="I10" s="1">
        <f>+'25년 시즌'!I10</f>
        <v>0</v>
      </c>
      <c r="J10" s="1">
        <f>+'25년 시즌'!J10</f>
        <v>0</v>
      </c>
      <c r="K10" s="1">
        <f>+'25년 시즌'!K10</f>
        <v>15</v>
      </c>
      <c r="L10" s="1">
        <f>+'25년 시즌'!L10</f>
        <v>19</v>
      </c>
      <c r="M10" s="1">
        <f>+'25년 시즌'!M10</f>
        <v>18</v>
      </c>
      <c r="N10" s="1">
        <f>+'25년 시즌'!N10</f>
        <v>11</v>
      </c>
      <c r="O10" s="1">
        <f>+'25년 시즌'!O10</f>
        <v>3</v>
      </c>
      <c r="P10" s="136">
        <f>+O10/D10</f>
        <v>4.8387096774193547E-2</v>
      </c>
      <c r="Q10" s="46">
        <f>+(G10*1+H10*2+I10*3+J10*4)/E10</f>
        <v>0.52941176470588236</v>
      </c>
      <c r="R10" s="28">
        <f>+(F10+N10)/D10</f>
        <v>0.532258064516129</v>
      </c>
      <c r="S10" s="58">
        <f>+R10+Q10</f>
        <v>1.0616698292220113</v>
      </c>
      <c r="T10" s="78">
        <f>O10/(D10-(F10+N10))</f>
        <v>0.10344827586206896</v>
      </c>
      <c r="U10" s="61">
        <f>RANK(R10,$R$4:$R$26)</f>
        <v>6</v>
      </c>
      <c r="V10" s="69">
        <f>RANK(S10,$S$4:$S$26)</f>
        <v>7</v>
      </c>
      <c r="X10" s="139">
        <f>+C10-'통산 성적(~''23)'!C10</f>
        <v>-8.1785345717234281E-2</v>
      </c>
      <c r="Y10" s="102">
        <f>+P10-'통산 성적(~''23)'!P10</f>
        <v>-3.6719286204529855E-2</v>
      </c>
      <c r="Z10" s="103">
        <f>+Q10-'통산 성적(~''23)'!Q10</f>
        <v>-0.19427244582043346</v>
      </c>
      <c r="AA10" s="103">
        <f>+R10-'통산 성적(~''23)'!R10</f>
        <v>-5.2848318462594412E-2</v>
      </c>
      <c r="AB10" s="103">
        <f>+S10-'23년 시즌'!S10</f>
        <v>-0.43833017077798875</v>
      </c>
    </row>
    <row r="11" spans="1:34" ht="17.25" x14ac:dyDescent="0.3">
      <c r="A11" s="133" t="s">
        <v>25</v>
      </c>
      <c r="B11" s="1">
        <f>+'22년 시즌'!B10+'23년 시즌'!B10+'24년 시즌'!B10+'25년 시즌'!B11</f>
        <v>72</v>
      </c>
      <c r="C11" s="86">
        <f>+F11/E11</f>
        <v>0.51851851851851849</v>
      </c>
      <c r="D11" s="1">
        <f>+'22년 시즌'!D10+'23년 시즌'!D10+'24년 시즌'!D10+'25년 시즌'!D11</f>
        <v>205</v>
      </c>
      <c r="E11" s="1">
        <f>+'22년 시즌'!E10+'23년 시즌'!E10+'24년 시즌'!E10+'25년 시즌'!E11</f>
        <v>162</v>
      </c>
      <c r="F11" s="1">
        <f>+'22년 시즌'!F10+'23년 시즌'!F10+'24년 시즌'!F10+'25년 시즌'!F11</f>
        <v>84</v>
      </c>
      <c r="G11" s="1">
        <f>+'22년 시즌'!G10+'23년 시즌'!G10+'24년 시즌'!G10+'25년 시즌'!G11</f>
        <v>63</v>
      </c>
      <c r="H11" s="1">
        <f>+'22년 시즌'!H10+'23년 시즌'!H10+'24년 시즌'!H10+'25년 시즌'!H11</f>
        <v>13</v>
      </c>
      <c r="I11" s="1">
        <f>+'22년 시즌'!I10+'23년 시즌'!I10+'24년 시즌'!I10+'25년 시즌'!I11</f>
        <v>9</v>
      </c>
      <c r="J11" s="1">
        <f>+'22년 시즌'!J10+'23년 시즌'!J10+'24년 시즌'!J10+'25년 시즌'!J11</f>
        <v>1</v>
      </c>
      <c r="K11" s="1">
        <f>+'22년 시즌'!K10+'23년 시즌'!K10+'24년 시즌'!K10+'25년 시즌'!K11</f>
        <v>85</v>
      </c>
      <c r="L11" s="1">
        <f>+'22년 시즌'!L10+'23년 시즌'!L10+'24년 시즌'!L10+'25년 시즌'!L11</f>
        <v>58</v>
      </c>
      <c r="M11" s="1">
        <f>+'22년 시즌'!M10+'23년 시즌'!M10+'24년 시즌'!M10+'25년 시즌'!M11</f>
        <v>95</v>
      </c>
      <c r="N11" s="1">
        <f>+'22년 시즌'!N10+'23년 시즌'!N10+'24년 시즌'!N10+'25년 시즌'!N11</f>
        <v>37</v>
      </c>
      <c r="O11" s="1">
        <f>+'22년 시즌'!O10+'23년 시즌'!O10+'24년 시즌'!O10+'25년 시즌'!O11</f>
        <v>17</v>
      </c>
      <c r="P11" s="136">
        <f>+O11/D11</f>
        <v>8.2926829268292687E-2</v>
      </c>
      <c r="Q11" s="46">
        <f>+(G11*1+H11*2+I11*3+J11*4)/E11</f>
        <v>0.7407407407407407</v>
      </c>
      <c r="R11" s="28">
        <f>+(F11+N11)/D11</f>
        <v>0.59024390243902436</v>
      </c>
      <c r="S11" s="58">
        <f>+R11+Q11</f>
        <v>1.3309846431797649</v>
      </c>
      <c r="T11" s="78">
        <f>O11/(D11-(F11+N11))</f>
        <v>0.20238095238095238</v>
      </c>
      <c r="U11" s="61">
        <f>RANK(R11,$R$4:$R$26)</f>
        <v>2</v>
      </c>
      <c r="V11" s="69">
        <f>RANK(S11,$S$4:$S$26)</f>
        <v>2</v>
      </c>
      <c r="X11" s="139">
        <f>+C11-'통산 성적(~''23)'!C10</f>
        <v>5.3606237816763436E-3</v>
      </c>
      <c r="Y11" s="102">
        <f>+P11-'통산 성적(~''23)'!P10</f>
        <v>-2.179553710430715E-3</v>
      </c>
      <c r="Z11" s="103">
        <f>+Q11-'통산 성적(~''23)'!Q10</f>
        <v>1.7056530214424881E-2</v>
      </c>
      <c r="AA11" s="103">
        <f>+R11-'통산 성적(~''23)'!R10</f>
        <v>5.1375194603009433E-3</v>
      </c>
      <c r="AB11" s="103">
        <f>+S11-'23년 시즌'!S10</f>
        <v>-0.16901535682023505</v>
      </c>
      <c r="AD11">
        <f>+D11-'통산 성적(~''23)'!D20</f>
        <v>158</v>
      </c>
      <c r="AE11">
        <f>+E11-'통산 성적(~''23)'!E20</f>
        <v>126</v>
      </c>
      <c r="AG11">
        <f>+AB11*AD11</f>
        <v>-26.704426377597137</v>
      </c>
      <c r="AH11">
        <f>+X11*AE11</f>
        <v>0.67543859649121929</v>
      </c>
    </row>
    <row r="12" spans="1:34" ht="17.25" x14ac:dyDescent="0.3">
      <c r="A12" s="133" t="s">
        <v>21</v>
      </c>
      <c r="B12" s="1">
        <f>+'22년 시즌'!B11+'23년 시즌'!B11+'24년 시즌'!B11+'25년 시즌'!B12</f>
        <v>50</v>
      </c>
      <c r="C12" s="86">
        <f>+F12/E12</f>
        <v>0.33663366336633666</v>
      </c>
      <c r="D12" s="1">
        <f>+'22년 시즌'!D11+'23년 시즌'!D11+'24년 시즌'!D11+'25년 시즌'!D12</f>
        <v>121</v>
      </c>
      <c r="E12" s="1">
        <f>+'22년 시즌'!E11+'23년 시즌'!E11+'24년 시즌'!E11+'25년 시즌'!E12</f>
        <v>101</v>
      </c>
      <c r="F12" s="1">
        <f>+'22년 시즌'!F11+'23년 시즌'!F11+'24년 시즌'!F11+'25년 시즌'!F12</f>
        <v>34</v>
      </c>
      <c r="G12" s="1">
        <f>+'22년 시즌'!G11+'23년 시즌'!G11+'24년 시즌'!G11+'25년 시즌'!G12</f>
        <v>31</v>
      </c>
      <c r="H12" s="1">
        <f>+'22년 시즌'!H11+'23년 시즌'!H11+'24년 시즌'!H11+'25년 시즌'!H12</f>
        <v>3</v>
      </c>
      <c r="I12" s="1">
        <f>+'22년 시즌'!I11+'23년 시즌'!I11+'24년 시즌'!I11+'25년 시즌'!I12</f>
        <v>0</v>
      </c>
      <c r="J12" s="1">
        <f>+'22년 시즌'!J11+'23년 시즌'!J11+'24년 시즌'!J11+'25년 시즌'!J12</f>
        <v>0</v>
      </c>
      <c r="K12" s="1">
        <f>+'22년 시즌'!K11+'23년 시즌'!K11+'24년 시즌'!K11+'25년 시즌'!K12</f>
        <v>41</v>
      </c>
      <c r="L12" s="1">
        <f>+'22년 시즌'!L11+'23년 시즌'!L11+'24년 시즌'!L11+'25년 시즌'!L12</f>
        <v>25</v>
      </c>
      <c r="M12" s="1">
        <f>+'22년 시즌'!M11+'23년 시즌'!M11+'24년 시즌'!M11+'25년 시즌'!M12</f>
        <v>28</v>
      </c>
      <c r="N12" s="1">
        <f>+'22년 시즌'!N11+'23년 시즌'!N11+'24년 시즌'!N11+'25년 시즌'!N12</f>
        <v>20</v>
      </c>
      <c r="O12" s="1">
        <f>+'22년 시즌'!O11+'23년 시즌'!O11+'24년 시즌'!O11+'25년 시즌'!O12</f>
        <v>22</v>
      </c>
      <c r="P12" s="136">
        <f>+O12/D12</f>
        <v>0.18181818181818182</v>
      </c>
      <c r="Q12" s="46">
        <f>+(G12*1+H12*2+I12*3+J12*4)/E12</f>
        <v>0.36633663366336633</v>
      </c>
      <c r="R12" s="28">
        <f>+(F12+N12)/D12</f>
        <v>0.4462809917355372</v>
      </c>
      <c r="S12" s="58">
        <f>+R12+Q12</f>
        <v>0.81261762539890348</v>
      </c>
      <c r="T12" s="78">
        <f>O12/(D12-(F12+N12))</f>
        <v>0.32835820895522388</v>
      </c>
      <c r="U12" s="61">
        <f>RANK(R12,$R$4:$R$26)</f>
        <v>14</v>
      </c>
      <c r="V12" s="69">
        <f>RANK(S12,$S$4:$S$26)</f>
        <v>17</v>
      </c>
      <c r="X12" s="139">
        <f>+C12-'통산 성적(~''23)'!C11</f>
        <v>5.5383663366336655E-2</v>
      </c>
      <c r="Y12" s="102">
        <f>+P12-'통산 성적(~''23)'!P11</f>
        <v>-4.0404040404040387E-2</v>
      </c>
      <c r="Z12" s="103">
        <f>+Q12-'통산 성적(~''23)'!Q11</f>
        <v>5.3836633663366329E-2</v>
      </c>
      <c r="AA12" s="103">
        <f>+R12-'통산 성적(~''23)'!R11</f>
        <v>8.5169880624426098E-2</v>
      </c>
      <c r="AB12" s="103">
        <f>+S12-'23년 시즌'!S11</f>
        <v>0.22255551359766124</v>
      </c>
    </row>
    <row r="13" spans="1:34" ht="17.25" x14ac:dyDescent="0.3">
      <c r="A13" s="133" t="s">
        <v>8</v>
      </c>
      <c r="B13" s="1">
        <f>+'22년 시즌'!B12+'23년 시즌'!B12+'24년 시즌'!B12+'25년 시즌'!B13</f>
        <v>28</v>
      </c>
      <c r="C13" s="86">
        <f>+F13/E13</f>
        <v>0.34210526315789475</v>
      </c>
      <c r="D13" s="1">
        <f>+'22년 시즌'!D12+'23년 시즌'!D12+'24년 시즌'!D12+'25년 시즌'!D13</f>
        <v>56</v>
      </c>
      <c r="E13" s="1">
        <f>+'22년 시즌'!E12+'23년 시즌'!E12+'24년 시즌'!E12+'25년 시즌'!E13</f>
        <v>38</v>
      </c>
      <c r="F13" s="1">
        <f>+'22년 시즌'!F12+'23년 시즌'!F12+'24년 시즌'!F12+'25년 시즌'!F13</f>
        <v>13</v>
      </c>
      <c r="G13" s="1">
        <f>+'22년 시즌'!G12+'23년 시즌'!G12+'24년 시즌'!G12+'25년 시즌'!G13</f>
        <v>10</v>
      </c>
      <c r="H13" s="1">
        <f>+'22년 시즌'!H12+'23년 시즌'!H12+'24년 시즌'!H12+'25년 시즌'!H13</f>
        <v>2</v>
      </c>
      <c r="I13" s="1">
        <f>+'22년 시즌'!I12+'23년 시즌'!I12+'24년 시즌'!I12+'25년 시즌'!I13</f>
        <v>1</v>
      </c>
      <c r="J13" s="1">
        <f>+'22년 시즌'!J12+'23년 시즌'!J12+'24년 시즌'!J12+'25년 시즌'!J13</f>
        <v>0</v>
      </c>
      <c r="K13" s="1">
        <f>+'22년 시즌'!K12+'23년 시즌'!K12+'24년 시즌'!K12+'25년 시즌'!K13</f>
        <v>21</v>
      </c>
      <c r="L13" s="1">
        <f>+'22년 시즌'!L12+'23년 시즌'!L12+'24년 시즌'!L12+'25년 시즌'!L13</f>
        <v>11</v>
      </c>
      <c r="M13" s="1">
        <f>+'22년 시즌'!M12+'23년 시즌'!M12+'24년 시즌'!M12+'25년 시즌'!M13</f>
        <v>15</v>
      </c>
      <c r="N13" s="1">
        <f>+'22년 시즌'!N12+'23년 시즌'!N12+'24년 시즌'!N12+'25년 시즌'!N13</f>
        <v>11</v>
      </c>
      <c r="O13" s="1">
        <f>+'22년 시즌'!O12+'23년 시즌'!O12+'24년 시즌'!O12+'25년 시즌'!O13</f>
        <v>4</v>
      </c>
      <c r="P13" s="136">
        <f>+O13/D13</f>
        <v>7.1428571428571425E-2</v>
      </c>
      <c r="Q13" s="46">
        <f>+(G13*1+H13*2+I13*3+J13*4)/E13</f>
        <v>0.44736842105263158</v>
      </c>
      <c r="R13" s="28">
        <f>+(F13+N13)/D13</f>
        <v>0.42857142857142855</v>
      </c>
      <c r="S13" s="58">
        <f>+R13+Q13</f>
        <v>0.87593984962406013</v>
      </c>
      <c r="T13" s="78">
        <f>O13/(D13-(F13+N13))</f>
        <v>0.125</v>
      </c>
      <c r="U13" s="61">
        <f>RANK(R13,$R$4:$R$26)</f>
        <v>16</v>
      </c>
      <c r="V13" s="69">
        <f>RANK(S13,$S$4:$S$26)</f>
        <v>14</v>
      </c>
      <c r="X13" s="139">
        <f>+C13-'통산 성적(~''23)'!C12</f>
        <v>0.17543859649122809</v>
      </c>
      <c r="Y13" s="102">
        <f>+P13-'통산 성적(~''23)'!P12</f>
        <v>-3.968253968253968E-2</v>
      </c>
      <c r="Z13" s="103">
        <f>+Q13-'통산 성적(~''23)'!Q12</f>
        <v>0.2807017543859649</v>
      </c>
      <c r="AA13" s="103">
        <f>+R13-'통산 성적(~''23)'!R12</f>
        <v>0.31746031746031744</v>
      </c>
      <c r="AB13" s="103">
        <f>+S13-'23년 시즌'!S12</f>
        <v>0.59816207184628234</v>
      </c>
      <c r="AD13">
        <f>+D13-'통산 성적(~''23)'!D21</f>
        <v>-15</v>
      </c>
      <c r="AE13">
        <f>+E13-'통산 성적(~''23)'!E21</f>
        <v>-25</v>
      </c>
      <c r="AG13">
        <f>+AB13*AD13</f>
        <v>-8.9724310776942353</v>
      </c>
      <c r="AH13">
        <f>+X13*AE13</f>
        <v>-4.3859649122807021</v>
      </c>
    </row>
    <row r="14" spans="1:34" ht="17.25" x14ac:dyDescent="0.3">
      <c r="A14" s="133" t="s">
        <v>15</v>
      </c>
      <c r="B14" s="1">
        <f>+'22년 시즌'!B13+'23년 시즌'!B13+'24년 시즌'!B13+'25년 시즌'!B14</f>
        <v>54</v>
      </c>
      <c r="C14" s="86">
        <f>+F14/E14</f>
        <v>0.48760330578512395</v>
      </c>
      <c r="D14" s="1">
        <f>+'22년 시즌'!D13+'23년 시즌'!D13+'24년 시즌'!D13+'25년 시즌'!D14</f>
        <v>145</v>
      </c>
      <c r="E14" s="1">
        <f>+'22년 시즌'!E13+'23년 시즌'!E13+'24년 시즌'!E13+'25년 시즌'!E14</f>
        <v>121</v>
      </c>
      <c r="F14" s="1">
        <f>+'22년 시즌'!F13+'23년 시즌'!F13+'24년 시즌'!F13+'25년 시즌'!F14</f>
        <v>59</v>
      </c>
      <c r="G14" s="1">
        <f>+'22년 시즌'!G13+'23년 시즌'!G13+'24년 시즌'!G13+'25년 시즌'!G14</f>
        <v>35</v>
      </c>
      <c r="H14" s="1">
        <f>+'22년 시즌'!H13+'23년 시즌'!H13+'24년 시즌'!H13+'25년 시즌'!H14</f>
        <v>21</v>
      </c>
      <c r="I14" s="1">
        <f>+'22년 시즌'!I13+'23년 시즌'!I13+'24년 시즌'!I13+'25년 시즌'!I14</f>
        <v>2</v>
      </c>
      <c r="J14" s="1">
        <f>+'22년 시즌'!J13+'23년 시즌'!J13+'24년 시즌'!J13+'25년 시즌'!J14</f>
        <v>1</v>
      </c>
      <c r="K14" s="1">
        <f>+'22년 시즌'!K13+'23년 시즌'!K13+'24년 시즌'!K13+'25년 시즌'!K14</f>
        <v>45</v>
      </c>
      <c r="L14" s="1">
        <f>+'22년 시즌'!L13+'23년 시즌'!L13+'24년 시즌'!L13+'25년 시즌'!L14</f>
        <v>51</v>
      </c>
      <c r="M14" s="1">
        <f>+'22년 시즌'!M13+'23년 시즌'!M13+'24년 시즌'!M13+'25년 시즌'!M14</f>
        <v>22</v>
      </c>
      <c r="N14" s="1">
        <f>+'22년 시즌'!N13+'23년 시즌'!N13+'24년 시즌'!N13+'25년 시즌'!N14</f>
        <v>23</v>
      </c>
      <c r="O14" s="1">
        <f>+'22년 시즌'!O13+'23년 시즌'!O13+'24년 시즌'!O13+'25년 시즌'!O14</f>
        <v>6</v>
      </c>
      <c r="P14" s="136">
        <f>+O14/D14</f>
        <v>4.1379310344827586E-2</v>
      </c>
      <c r="Q14" s="46">
        <f>+(G14*1+H14*2+I14*3+J14*4)/E14</f>
        <v>0.71900826446280997</v>
      </c>
      <c r="R14" s="28">
        <f>+(F14+N14)/D14</f>
        <v>0.56551724137931036</v>
      </c>
      <c r="S14" s="58">
        <f>+R14+Q14</f>
        <v>1.2845255058421203</v>
      </c>
      <c r="T14" s="78">
        <f>O14/(D14-(F14+N14))</f>
        <v>9.5238095238095233E-2</v>
      </c>
      <c r="U14" s="61">
        <f>RANK(R14,$R$4:$R$26)</f>
        <v>3</v>
      </c>
      <c r="V14" s="69">
        <f>RANK(S14,$S$4:$S$26)</f>
        <v>3</v>
      </c>
      <c r="X14" s="139">
        <f>+C14-'통산 성적(~''23)'!C13</f>
        <v>-3.1627463445645321E-2</v>
      </c>
      <c r="Y14" s="102">
        <f>+P14-'통산 성적(~''23)'!P13</f>
        <v>-4.4827586206896558E-2</v>
      </c>
      <c r="Z14" s="103">
        <f>+Q14-'통산 성적(~''23)'!Q13</f>
        <v>-0.14637635092180545</v>
      </c>
      <c r="AA14" s="103">
        <f>+R14-'통산 성적(~''23)'!R13</f>
        <v>1.379310344827589E-2</v>
      </c>
      <c r="AB14" s="103">
        <f>+S14-'23년 시즌'!S13</f>
        <v>-0.12733346851685412</v>
      </c>
      <c r="AD14">
        <f>+D14-'통산 성적(~''23)'!D6</f>
        <v>67</v>
      </c>
      <c r="AE14">
        <f>+E14-'통산 성적(~''23)'!E6</f>
        <v>61</v>
      </c>
      <c r="AG14">
        <f>+AB14*AD14</f>
        <v>-8.5313423906292254</v>
      </c>
      <c r="AH14">
        <f>+X14*AE14</f>
        <v>-1.9292752701843645</v>
      </c>
    </row>
    <row r="15" spans="1:34" ht="17.25" x14ac:dyDescent="0.3">
      <c r="A15" s="133" t="s">
        <v>23</v>
      </c>
      <c r="B15" s="1">
        <f>+'22년 시즌'!B15+'23년 시즌'!B15+'24년 시즌'!B14+'25년 시즌'!B15</f>
        <v>47</v>
      </c>
      <c r="C15" s="86">
        <f>+F15/E15</f>
        <v>0.27058823529411763</v>
      </c>
      <c r="D15" s="1">
        <f>+'22년 시즌'!D15+'23년 시즌'!D15+'24년 시즌'!D14+'25년 시즌'!D15</f>
        <v>115</v>
      </c>
      <c r="E15" s="1">
        <f>+'22년 시즌'!E15+'23년 시즌'!E15+'24년 시즌'!E14+'25년 시즌'!E15</f>
        <v>85</v>
      </c>
      <c r="F15" s="1">
        <f>+'22년 시즌'!F15+'23년 시즌'!F15+'24년 시즌'!F14+'25년 시즌'!F15</f>
        <v>23</v>
      </c>
      <c r="G15" s="1">
        <f>+'22년 시즌'!G15+'23년 시즌'!G15+'24년 시즌'!G14+'25년 시즌'!G15</f>
        <v>20</v>
      </c>
      <c r="H15" s="1">
        <f>+'22년 시즌'!H15+'23년 시즌'!H15+'24년 시즌'!H14+'25년 시즌'!H15</f>
        <v>3</v>
      </c>
      <c r="I15" s="1">
        <f>+'22년 시즌'!I15+'23년 시즌'!I15+'24년 시즌'!I14+'25년 시즌'!I15</f>
        <v>0</v>
      </c>
      <c r="J15" s="1">
        <f>+'22년 시즌'!J15+'23년 시즌'!J15+'24년 시즌'!J14+'25년 시즌'!J15</f>
        <v>0</v>
      </c>
      <c r="K15" s="1">
        <f>+'22년 시즌'!K15+'23년 시즌'!K15+'24년 시즌'!K14+'25년 시즌'!K15</f>
        <v>27</v>
      </c>
      <c r="L15" s="1">
        <f>+'22년 시즌'!L15+'23년 시즌'!L15+'24년 시즌'!L14+'25년 시즌'!L15</f>
        <v>24</v>
      </c>
      <c r="M15" s="1">
        <f>+'22년 시즌'!M15+'23년 시즌'!M15+'24년 시즌'!M14+'25년 시즌'!M15</f>
        <v>18</v>
      </c>
      <c r="N15" s="1">
        <f>+'22년 시즌'!N15+'23년 시즌'!N15+'24년 시즌'!N14+'25년 시즌'!N15</f>
        <v>25</v>
      </c>
      <c r="O15" s="1">
        <f>+'22년 시즌'!O15+'23년 시즌'!O15+'24년 시즌'!O14+'25년 시즌'!O15</f>
        <v>33</v>
      </c>
      <c r="P15" s="136">
        <f>+O15/D15</f>
        <v>0.28695652173913044</v>
      </c>
      <c r="Q15" s="46">
        <f>+(G15*1+H15*2+I15*3+J15*4)/E15</f>
        <v>0.30588235294117649</v>
      </c>
      <c r="R15" s="28">
        <f>+(F15+N15)/D15</f>
        <v>0.41739130434782606</v>
      </c>
      <c r="S15" s="58">
        <f>+R15+Q15</f>
        <v>0.72327365728900261</v>
      </c>
      <c r="T15" s="78">
        <f>O15/(D15-(F15+N15))</f>
        <v>0.4925373134328358</v>
      </c>
      <c r="U15" s="61">
        <f>RANK(R15,$R$4:$R$26)</f>
        <v>19</v>
      </c>
      <c r="V15" s="69">
        <f>RANK(S15,$S$4:$S$26)</f>
        <v>20</v>
      </c>
      <c r="X15" s="139">
        <f>+C15-'통산 성적(~''23)'!C15</f>
        <v>0.11674208144796377</v>
      </c>
      <c r="Y15" s="102">
        <f>+P15-'통산 성적(~''23)'!P15</f>
        <v>-6.3043478260869534E-2</v>
      </c>
      <c r="Z15" s="103">
        <f>+Q15-'통산 성적(~''23)'!Q15</f>
        <v>0.15203619909502264</v>
      </c>
      <c r="AA15" s="103">
        <f>+R15-'통산 성적(~''23)'!R15</f>
        <v>0.11739130434782608</v>
      </c>
      <c r="AB15" s="103">
        <f>+S15-'23년 시즌'!S15</f>
        <v>0.26942750344284877</v>
      </c>
      <c r="AD15">
        <f>+D15-'통산 성적(~''23)'!D8</f>
        <v>40</v>
      </c>
      <c r="AE15">
        <f>+E15-'통산 성적(~''23)'!E8</f>
        <v>25</v>
      </c>
      <c r="AG15">
        <f>+AB15*AD15</f>
        <v>10.777100137713951</v>
      </c>
      <c r="AH15">
        <f>+X15*AE15</f>
        <v>2.9185520361990944</v>
      </c>
    </row>
    <row r="16" spans="1:34" ht="17.25" x14ac:dyDescent="0.3">
      <c r="A16" s="133" t="s">
        <v>50</v>
      </c>
      <c r="B16" s="1">
        <f>+'22년 시즌'!B16+'23년 시즌'!B16+'24년 시즌'!B15+'25년 시즌'!B16</f>
        <v>45</v>
      </c>
      <c r="C16" s="86">
        <f>+F16/E16</f>
        <v>0.352112676056338</v>
      </c>
      <c r="D16" s="1">
        <f>+'22년 시즌'!D16+'23년 시즌'!D16+'24년 시즌'!D15+'25년 시즌'!D16</f>
        <v>84</v>
      </c>
      <c r="E16" s="1">
        <f>+'22년 시즌'!E16+'23년 시즌'!E16+'24년 시즌'!E15+'25년 시즌'!E16</f>
        <v>71</v>
      </c>
      <c r="F16" s="1">
        <f>+'22년 시즌'!F16+'23년 시즌'!F16+'24년 시즌'!F15+'25년 시즌'!F16</f>
        <v>25</v>
      </c>
      <c r="G16" s="1">
        <f>+'22년 시즌'!G16+'23년 시즌'!G16+'24년 시즌'!G15+'25년 시즌'!G16</f>
        <v>18</v>
      </c>
      <c r="H16" s="1">
        <f>+'22년 시즌'!H16+'23년 시즌'!H16+'24년 시즌'!H15+'25년 시즌'!H16</f>
        <v>7</v>
      </c>
      <c r="I16" s="1">
        <f>+'22년 시즌'!I16+'23년 시즌'!I16+'24년 시즌'!I15+'25년 시즌'!I16</f>
        <v>0</v>
      </c>
      <c r="J16" s="1">
        <f>+'22년 시즌'!J16+'23년 시즌'!J16+'24년 시즌'!J15+'25년 시즌'!J16</f>
        <v>0</v>
      </c>
      <c r="K16" s="1">
        <f>+'22년 시즌'!K16+'23년 시즌'!K16+'24년 시즌'!K15+'25년 시즌'!K16</f>
        <v>24</v>
      </c>
      <c r="L16" s="1">
        <f>+'22년 시즌'!L16+'23년 시즌'!L16+'24년 시즌'!L15+'25년 시즌'!L16</f>
        <v>25</v>
      </c>
      <c r="M16" s="1">
        <f>+'22년 시즌'!M16+'23년 시즌'!M16+'24년 시즌'!M15+'25년 시즌'!M16</f>
        <v>16</v>
      </c>
      <c r="N16" s="1">
        <f>+'22년 시즌'!N16+'23년 시즌'!N16+'24년 시즌'!N15+'25년 시즌'!N16</f>
        <v>12</v>
      </c>
      <c r="O16" s="1">
        <f>+'22년 시즌'!O16+'23년 시즌'!O16+'24년 시즌'!O15+'25년 시즌'!O16</f>
        <v>13</v>
      </c>
      <c r="P16" s="136">
        <f>+O16/D16</f>
        <v>0.15476190476190477</v>
      </c>
      <c r="Q16" s="46">
        <f>+(G16*1+H16*2+I16*3+J16*4)/E16</f>
        <v>0.45070422535211269</v>
      </c>
      <c r="R16" s="28">
        <f>+(F16+N16)/D16</f>
        <v>0.44047619047619047</v>
      </c>
      <c r="S16" s="58">
        <f>+R16+Q16</f>
        <v>0.89118041582830321</v>
      </c>
      <c r="T16" s="78">
        <f>O16/(D16-(F16+N16))</f>
        <v>0.27659574468085107</v>
      </c>
      <c r="U16" s="61">
        <f>RANK(R16,$R$4:$R$26)</f>
        <v>15</v>
      </c>
      <c r="V16" s="69">
        <f>RANK(S16,$S$4:$S$26)</f>
        <v>13</v>
      </c>
      <c r="X16" s="139">
        <f>+C16-'통산 성적(~''23)'!C16</f>
        <v>-2.2887323943661997E-2</v>
      </c>
      <c r="Y16" s="102">
        <f>+P16-'통산 성적(~''23)'!P16</f>
        <v>1.1904761904761918E-2</v>
      </c>
      <c r="Z16" s="103">
        <f>+Q16-'통산 성적(~''23)'!Q16</f>
        <v>-4.9295774647887314E-2</v>
      </c>
      <c r="AA16" s="103">
        <f>+R16-'통산 성적(~''23)'!R16</f>
        <v>-8.333333333333337E-2</v>
      </c>
      <c r="AB16" s="103">
        <f>+S16-'23년 시즌'!S16</f>
        <v>-5.3264028616141212E-2</v>
      </c>
      <c r="AD16">
        <f>+D16-'통산 성적(~''23)'!D11</f>
        <v>48</v>
      </c>
      <c r="AE16">
        <f>+E16-'통산 성적(~''23)'!E11</f>
        <v>39</v>
      </c>
      <c r="AG16">
        <f>+AB16*AD16</f>
        <v>-2.5566733735747782</v>
      </c>
      <c r="AH16">
        <f>+X16*AE16</f>
        <v>-0.89260563380281788</v>
      </c>
    </row>
    <row r="17" spans="1:34" ht="17.25" x14ac:dyDescent="0.3">
      <c r="A17" s="133" t="s">
        <v>33</v>
      </c>
      <c r="B17" s="1">
        <f>+'22년 시즌'!B17+'23년 시즌'!B17+'24년 시즌'!B16+'25년 시즌'!B17</f>
        <v>43</v>
      </c>
      <c r="C17" s="86">
        <f>+F17/E17</f>
        <v>0.3707865168539326</v>
      </c>
      <c r="D17" s="1">
        <f>+'22년 시즌'!D17+'23년 시즌'!D17+'24년 시즌'!D16+'25년 시즌'!D17</f>
        <v>117</v>
      </c>
      <c r="E17" s="1">
        <f>+'22년 시즌'!E17+'23년 시즌'!E17+'24년 시즌'!E16+'25년 시즌'!E17</f>
        <v>89</v>
      </c>
      <c r="F17" s="1">
        <f>+'22년 시즌'!F17+'23년 시즌'!F17+'24년 시즌'!F16+'25년 시즌'!F17</f>
        <v>33</v>
      </c>
      <c r="G17" s="1">
        <f>+'22년 시즌'!G17+'23년 시즌'!G17+'24년 시즌'!G16+'25년 시즌'!G17</f>
        <v>26</v>
      </c>
      <c r="H17" s="1">
        <f>+'22년 시즌'!H17+'23년 시즌'!H17+'24년 시즌'!H16+'25년 시즌'!H17</f>
        <v>3</v>
      </c>
      <c r="I17" s="1">
        <f>+'22년 시즌'!I17+'23년 시즌'!I17+'24년 시즌'!I16+'25년 시즌'!I17</f>
        <v>4</v>
      </c>
      <c r="J17" s="1">
        <f>+'22년 시즌'!J17+'23년 시즌'!J17+'24년 시즌'!J16+'25년 시즌'!J17</f>
        <v>0</v>
      </c>
      <c r="K17" s="1">
        <f>+'22년 시즌'!K17+'23년 시즌'!K17+'24년 시즌'!K16+'25년 시즌'!K17</f>
        <v>37</v>
      </c>
      <c r="L17" s="1">
        <f>+'22년 시즌'!L17+'23년 시즌'!L17+'24년 시즌'!L16+'25년 시즌'!L17</f>
        <v>18</v>
      </c>
      <c r="M17" s="1">
        <f>+'22년 시즌'!M17+'23년 시즌'!M17+'24년 시즌'!M16+'25년 시즌'!M17</f>
        <v>35</v>
      </c>
      <c r="N17" s="1">
        <f>+'22년 시즌'!N17+'23년 시즌'!N17+'24년 시즌'!N16+'25년 시즌'!N17</f>
        <v>26</v>
      </c>
      <c r="O17" s="1">
        <f>+'22년 시즌'!O17+'23년 시즌'!O17+'24년 시즌'!O16+'25년 시즌'!O17</f>
        <v>19</v>
      </c>
      <c r="P17" s="136">
        <f>+O17/D17</f>
        <v>0.1623931623931624</v>
      </c>
      <c r="Q17" s="46">
        <f>+(G17*1+H17*2+I17*3+J17*4)/E17</f>
        <v>0.4943820224719101</v>
      </c>
      <c r="R17" s="28">
        <f>+(F17+N17)/D17</f>
        <v>0.50427350427350426</v>
      </c>
      <c r="S17" s="58">
        <f>+R17+Q17</f>
        <v>0.99865552674541436</v>
      </c>
      <c r="T17" s="78">
        <f>O17/(D17-(F17+N17))</f>
        <v>0.32758620689655171</v>
      </c>
      <c r="U17" s="61">
        <f>RANK(R17,$R$4:$R$26)</f>
        <v>9</v>
      </c>
      <c r="V17" s="69">
        <f>RANK(S17,$S$4:$S$26)</f>
        <v>9</v>
      </c>
      <c r="X17" s="139">
        <f>+C17-'통산 성적(~''23)'!C17</f>
        <v>7.0786516853932613E-2</v>
      </c>
      <c r="Y17" s="102">
        <f>+P17-'통산 성적(~''23)'!P17</f>
        <v>-0.17094017094017092</v>
      </c>
      <c r="Z17" s="103">
        <f>+Q17-'통산 성적(~''23)'!Q17</f>
        <v>9.4382022471910076E-2</v>
      </c>
      <c r="AA17" s="103">
        <f>+R17-'통산 성적(~''23)'!R17</f>
        <v>8.7606837606837573E-2</v>
      </c>
      <c r="AB17" s="103">
        <f>+S17-'23년 시즌'!S17</f>
        <v>0.18198886007874771</v>
      </c>
      <c r="AD17">
        <f>+D17-'통산 성적(~''23)'!D13</f>
        <v>59</v>
      </c>
      <c r="AE17">
        <f>+E17-'통산 성적(~''23)'!E13</f>
        <v>37</v>
      </c>
      <c r="AG17">
        <f>+AB17*AD17</f>
        <v>10.737342744646115</v>
      </c>
      <c r="AH17">
        <f>+X17*AE17</f>
        <v>2.6191011235955068</v>
      </c>
    </row>
    <row r="18" spans="1:34" ht="17.25" x14ac:dyDescent="0.3">
      <c r="A18" s="133" t="s">
        <v>60</v>
      </c>
      <c r="B18" s="1">
        <f>+'22년 시즌'!B18+'23년 시즌'!B18+'24년 시즌'!B17+'25년 시즌'!B18</f>
        <v>56</v>
      </c>
      <c r="C18" s="86">
        <f>+F18/E18</f>
        <v>0.40186915887850466</v>
      </c>
      <c r="D18" s="1">
        <f>+'22년 시즌'!D18+'23년 시즌'!D18+'24년 시즌'!D17+'25년 시즌'!D18</f>
        <v>126</v>
      </c>
      <c r="E18" s="1">
        <f>+'22년 시즌'!E18+'23년 시즌'!E18+'24년 시즌'!E17+'25년 시즌'!E18</f>
        <v>107</v>
      </c>
      <c r="F18" s="1">
        <f>+'22년 시즌'!F18+'23년 시즌'!F18+'24년 시즌'!F17+'25년 시즌'!F18</f>
        <v>43</v>
      </c>
      <c r="G18" s="1">
        <f>+'22년 시즌'!G18+'23년 시즌'!G18+'24년 시즌'!G17+'25년 시즌'!G18</f>
        <v>35</v>
      </c>
      <c r="H18" s="1">
        <f>+'22년 시즌'!H18+'23년 시즌'!H18+'24년 시즌'!H17+'25년 시즌'!H18</f>
        <v>6</v>
      </c>
      <c r="I18" s="1">
        <f>+'22년 시즌'!I18+'23년 시즌'!I18+'24년 시즌'!I17+'25년 시즌'!I18</f>
        <v>1</v>
      </c>
      <c r="J18" s="1">
        <f>+'22년 시즌'!J18+'23년 시즌'!J18+'24년 시즌'!J17+'25년 시즌'!J18</f>
        <v>1</v>
      </c>
      <c r="K18" s="1">
        <f>+'22년 시즌'!K18+'23년 시즌'!K18+'24년 시즌'!K17+'25년 시즌'!K18</f>
        <v>29</v>
      </c>
      <c r="L18" s="1">
        <f>+'22년 시즌'!L18+'23년 시즌'!L18+'24년 시즌'!L17+'25년 시즌'!L18</f>
        <v>23</v>
      </c>
      <c r="M18" s="1">
        <f>+'22년 시즌'!M18+'23년 시즌'!M18+'24년 시즌'!M17+'25년 시즌'!M18</f>
        <v>15</v>
      </c>
      <c r="N18" s="1">
        <f>+'22년 시즌'!N18+'23년 시즌'!N18+'24년 시즌'!N17+'25년 시즌'!N18</f>
        <v>15</v>
      </c>
      <c r="O18" s="1">
        <f>+'22년 시즌'!O18+'23년 시즌'!O18+'24년 시즌'!O17+'25년 시즌'!O18</f>
        <v>19</v>
      </c>
      <c r="P18" s="136">
        <f>+O18/D18</f>
        <v>0.15079365079365079</v>
      </c>
      <c r="Q18" s="46">
        <f>+(G18*1+H18*2+I18*3+J18*4)/E18</f>
        <v>0.50467289719626163</v>
      </c>
      <c r="R18" s="28">
        <f>+(F18+N18)/D18</f>
        <v>0.46031746031746029</v>
      </c>
      <c r="S18" s="58">
        <f>+R18+Q18</f>
        <v>0.96499035751372197</v>
      </c>
      <c r="T18" s="78">
        <f>O18/(D18-(F18+N18))</f>
        <v>0.27941176470588236</v>
      </c>
      <c r="U18" s="61">
        <f>RANK(R18,$R$4:$R$26)</f>
        <v>12</v>
      </c>
      <c r="V18" s="69">
        <f>RANK(S18,$S$4:$S$26)</f>
        <v>10</v>
      </c>
      <c r="X18" s="139">
        <f>+C18-'통산 성적(~''23)'!C18</f>
        <v>-0.11425987337955984</v>
      </c>
      <c r="Y18" s="102">
        <f>+P18-'통산 성적(~''23)'!P18</f>
        <v>-1.1368511368511386E-2</v>
      </c>
      <c r="Z18" s="103">
        <f>+Q18-'통산 성적(~''23)'!Q18</f>
        <v>-0.172746457642448</v>
      </c>
      <c r="AA18" s="103">
        <f>+R18-'통산 성적(~''23)'!R18</f>
        <v>-0.10725010725010725</v>
      </c>
      <c r="AB18" s="103">
        <f>+S18-'23년 시즌'!S18</f>
        <v>-0.31834297581961124</v>
      </c>
      <c r="AD18">
        <f>+D18-'통산 성적(~''23)'!D19</f>
        <v>86</v>
      </c>
      <c r="AE18">
        <f>+E18-'통산 성적(~''23)'!E19</f>
        <v>73</v>
      </c>
      <c r="AG18">
        <f>+AB18*AD18</f>
        <v>-27.377495920486567</v>
      </c>
      <c r="AH18">
        <f>+X18*AE18</f>
        <v>-8.3409707567078684</v>
      </c>
    </row>
    <row r="19" spans="1:34" ht="17.25" x14ac:dyDescent="0.3">
      <c r="A19" s="133" t="s">
        <v>12</v>
      </c>
      <c r="B19" s="1">
        <f>+'22년 시즌'!B19+'23년 시즌'!B19+'24년 시즌'!B18+'25년 시즌'!B19</f>
        <v>39</v>
      </c>
      <c r="C19" s="86">
        <f>+F19/E19</f>
        <v>0.3411764705882353</v>
      </c>
      <c r="D19" s="1">
        <f>+'22년 시즌'!D19+'23년 시즌'!D19+'24년 시즌'!D18+'25년 시즌'!D19</f>
        <v>105</v>
      </c>
      <c r="E19" s="1">
        <f>+'22년 시즌'!E19+'23년 시즌'!E19+'24년 시즌'!E18+'25년 시즌'!E19</f>
        <v>85</v>
      </c>
      <c r="F19" s="1">
        <f>+'22년 시즌'!F19+'23년 시즌'!F19+'24년 시즌'!F18+'25년 시즌'!F19</f>
        <v>29</v>
      </c>
      <c r="G19" s="1">
        <f>+'22년 시즌'!G19+'23년 시즌'!G19+'24년 시즌'!G18+'25년 시즌'!G19</f>
        <v>25</v>
      </c>
      <c r="H19" s="1">
        <f>+'22년 시즌'!H19+'23년 시즌'!H19+'24년 시즌'!H18+'25년 시즌'!H19</f>
        <v>1</v>
      </c>
      <c r="I19" s="1">
        <f>+'22년 시즌'!I19+'23년 시즌'!I19+'24년 시즌'!I18+'25년 시즌'!I19</f>
        <v>1</v>
      </c>
      <c r="J19" s="1">
        <f>+'22년 시즌'!J19+'23년 시즌'!J19+'24년 시즌'!J18+'25년 시즌'!J19</f>
        <v>2</v>
      </c>
      <c r="K19" s="1">
        <f>+'22년 시즌'!K19+'23년 시즌'!K19+'24년 시즌'!K18+'25년 시즌'!K19</f>
        <v>27</v>
      </c>
      <c r="L19" s="1">
        <f>+'22년 시즌'!L19+'23년 시즌'!L19+'24년 시즌'!L18+'25년 시즌'!L19</f>
        <v>32</v>
      </c>
      <c r="M19" s="1">
        <f>+'22년 시즌'!M19+'23년 시즌'!M19+'24년 시즌'!M18+'25년 시즌'!M19</f>
        <v>12</v>
      </c>
      <c r="N19" s="1">
        <f>+'22년 시즌'!N19+'23년 시즌'!N19+'24년 시즌'!N18+'25년 시즌'!N19</f>
        <v>16</v>
      </c>
      <c r="O19" s="1">
        <f>+'22년 시즌'!O19+'23년 시즌'!O19+'24년 시즌'!O18+'25년 시즌'!O19</f>
        <v>13</v>
      </c>
      <c r="P19" s="136">
        <f>+O19/D19</f>
        <v>0.12380952380952381</v>
      </c>
      <c r="Q19" s="46">
        <f>+(G19*1+H19*2+I19*3+J19*4)/E19</f>
        <v>0.44705882352941179</v>
      </c>
      <c r="R19" s="28">
        <f>+(F19+N19)/D19</f>
        <v>0.42857142857142855</v>
      </c>
      <c r="S19" s="58">
        <f>+R19+Q19</f>
        <v>0.87563025210084033</v>
      </c>
      <c r="T19" s="78">
        <f>O19/(D19-(F19+N19))</f>
        <v>0.21666666666666667</v>
      </c>
      <c r="U19" s="61">
        <f>RANK(R19,$R$4:$R$26)</f>
        <v>16</v>
      </c>
      <c r="V19" s="69">
        <f>RANK(S19,$S$4:$S$26)</f>
        <v>15</v>
      </c>
      <c r="X19" s="139">
        <f>+C19-'통산 성적(~''23)'!C19</f>
        <v>-4.1176470588235259E-2</v>
      </c>
      <c r="Y19" s="102">
        <f>+P19-'통산 성적(~''23)'!P19</f>
        <v>2.3809523809523808E-2</v>
      </c>
      <c r="Z19" s="103">
        <f>+Q19-'통산 성적(~''23)'!Q19</f>
        <v>6.4705882352941224E-2</v>
      </c>
      <c r="AA19" s="103">
        <f>+R19-'통산 성적(~''23)'!R19</f>
        <v>-2.1428571428571463E-2</v>
      </c>
      <c r="AB19" s="103">
        <f>+S19-'23년 시즌'!S19</f>
        <v>0.16199388846447671</v>
      </c>
      <c r="AD19">
        <f>+D19-'통산 성적(~''23)'!D22</f>
        <v>81</v>
      </c>
      <c r="AE19">
        <f>+E19-'통산 성적(~''23)'!E22</f>
        <v>66</v>
      </c>
      <c r="AG19">
        <f>+AB19*AD19</f>
        <v>13.121504965622613</v>
      </c>
      <c r="AH19">
        <f>+X19*AE19</f>
        <v>-2.7176470588235269</v>
      </c>
    </row>
    <row r="20" spans="1:34" ht="17.25" x14ac:dyDescent="0.3">
      <c r="A20" s="133" t="s">
        <v>156</v>
      </c>
      <c r="B20" s="1">
        <f>+'25년 시즌'!B20</f>
        <v>9</v>
      </c>
      <c r="C20" s="86">
        <f>+F20/E20</f>
        <v>0.29411764705882354</v>
      </c>
      <c r="D20" s="1">
        <f>+'25년 시즌'!D20</f>
        <v>20</v>
      </c>
      <c r="E20" s="1">
        <f>+'25년 시즌'!E20</f>
        <v>17</v>
      </c>
      <c r="F20" s="1">
        <f>+'25년 시즌'!F20</f>
        <v>5</v>
      </c>
      <c r="G20" s="1">
        <f>+'25년 시즌'!G20</f>
        <v>5</v>
      </c>
      <c r="H20" s="1">
        <f>+'25년 시즌'!H20</f>
        <v>0</v>
      </c>
      <c r="I20" s="1">
        <f>+'25년 시즌'!I20</f>
        <v>0</v>
      </c>
      <c r="J20" s="1">
        <f>+'25년 시즌'!J20</f>
        <v>0</v>
      </c>
      <c r="K20" s="1">
        <f>+'25년 시즌'!K20</f>
        <v>4</v>
      </c>
      <c r="L20" s="1">
        <f>+'25년 시즌'!L20</f>
        <v>2</v>
      </c>
      <c r="M20" s="1">
        <f>+'25년 시즌'!M20</f>
        <v>3</v>
      </c>
      <c r="N20" s="1">
        <f>+'25년 시즌'!N20</f>
        <v>2</v>
      </c>
      <c r="O20" s="1">
        <f>+'25년 시즌'!O20</f>
        <v>2</v>
      </c>
      <c r="P20" s="136">
        <f>+O20/D20</f>
        <v>0.1</v>
      </c>
      <c r="Q20" s="46">
        <f>+(G20*1+H20*2+I20*3+J20*4)/E20</f>
        <v>0.29411764705882354</v>
      </c>
      <c r="R20" s="28">
        <f>+(F20+N20)/D20</f>
        <v>0.35</v>
      </c>
      <c r="S20" s="58">
        <f>+R20+Q20</f>
        <v>0.64411764705882346</v>
      </c>
      <c r="T20" s="78">
        <f>O20/(D20-(F20+N20))</f>
        <v>0.15384615384615385</v>
      </c>
      <c r="U20" s="61">
        <f>RANK(R20,$R$4:$R$26)</f>
        <v>22</v>
      </c>
      <c r="V20" s="69">
        <f>RANK(S20,$S$4:$S$26)</f>
        <v>21</v>
      </c>
      <c r="X20" s="139"/>
      <c r="Y20" s="102"/>
      <c r="Z20" s="103"/>
      <c r="AA20" s="103"/>
      <c r="AB20" s="103"/>
      <c r="AD20">
        <f>+D20-'통산 성적(~''23)'!D9</f>
        <v>-18</v>
      </c>
      <c r="AE20">
        <f>+E20-'통산 성적(~''23)'!E9</f>
        <v>-14</v>
      </c>
      <c r="AG20">
        <f>+AB20*AD20</f>
        <v>0</v>
      </c>
      <c r="AH20">
        <f>+X20*AE20</f>
        <v>0</v>
      </c>
    </row>
    <row r="21" spans="1:34" ht="17.25" x14ac:dyDescent="0.3">
      <c r="A21" s="133" t="s">
        <v>24</v>
      </c>
      <c r="B21" s="1">
        <f>+'22년 시즌'!B20+'23년 시즌'!B20+'24년 시즌'!B19+'25년 시즌'!B21</f>
        <v>49</v>
      </c>
      <c r="C21" s="86">
        <f>+F21/E21</f>
        <v>0.22500000000000001</v>
      </c>
      <c r="D21" s="1">
        <f>+'22년 시즌'!D20+'23년 시즌'!D20+'24년 시즌'!D19+'25년 시즌'!D21</f>
        <v>111</v>
      </c>
      <c r="E21" s="1">
        <f>+'22년 시즌'!E20+'23년 시즌'!E20+'24년 시즌'!E19+'25년 시즌'!E21</f>
        <v>80</v>
      </c>
      <c r="F21" s="1">
        <f>+'22년 시즌'!F20+'23년 시즌'!F20+'24년 시즌'!F19+'25년 시즌'!F21</f>
        <v>18</v>
      </c>
      <c r="G21" s="1">
        <f>+'22년 시즌'!G20+'23년 시즌'!G20+'24년 시즌'!G19+'25년 시즌'!G21</f>
        <v>12</v>
      </c>
      <c r="H21" s="1">
        <f>+'22년 시즌'!H20+'23년 시즌'!H20+'24년 시즌'!H19+'25년 시즌'!H21</f>
        <v>5</v>
      </c>
      <c r="I21" s="1">
        <f>+'22년 시즌'!I20+'23년 시즌'!I20+'24년 시즌'!I19+'25년 시즌'!I21</f>
        <v>1</v>
      </c>
      <c r="J21" s="1">
        <f>+'22년 시즌'!J20+'23년 시즌'!J20+'24년 시즌'!J19+'25년 시즌'!J21</f>
        <v>0</v>
      </c>
      <c r="K21" s="1">
        <f>+'22년 시즌'!K20+'23년 시즌'!K20+'24년 시즌'!K19+'25년 시즌'!K21</f>
        <v>30</v>
      </c>
      <c r="L21" s="1">
        <f>+'22년 시즌'!L20+'23년 시즌'!L20+'24년 시즌'!L19+'25년 시즌'!L21</f>
        <v>27</v>
      </c>
      <c r="M21" s="1">
        <f>+'22년 시즌'!M20+'23년 시즌'!M20+'24년 시즌'!M19+'25년 시즌'!M21</f>
        <v>28</v>
      </c>
      <c r="N21" s="1">
        <f>+'22년 시즌'!N20+'23년 시즌'!N20+'24년 시즌'!N19+'25년 시즌'!N21</f>
        <v>28</v>
      </c>
      <c r="O21" s="1">
        <f>+'22년 시즌'!O20+'23년 시즌'!O20+'24년 시즌'!O19+'25년 시즌'!O21</f>
        <v>24</v>
      </c>
      <c r="P21" s="136">
        <f>+O21/D21</f>
        <v>0.21621621621621623</v>
      </c>
      <c r="Q21" s="46">
        <f>+(G21*1+H21*2+I21*3+J21*4)/E21</f>
        <v>0.3125</v>
      </c>
      <c r="R21" s="28">
        <f>+(F21+N21)/D21</f>
        <v>0.4144144144144144</v>
      </c>
      <c r="S21" s="58">
        <f>+R21+Q21</f>
        <v>0.7269144144144144</v>
      </c>
      <c r="T21" s="78">
        <f>O21/(D21-(F21+N21))</f>
        <v>0.36923076923076925</v>
      </c>
      <c r="U21" s="61">
        <f>RANK(R21,$R$4:$R$26)</f>
        <v>20</v>
      </c>
      <c r="V21" s="69">
        <f>RANK(S21,$S$4:$S$26)</f>
        <v>19</v>
      </c>
      <c r="X21" s="139">
        <f>+C21-'통산 성적(~''23)'!C20</f>
        <v>3.0555555555555558E-2</v>
      </c>
      <c r="Y21" s="102">
        <f>+P21-'통산 성적(~''23)'!P20</f>
        <v>-0.14548591144335826</v>
      </c>
      <c r="Z21" s="103">
        <f>+Q21-'통산 성적(~''23)'!Q20</f>
        <v>6.25E-2</v>
      </c>
      <c r="AA21" s="103">
        <f>+R21-'통산 성적(~''23)'!R20</f>
        <v>3.1435691010159084E-2</v>
      </c>
      <c r="AB21" s="103">
        <f>+S21-'23년 시즌'!S20</f>
        <v>0.28684873296942259</v>
      </c>
      <c r="AD21">
        <f>+D21-'통산 성적(~''23)'!D23</f>
        <v>49</v>
      </c>
      <c r="AE21">
        <f>+E21-'통산 성적(~''23)'!E23</f>
        <v>28</v>
      </c>
      <c r="AG21">
        <f>+AB21*AD21</f>
        <v>14.055587915501707</v>
      </c>
      <c r="AH21">
        <f>+X21*AE21</f>
        <v>0.85555555555555562</v>
      </c>
    </row>
    <row r="22" spans="1:34" ht="17.25" x14ac:dyDescent="0.3">
      <c r="A22" s="133" t="s">
        <v>14</v>
      </c>
      <c r="B22" s="1">
        <f>+'22년 시즌'!B21+'23년 시즌'!B21+'24년 시즌'!B20+'25년 시즌'!B22</f>
        <v>62</v>
      </c>
      <c r="C22" s="86">
        <f>+F22/E22</f>
        <v>0.4609375</v>
      </c>
      <c r="D22" s="1">
        <f>+'22년 시즌'!D21+'23년 시즌'!D21+'24년 시즌'!D20+'25년 시즌'!D22</f>
        <v>150</v>
      </c>
      <c r="E22" s="1">
        <f>+'22년 시즌'!E21+'23년 시즌'!E21+'24년 시즌'!E20+'25년 시즌'!E22</f>
        <v>128</v>
      </c>
      <c r="F22" s="1">
        <f>+'22년 시즌'!F21+'23년 시즌'!F21+'24년 시즌'!F20+'25년 시즌'!F22</f>
        <v>59</v>
      </c>
      <c r="G22" s="1">
        <f>+'22년 시즌'!G21+'23년 시즌'!G21+'24년 시즌'!G20+'25년 시즌'!G22</f>
        <v>44</v>
      </c>
      <c r="H22" s="1">
        <f>+'22년 시즌'!H21+'23년 시즌'!H21+'24년 시즌'!H20+'25년 시즌'!H22</f>
        <v>13</v>
      </c>
      <c r="I22" s="1">
        <f>+'22년 시즌'!I21+'23년 시즌'!I21+'24년 시즌'!I20+'25년 시즌'!I22</f>
        <v>0</v>
      </c>
      <c r="J22" s="1">
        <f>+'22년 시즌'!J21+'23년 시즌'!J21+'24년 시즌'!J20+'25년 시즌'!J22</f>
        <v>2</v>
      </c>
      <c r="K22" s="1">
        <f>+'22년 시즌'!K21+'23년 시즌'!K21+'24년 시즌'!K20+'25년 시즌'!K22</f>
        <v>51</v>
      </c>
      <c r="L22" s="1">
        <f>+'22년 시즌'!L21+'23년 시즌'!L21+'24년 시즌'!L20+'25년 시즌'!L22</f>
        <v>47</v>
      </c>
      <c r="M22" s="1">
        <f>+'22년 시즌'!M21+'23년 시즌'!M21+'24년 시즌'!M20+'25년 시즌'!M22</f>
        <v>26</v>
      </c>
      <c r="N22" s="1">
        <f>+'22년 시즌'!N21+'23년 시즌'!N21+'24년 시즌'!N20+'25년 시즌'!N22</f>
        <v>22</v>
      </c>
      <c r="O22" s="1">
        <f>+'22년 시즌'!O21+'23년 시즌'!O21+'24년 시즌'!O20+'25년 시즌'!O22</f>
        <v>19</v>
      </c>
      <c r="P22" s="136">
        <f>+O22/D22</f>
        <v>0.12666666666666668</v>
      </c>
      <c r="Q22" s="46">
        <f>+(G22*1+H22*2+I22*3+J22*4)/E22</f>
        <v>0.609375</v>
      </c>
      <c r="R22" s="28">
        <f>+(F22+N22)/D22</f>
        <v>0.54</v>
      </c>
      <c r="S22" s="58">
        <f>+R22+Q22</f>
        <v>1.149375</v>
      </c>
      <c r="T22" s="78">
        <f>O22/(D22-(F22+N22))</f>
        <v>0.27536231884057971</v>
      </c>
      <c r="U22" s="61">
        <f>RANK(R22,$R$4:$R$26)</f>
        <v>4</v>
      </c>
      <c r="V22" s="69">
        <f>RANK(S22,$S$4:$S$26)</f>
        <v>6</v>
      </c>
      <c r="X22" s="139">
        <f>+C22-'통산 성적(~''23)'!C21</f>
        <v>3.2366071428571452E-2</v>
      </c>
      <c r="Y22" s="102">
        <f>+P22-'통산 성적(~''23)'!P21</f>
        <v>-1.4178403755868541E-2</v>
      </c>
      <c r="Z22" s="103">
        <f>+Q22-'통산 성적(~''23)'!Q21</f>
        <v>6.9692460317460347E-2</v>
      </c>
      <c r="AA22" s="103">
        <f>+R22-'통산 성적(~''23)'!R21</f>
        <v>4.7042253521126787E-2</v>
      </c>
      <c r="AB22" s="103">
        <f>+S22-'23년 시즌'!S21</f>
        <v>0.21755681818181816</v>
      </c>
      <c r="AD22">
        <f>+D22-'통산 성적(~''23)'!D4</f>
        <v>149</v>
      </c>
      <c r="AE22">
        <f>+E22-'통산 성적(~''23)'!E4</f>
        <v>127</v>
      </c>
      <c r="AG22">
        <f>+AB22*AD22</f>
        <v>32.415965909090907</v>
      </c>
      <c r="AH22">
        <f>+X22*AE22</f>
        <v>4.1104910714285747</v>
      </c>
    </row>
    <row r="23" spans="1:34" ht="17.25" x14ac:dyDescent="0.3">
      <c r="A23" s="133" t="s">
        <v>47</v>
      </c>
      <c r="B23" s="1">
        <f>+'22년 시즌'!B22+'23년 시즌'!B22+'24년 시즌'!B21+'25년 시즌'!B23</f>
        <v>40</v>
      </c>
      <c r="C23" s="86">
        <f>+F23/E23</f>
        <v>0.31818181818181818</v>
      </c>
      <c r="D23" s="1">
        <f>+'22년 시즌'!D22+'23년 시즌'!D22+'24년 시즌'!D21+'25년 시즌'!D23</f>
        <v>89</v>
      </c>
      <c r="E23" s="1">
        <f>+'22년 시즌'!E22+'23년 시즌'!E22+'24년 시즌'!E21+'25년 시즌'!E23</f>
        <v>66</v>
      </c>
      <c r="F23" s="1">
        <f>+'22년 시즌'!F22+'23년 시즌'!F22+'24년 시즌'!F21+'25년 시즌'!F23</f>
        <v>21</v>
      </c>
      <c r="G23" s="1">
        <f>+'22년 시즌'!G22+'23년 시즌'!G22+'24년 시즌'!G21+'25년 시즌'!G23</f>
        <v>16</v>
      </c>
      <c r="H23" s="1">
        <f>+'22년 시즌'!H22+'23년 시즌'!H22+'24년 시즌'!H21+'25년 시즌'!H23</f>
        <v>5</v>
      </c>
      <c r="I23" s="1">
        <f>+'22년 시즌'!I22+'23년 시즌'!I22+'24년 시즌'!I21+'25년 시즌'!I23</f>
        <v>0</v>
      </c>
      <c r="J23" s="1">
        <f>+'22년 시즌'!J22+'23년 시즌'!J22+'24년 시즌'!J21+'25년 시즌'!J23</f>
        <v>0</v>
      </c>
      <c r="K23" s="1">
        <f>+'22년 시즌'!K22+'23년 시즌'!K22+'24년 시즌'!K21+'25년 시즌'!K23</f>
        <v>24</v>
      </c>
      <c r="L23" s="1">
        <f>+'22년 시즌'!L22+'23년 시즌'!L22+'24년 시즌'!L21+'25년 시즌'!L23</f>
        <v>17</v>
      </c>
      <c r="M23" s="1">
        <f>+'22년 시즌'!M22+'23년 시즌'!M22+'24년 시즌'!M21+'25년 시즌'!M23</f>
        <v>17</v>
      </c>
      <c r="N23" s="1">
        <f>+'22년 시즌'!N22+'23년 시즌'!N22+'24년 시즌'!N21+'25년 시즌'!N23</f>
        <v>21</v>
      </c>
      <c r="O23" s="1">
        <f>+'22년 시즌'!O22+'23년 시즌'!O22+'24년 시즌'!O21+'25년 시즌'!O23</f>
        <v>22</v>
      </c>
      <c r="P23" s="136">
        <f>+O23/D23</f>
        <v>0.24719101123595505</v>
      </c>
      <c r="Q23" s="46">
        <f>+(G23*1+H23*2+I23*3+J23*4)/E23</f>
        <v>0.39393939393939392</v>
      </c>
      <c r="R23" s="28">
        <f>+(F23+N23)/D23</f>
        <v>0.47191011235955055</v>
      </c>
      <c r="S23" s="58">
        <f>+R23+Q23</f>
        <v>0.86584950629894442</v>
      </c>
      <c r="T23" s="78">
        <f>O23/(D23-(F23+N23))</f>
        <v>0.46808510638297873</v>
      </c>
      <c r="U23" s="61">
        <f>RANK(R23,$R$4:$R$26)</f>
        <v>11</v>
      </c>
      <c r="V23" s="69">
        <f>RANK(S23,$S$4:$S$26)</f>
        <v>16</v>
      </c>
      <c r="X23" s="139">
        <f>+C23-'통산 성적(~''23)'!C22</f>
        <v>2.392344497607668E-3</v>
      </c>
      <c r="Y23" s="102">
        <f>+P23-'통산 성적(~''23)'!P22</f>
        <v>3.8857677902621707E-2</v>
      </c>
      <c r="Z23" s="103">
        <f>+Q23-'통산 성적(~''23)'!Q22</f>
        <v>7.8149920255183414E-2</v>
      </c>
      <c r="AA23" s="103">
        <f>+R23-'통산 성적(~''23)'!R22</f>
        <v>5.5243445692883864E-2</v>
      </c>
      <c r="AB23" s="103">
        <f>+S23-'23년 시즌'!S22</f>
        <v>0.14362728407672221</v>
      </c>
      <c r="AD23">
        <f>+D23-'통산 성적(~''23)'!D17</f>
        <v>77</v>
      </c>
      <c r="AE23">
        <f>+E23-'통산 성적(~''23)'!E17</f>
        <v>56</v>
      </c>
      <c r="AG23">
        <f>+AB23*AD23</f>
        <v>11.05930087390761</v>
      </c>
      <c r="AH23">
        <f>+X23*AE23</f>
        <v>0.13397129186602941</v>
      </c>
    </row>
    <row r="24" spans="1:34" ht="17.25" x14ac:dyDescent="0.3">
      <c r="A24" s="133" t="s">
        <v>22</v>
      </c>
      <c r="B24" s="1">
        <f>+'22년 시즌'!B23+'23년 시즌'!B23+'24년 시즌'!B22+'25년 시즌'!B24</f>
        <v>52</v>
      </c>
      <c r="C24" s="86">
        <f>+F24/E24</f>
        <v>0.32038834951456313</v>
      </c>
      <c r="D24" s="1">
        <f>+'22년 시즌'!D23+'23년 시즌'!D23+'24년 시즌'!D22+'25년 시즌'!D24</f>
        <v>131</v>
      </c>
      <c r="E24" s="1">
        <f>+'22년 시즌'!E23+'23년 시즌'!E23+'24년 시즌'!E22+'25년 시즌'!E24</f>
        <v>103</v>
      </c>
      <c r="F24" s="1">
        <f>+'22년 시즌'!F23+'23년 시즌'!F23+'24년 시즌'!F22+'25년 시즌'!F24</f>
        <v>33</v>
      </c>
      <c r="G24" s="1">
        <f>+'22년 시즌'!G23+'23년 시즌'!G23+'24년 시즌'!G22+'25년 시즌'!G24</f>
        <v>21</v>
      </c>
      <c r="H24" s="1">
        <f>+'22년 시즌'!H23+'23년 시즌'!H23+'24년 시즌'!H22+'25년 시즌'!H24</f>
        <v>10</v>
      </c>
      <c r="I24" s="1">
        <f>+'22년 시즌'!I23+'23년 시즌'!I23+'24년 시즌'!I22+'25년 시즌'!I24</f>
        <v>2</v>
      </c>
      <c r="J24" s="1">
        <f>+'22년 시즌'!J23+'23년 시즌'!J23+'24년 시즌'!J22+'25년 시즌'!J24</f>
        <v>0</v>
      </c>
      <c r="K24" s="1">
        <f>+'22년 시즌'!K23+'23년 시즌'!K23+'24년 시즌'!K22+'25년 시즌'!K24</f>
        <v>31</v>
      </c>
      <c r="L24" s="1">
        <f>+'22년 시즌'!L23+'23년 시즌'!L23+'24년 시즌'!L22+'25년 시즌'!L24</f>
        <v>26</v>
      </c>
      <c r="M24" s="1">
        <f>+'22년 시즌'!M23+'23년 시즌'!M23+'24년 시즌'!M22+'25년 시즌'!M24</f>
        <v>18</v>
      </c>
      <c r="N24" s="1">
        <f>+'22년 시즌'!N23+'23년 시즌'!N23+'24년 시즌'!N22+'25년 시즌'!N24</f>
        <v>27</v>
      </c>
      <c r="O24" s="1">
        <f>+'22년 시즌'!O23+'23년 시즌'!O23+'24년 시즌'!O22+'25년 시즌'!O24</f>
        <v>26</v>
      </c>
      <c r="P24" s="136">
        <f>+O24/D24</f>
        <v>0.19847328244274809</v>
      </c>
      <c r="Q24" s="46">
        <f>+(G24*1+H24*2+I24*3+J24*4)/E24</f>
        <v>0.4563106796116505</v>
      </c>
      <c r="R24" s="28">
        <f>+(F24+N24)/D24</f>
        <v>0.4580152671755725</v>
      </c>
      <c r="S24" s="58">
        <f>+R24+Q24</f>
        <v>0.91432594678722301</v>
      </c>
      <c r="T24" s="78">
        <f>O24/(D24-(F24+N24))</f>
        <v>0.36619718309859156</v>
      </c>
      <c r="U24" s="61">
        <f>RANK(R24,$R$4:$R$26)</f>
        <v>13</v>
      </c>
      <c r="V24" s="69">
        <f>RANK(S24,$S$4:$S$26)</f>
        <v>12</v>
      </c>
      <c r="X24" s="139">
        <f>+C24-'통산 성적(~''23)'!C23</f>
        <v>-4.4996265870052232E-2</v>
      </c>
      <c r="Y24" s="102">
        <f>+P24-'통산 성적(~''23)'!P23</f>
        <v>4.9248953459739009E-3</v>
      </c>
      <c r="Z24" s="103">
        <f>+Q24-'통산 성적(~''23)'!Q23</f>
        <v>-6.2920089619118769E-2</v>
      </c>
      <c r="AA24" s="103">
        <f>+R24-'통산 성적(~''23)'!R23</f>
        <v>-9.7266683082984362E-3</v>
      </c>
      <c r="AB24" s="103">
        <f>+S24-'23년 시즌'!S23</f>
        <v>0.15993998187494241</v>
      </c>
      <c r="AD24">
        <f>+D24-'통산 성적(~''23)'!D12</f>
        <v>122</v>
      </c>
      <c r="AE24">
        <f>+E24-'통산 성적(~''23)'!E12</f>
        <v>97</v>
      </c>
      <c r="AG24">
        <f>+AB24*AD24</f>
        <v>19.512677788742973</v>
      </c>
      <c r="AH24">
        <f>+X24*AE24</f>
        <v>-4.3646377893950667</v>
      </c>
    </row>
    <row r="25" spans="1:34" ht="17.25" x14ac:dyDescent="0.3">
      <c r="A25" s="133" t="s">
        <v>153</v>
      </c>
      <c r="B25" s="1">
        <f>+'25년 시즌'!B25</f>
        <v>1</v>
      </c>
      <c r="C25" s="86">
        <f>+F25/E25</f>
        <v>0</v>
      </c>
      <c r="D25" s="1">
        <f>+'25년 시즌'!D25</f>
        <v>2</v>
      </c>
      <c r="E25" s="1">
        <f>+'25년 시즌'!E25</f>
        <v>2</v>
      </c>
      <c r="F25" s="1">
        <f>+'25년 시즌'!F25</f>
        <v>0</v>
      </c>
      <c r="G25" s="1">
        <f>+'25년 시즌'!G25</f>
        <v>0</v>
      </c>
      <c r="H25" s="1">
        <f>+'25년 시즌'!H25</f>
        <v>0</v>
      </c>
      <c r="I25" s="1">
        <f>+'25년 시즌'!I25</f>
        <v>0</v>
      </c>
      <c r="J25" s="1">
        <f>+'25년 시즌'!J25</f>
        <v>0</v>
      </c>
      <c r="K25" s="1">
        <f>+'25년 시즌'!K25</f>
        <v>0</v>
      </c>
      <c r="L25" s="1">
        <f>+'25년 시즌'!L25</f>
        <v>0</v>
      </c>
      <c r="M25" s="1">
        <f>+'25년 시즌'!M25</f>
        <v>0</v>
      </c>
      <c r="N25" s="1">
        <f>+'25년 시즌'!N25</f>
        <v>0</v>
      </c>
      <c r="O25" s="1">
        <f>+'25년 시즌'!O25</f>
        <v>1</v>
      </c>
      <c r="P25" s="136">
        <f>+O25/D25</f>
        <v>0.5</v>
      </c>
      <c r="Q25" s="46">
        <f>+(G25*1+H25*2+I25*3+J25*4)/E25</f>
        <v>0</v>
      </c>
      <c r="R25" s="28">
        <f>+(F25+N25)/D25</f>
        <v>0</v>
      </c>
      <c r="S25" s="58">
        <f>+R25+Q25</f>
        <v>0</v>
      </c>
      <c r="T25" s="78">
        <f>O25/(D25-(F25+N25))</f>
        <v>0.5</v>
      </c>
      <c r="U25" s="61">
        <f>RANK(R25,$R$4:$R$26)</f>
        <v>23</v>
      </c>
      <c r="V25" s="69">
        <f>RANK(S25,$S$4:$S$26)</f>
        <v>23</v>
      </c>
      <c r="X25" s="139"/>
      <c r="Y25" s="102"/>
      <c r="Z25" s="103"/>
      <c r="AA25" s="103"/>
      <c r="AB25" s="103"/>
      <c r="AD25">
        <f>+D25-'통산 성적(~''23)'!D5</f>
        <v>-32</v>
      </c>
      <c r="AE25">
        <f>+E25-'통산 성적(~''23)'!E5</f>
        <v>-15</v>
      </c>
      <c r="AG25">
        <f>+AB25*AD25</f>
        <v>0</v>
      </c>
      <c r="AH25">
        <f>+X25*AE25</f>
        <v>0</v>
      </c>
    </row>
    <row r="26" spans="1:34" ht="17.25" x14ac:dyDescent="0.3">
      <c r="A26" s="133" t="s">
        <v>54</v>
      </c>
      <c r="B26" s="1">
        <f>+'22년 시즌'!B24+'23년 시즌'!B24+'24년 시즌'!B23+'25년 시즌'!B26</f>
        <v>22</v>
      </c>
      <c r="C26" s="86">
        <f>+F26/E26</f>
        <v>0.22222222222222221</v>
      </c>
      <c r="D26" s="1">
        <f>+'22년 시즌'!D24+'23년 시즌'!D24+'24년 시즌'!D23+'25년 시즌'!D26</f>
        <v>56</v>
      </c>
      <c r="E26" s="1">
        <f>+'22년 시즌'!E24+'23년 시즌'!E24+'24년 시즌'!E23+'25년 시즌'!E26</f>
        <v>36</v>
      </c>
      <c r="F26" s="1">
        <f>+'22년 시즌'!F24+'23년 시즌'!F24+'24년 시즌'!F23+'25년 시즌'!F26</f>
        <v>8</v>
      </c>
      <c r="G26" s="1">
        <f>+'22년 시즌'!G24+'23년 시즌'!G24+'24년 시즌'!G23+'25년 시즌'!G26</f>
        <v>8</v>
      </c>
      <c r="H26" s="1">
        <f>+'22년 시즌'!H24+'23년 시즌'!H24+'24년 시즌'!H23+'25년 시즌'!H26</f>
        <v>0</v>
      </c>
      <c r="I26" s="1">
        <f>+'22년 시즌'!I24+'23년 시즌'!I24+'24년 시즌'!I23+'25년 시즌'!I26</f>
        <v>0</v>
      </c>
      <c r="J26" s="1">
        <f>+'22년 시즌'!J24+'23년 시즌'!J24+'24년 시즌'!J23+'25년 시즌'!J26</f>
        <v>0</v>
      </c>
      <c r="K26" s="1">
        <f>+'22년 시즌'!K24+'23년 시즌'!K24+'24년 시즌'!K23+'25년 시즌'!K26</f>
        <v>16</v>
      </c>
      <c r="L26" s="1">
        <f>+'22년 시즌'!L24+'23년 시즌'!L24+'24년 시즌'!L23+'25년 시즌'!L26</f>
        <v>5</v>
      </c>
      <c r="M26" s="1">
        <f>+'22년 시즌'!M24+'23년 시즌'!M24+'24년 시즌'!M23+'25년 시즌'!M26</f>
        <v>6</v>
      </c>
      <c r="N26" s="1">
        <f>+'22년 시즌'!N24+'23년 시즌'!N24+'24년 시즌'!N23+'25년 시즌'!N26</f>
        <v>13</v>
      </c>
      <c r="O26" s="1">
        <f>+'22년 시즌'!O24+'23년 시즌'!O24+'24년 시즌'!O23+'25년 시즌'!O26</f>
        <v>9</v>
      </c>
      <c r="P26" s="136">
        <f>+O26/D26</f>
        <v>0.16071428571428573</v>
      </c>
      <c r="Q26" s="46">
        <f>+(G26*1+H26*2+I26*3+J26*4)/E26</f>
        <v>0.22222222222222221</v>
      </c>
      <c r="R26" s="28">
        <f>+(F26+N26)/D26</f>
        <v>0.375</v>
      </c>
      <c r="S26" s="58">
        <f>+R26+Q26</f>
        <v>0.59722222222222221</v>
      </c>
      <c r="T26" s="78">
        <f>O26/(D26-(F26+N26))</f>
        <v>0.25714285714285712</v>
      </c>
      <c r="U26" s="61">
        <f>RANK(R26,$R$4:$R$26)</f>
        <v>21</v>
      </c>
      <c r="V26" s="69">
        <f>RANK(S26,$S$4:$S$26)</f>
        <v>22</v>
      </c>
      <c r="X26" s="139">
        <f>+C26-'통산 성적(~''23)'!C24</f>
        <v>0.1313131313131313</v>
      </c>
      <c r="Y26" s="102">
        <f>+P26-'통산 성적(~''23)'!P24</f>
        <v>-2.6785714285714274E-2</v>
      </c>
      <c r="Z26" s="103">
        <f>+Q26-'통산 성적(~''23)'!Q24</f>
        <v>0.1313131313131313</v>
      </c>
      <c r="AA26" s="103">
        <f>+R26-'통산 성적(~''23)'!R24</f>
        <v>0.1875</v>
      </c>
      <c r="AB26" s="103">
        <f>+S26-'23년 시즌'!S24</f>
        <v>0.31881313131313127</v>
      </c>
      <c r="AD26">
        <f>+D26-'통산 성적(~''23)'!D18</f>
        <v>19</v>
      </c>
      <c r="AE26">
        <f>+E26-'통산 성적(~''23)'!E18</f>
        <v>5</v>
      </c>
      <c r="AG26">
        <f>+AB26*AD26</f>
        <v>6.0574494949494939</v>
      </c>
      <c r="AH26">
        <f>+X26*AE26</f>
        <v>0.65656565656565646</v>
      </c>
    </row>
    <row r="27" spans="1:34" ht="17.25" x14ac:dyDescent="0.3">
      <c r="A27" s="11" t="s">
        <v>10</v>
      </c>
      <c r="B27" s="27"/>
      <c r="C27" s="26">
        <f t="shared" ref="C27" si="0">+F27/E27</f>
        <v>0.39326453014665941</v>
      </c>
      <c r="D27" s="27">
        <f t="shared" ref="D27:O27" si="1">SUM(D4:D26)</f>
        <v>2318</v>
      </c>
      <c r="E27" s="27">
        <f t="shared" si="1"/>
        <v>1841</v>
      </c>
      <c r="F27" s="27">
        <f t="shared" si="1"/>
        <v>724</v>
      </c>
      <c r="G27" s="27">
        <f t="shared" si="1"/>
        <v>531</v>
      </c>
      <c r="H27" s="27">
        <f t="shared" si="1"/>
        <v>148</v>
      </c>
      <c r="I27" s="27">
        <f t="shared" si="1"/>
        <v>35</v>
      </c>
      <c r="J27" s="27">
        <f t="shared" si="1"/>
        <v>12</v>
      </c>
      <c r="K27" s="27">
        <f t="shared" si="1"/>
        <v>735</v>
      </c>
      <c r="L27" s="27">
        <f t="shared" si="1"/>
        <v>608</v>
      </c>
      <c r="M27" s="27">
        <f t="shared" si="1"/>
        <v>538</v>
      </c>
      <c r="N27" s="27">
        <f t="shared" si="1"/>
        <v>426</v>
      </c>
      <c r="O27" s="27">
        <f t="shared" si="1"/>
        <v>355</v>
      </c>
      <c r="P27" s="29">
        <f t="shared" ref="P27" si="2">+O27/D27</f>
        <v>0.15314926660914582</v>
      </c>
      <c r="Q27" s="26">
        <f t="shared" ref="Q27" si="3">+(G27*1+H27*2+I27*3+J27*4)/E27</f>
        <v>0.53231939163498099</v>
      </c>
      <c r="R27" s="26">
        <f t="shared" ref="R27" si="4">+(F27+N27)/D27</f>
        <v>0.49611734253666956</v>
      </c>
      <c r="S27" s="68">
        <f t="shared" ref="S27" si="5">+R27+Q27</f>
        <v>1.0284367341716505</v>
      </c>
      <c r="T27" s="68"/>
      <c r="U27" s="68"/>
      <c r="V27" s="68"/>
      <c r="X27" s="139">
        <f>+C27-'통산 성적(~''23)'!C25</f>
        <v>1.3634900517029758E-2</v>
      </c>
      <c r="Y27" s="102">
        <f>+P27-'통산 성적(~''23)'!P8</f>
        <v>-3.3517400057520852E-2</v>
      </c>
      <c r="Z27" s="103">
        <f>+Q27-'통산 성적(~''23)'!Q8</f>
        <v>-1.7680608365019057E-2</v>
      </c>
      <c r="AA27" s="103">
        <f>+R27-'통산 성적(~''23)'!R8</f>
        <v>1.6117342536669577E-2</v>
      </c>
      <c r="AB27" s="103">
        <f>+S27-'23년 시즌'!S8</f>
        <v>3.1738620964103292E-2</v>
      </c>
    </row>
    <row r="29" spans="1:34" ht="17.25" x14ac:dyDescent="0.3">
      <c r="A29" s="4" t="s">
        <v>3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32"/>
      <c r="U29" s="5"/>
      <c r="V29" s="5"/>
    </row>
    <row r="30" spans="1:34" ht="34.5" x14ac:dyDescent="0.3">
      <c r="A30" s="10" t="s">
        <v>27</v>
      </c>
      <c r="B30" s="10" t="s">
        <v>46</v>
      </c>
      <c r="C30" s="10" t="s">
        <v>55</v>
      </c>
      <c r="D30" s="10" t="s">
        <v>41</v>
      </c>
      <c r="E30" s="10" t="s">
        <v>48</v>
      </c>
      <c r="F30" s="10" t="s">
        <v>45</v>
      </c>
      <c r="G30" s="10" t="s">
        <v>38</v>
      </c>
      <c r="H30" s="10" t="s">
        <v>5</v>
      </c>
      <c r="I30" s="10" t="s">
        <v>17</v>
      </c>
      <c r="J30" s="10" t="s">
        <v>26</v>
      </c>
      <c r="K30" s="10" t="s">
        <v>30</v>
      </c>
      <c r="L30" s="10" t="s">
        <v>11</v>
      </c>
      <c r="M30" s="10" t="s">
        <v>6</v>
      </c>
      <c r="N30" s="10" t="s">
        <v>42</v>
      </c>
      <c r="O30" s="10" t="s">
        <v>35</v>
      </c>
      <c r="P30" s="10" t="s">
        <v>49</v>
      </c>
      <c r="Q30" s="10" t="s">
        <v>244</v>
      </c>
      <c r="R30" s="10" t="s">
        <v>66</v>
      </c>
      <c r="S30" s="10" t="s">
        <v>67</v>
      </c>
      <c r="T30" s="10" t="s">
        <v>70</v>
      </c>
      <c r="U30" s="10" t="s">
        <v>69</v>
      </c>
      <c r="V30" s="10" t="s">
        <v>68</v>
      </c>
      <c r="X30" s="10" t="s">
        <v>105</v>
      </c>
      <c r="Y30" s="10" t="s">
        <v>106</v>
      </c>
      <c r="Z30" s="10" t="s">
        <v>109</v>
      </c>
      <c r="AA30" s="10" t="s">
        <v>110</v>
      </c>
      <c r="AB30" s="10" t="s">
        <v>107</v>
      </c>
    </row>
    <row r="31" spans="1:34" ht="17.25" x14ac:dyDescent="0.3">
      <c r="A31" s="9" t="s">
        <v>59</v>
      </c>
      <c r="B31" s="1">
        <f>+'22년 시즌'!B29+'23년 시즌'!B29+'24년 시즌'!B28+'25년 시즌'!B31</f>
        <v>26</v>
      </c>
      <c r="C31" s="1">
        <f>+'22년 시즌'!C29+'23년 시즌'!C29+'24년 시즌'!C28+'25년 시즌'!C31</f>
        <v>4</v>
      </c>
      <c r="D31" s="1">
        <f>+'22년 시즌'!D29+'23년 시즌'!D29+'24년 시즌'!D28+'25년 시즌'!D31</f>
        <v>2</v>
      </c>
      <c r="E31" s="1">
        <f>+'22년 시즌'!E29+'23년 시즌'!E29+'24년 시즌'!E28+'25년 시즌'!E31</f>
        <v>0</v>
      </c>
      <c r="F31" s="1">
        <f>+'22년 시즌'!F29+'23년 시즌'!F29+'24년 시즌'!F28+'25년 시즌'!F31</f>
        <v>280</v>
      </c>
      <c r="G31" s="1">
        <f>+'22년 시즌'!G29+'23년 시즌'!G29+'24년 시즌'!G28+'25년 시즌'!G31</f>
        <v>189</v>
      </c>
      <c r="H31" s="6">
        <f>+'22년 시즌'!H29+'23년 시즌'!H29+'24년 시즌'!H28+'25년 시즌'!H31</f>
        <v>36.999659999329999</v>
      </c>
      <c r="I31" s="1">
        <f>+'22년 시즌'!I29+'23년 시즌'!I29+'24년 시즌'!I28+'25년 시즌'!I31</f>
        <v>71</v>
      </c>
      <c r="J31" s="1">
        <f>+'22년 시즌'!J29+'23년 시즌'!J29+'24년 시즌'!J28+'25년 시즌'!J31</f>
        <v>1</v>
      </c>
      <c r="K31" s="1">
        <f>+'22년 시즌'!K29+'23년 시즌'!K29+'24년 시즌'!K28+'25년 시즌'!K31</f>
        <v>76</v>
      </c>
      <c r="L31" s="1">
        <f>+'22년 시즌'!L29+'23년 시즌'!L29+'24년 시즌'!L28+'25년 시즌'!L31</f>
        <v>13</v>
      </c>
      <c r="M31" s="1">
        <f>+'22년 시즌'!M29+'23년 시즌'!M29+'24년 시즌'!M28+'25년 시즌'!M31</f>
        <v>28</v>
      </c>
      <c r="N31" s="1">
        <f>+'22년 시즌'!N29+'23년 시즌'!N29+'24년 시즌'!N28+'25년 시즌'!N31</f>
        <v>104</v>
      </c>
      <c r="O31" s="1">
        <f>+'22년 시즌'!O29+'23년 시즌'!O29+'24년 시즌'!O28+'25년 시즌'!O31</f>
        <v>73</v>
      </c>
      <c r="P31" s="3">
        <f>+O31*9/H31</f>
        <v>17.756919928774945</v>
      </c>
      <c r="Q31" s="38">
        <f>(K31+L31)/H31</f>
        <v>2.4054275093774278</v>
      </c>
      <c r="R31" s="39">
        <f>I31/H31</f>
        <v>1.9189365524246895</v>
      </c>
      <c r="S31" s="39">
        <f>H31/B31</f>
        <v>1.4230638461280769</v>
      </c>
      <c r="T31" s="40">
        <f>M31/H31</f>
        <v>0.75676371081537053</v>
      </c>
      <c r="U31" s="33">
        <f>O31/N31</f>
        <v>0.70192307692307687</v>
      </c>
      <c r="V31" s="38">
        <f>(I31+K31+L31)/H31</f>
        <v>4.3243640618021173</v>
      </c>
      <c r="X31" s="104"/>
      <c r="Y31" s="105"/>
      <c r="Z31" s="106"/>
      <c r="AA31" s="104"/>
      <c r="AB31" s="105"/>
    </row>
    <row r="32" spans="1:34" ht="17.25" x14ac:dyDescent="0.3">
      <c r="A32" s="148" t="s">
        <v>9</v>
      </c>
      <c r="B32" s="1">
        <f>+'22년 시즌'!B30+'23년 시즌'!B30+'24년 시즌'!B29+'25년 시즌'!B32</f>
        <v>9</v>
      </c>
      <c r="C32" s="1">
        <f>+'22년 시즌'!C30+'23년 시즌'!C30+'24년 시즌'!C29+'25년 시즌'!C32</f>
        <v>4</v>
      </c>
      <c r="D32" s="1">
        <f>+'22년 시즌'!D30+'23년 시즌'!D30+'24년 시즌'!D29+'25년 시즌'!D32</f>
        <v>2</v>
      </c>
      <c r="E32" s="1">
        <f>+'22년 시즌'!E30+'23년 시즌'!E30+'24년 시즌'!E29+'25년 시즌'!E32</f>
        <v>0</v>
      </c>
      <c r="F32" s="1">
        <f>+'22년 시즌'!F30+'23년 시즌'!F30+'24년 시즌'!F29+'25년 시즌'!F32</f>
        <v>119</v>
      </c>
      <c r="G32" s="1">
        <f>+'22년 시즌'!G30+'23년 시즌'!G30+'24년 시즌'!G29+'25년 시즌'!G32</f>
        <v>103</v>
      </c>
      <c r="H32" s="6">
        <f>+'22년 시즌'!H30+'23년 시즌'!H30+'24년 시즌'!H29+'25년 시즌'!H32</f>
        <v>25</v>
      </c>
      <c r="I32" s="1">
        <f>+'22년 시즌'!I30+'23년 시즌'!I30+'24년 시즌'!I29+'25년 시즌'!I32</f>
        <v>25</v>
      </c>
      <c r="J32" s="1">
        <f>+'22년 시즌'!J30+'23년 시즌'!J30+'24년 시즌'!J29+'25년 시즌'!J32</f>
        <v>0</v>
      </c>
      <c r="K32" s="1">
        <f>+'22년 시즌'!K30+'23년 시즌'!K30+'24년 시즌'!K29+'25년 시즌'!K32</f>
        <v>13</v>
      </c>
      <c r="L32" s="1">
        <f>+'22년 시즌'!L30+'23년 시즌'!L30+'24년 시즌'!L29+'25년 시즌'!L32</f>
        <v>2</v>
      </c>
      <c r="M32" s="1">
        <f>+'22년 시즌'!M30+'23년 시즌'!M30+'24년 시즌'!M29+'25년 시즌'!M32</f>
        <v>29</v>
      </c>
      <c r="N32" s="1">
        <f>+'22년 시즌'!N30+'23년 시즌'!N30+'24년 시즌'!N29+'25년 시즌'!N32</f>
        <v>24</v>
      </c>
      <c r="O32" s="1">
        <f>+'22년 시즌'!O30+'23년 시즌'!O30+'24년 시즌'!O29+'25년 시즌'!O32</f>
        <v>11</v>
      </c>
      <c r="P32" s="3">
        <v>0</v>
      </c>
      <c r="Q32" s="70" t="s">
        <v>87</v>
      </c>
      <c r="R32" s="71" t="s">
        <v>87</v>
      </c>
      <c r="S32" s="39">
        <f>H32/B32</f>
        <v>2.7777777777777777</v>
      </c>
      <c r="T32" s="72" t="s">
        <v>87</v>
      </c>
      <c r="U32" s="33"/>
      <c r="V32" s="73" t="s">
        <v>87</v>
      </c>
      <c r="X32" s="104">
        <f>+H32-'통산 성적(~''23)'!H36</f>
        <v>-29.999966662999995</v>
      </c>
      <c r="Y32" s="105" t="e">
        <f>+R32-'통산 성적(~''23)'!R36</f>
        <v>#VALUE!</v>
      </c>
      <c r="Z32" s="105">
        <f>+((K32+L32)/H32)-('통산 성적(~''23)'!K36+'통산 성적(~''23)'!L36)/'통산 성적(~''23)'!H36</f>
        <v>-1.3090920662436769</v>
      </c>
      <c r="AA32" s="104">
        <f>+(M32-'통산 성적(~''23)'!M36)/X32</f>
        <v>1.9000021113456798</v>
      </c>
      <c r="AB32" s="105" t="e">
        <f>+V32-'통산 성적(~''23)'!V36</f>
        <v>#VALUE!</v>
      </c>
    </row>
    <row r="33" spans="1:28" ht="17.25" x14ac:dyDescent="0.3">
      <c r="A33" s="148" t="s">
        <v>51</v>
      </c>
      <c r="B33" s="1">
        <f>+'22년 시즌'!B31+'23년 시즌'!B31+'24년 시즌'!B30+'25년 시즌'!B33</f>
        <v>24</v>
      </c>
      <c r="C33" s="1">
        <f>+'22년 시즌'!C31+'23년 시즌'!C31+'24년 시즌'!C30+'25년 시즌'!C33</f>
        <v>4</v>
      </c>
      <c r="D33" s="1">
        <f>+'22년 시즌'!D31+'23년 시즌'!D31+'24년 시즌'!D30+'25년 시즌'!D33</f>
        <v>8</v>
      </c>
      <c r="E33" s="1">
        <f>+'22년 시즌'!E31+'23년 시즌'!E31+'24년 시즌'!E30+'25년 시즌'!E33</f>
        <v>0</v>
      </c>
      <c r="F33" s="1">
        <f>+'22년 시즌'!F31+'23년 시즌'!F31+'24년 시즌'!F30+'25년 시즌'!F33</f>
        <v>298</v>
      </c>
      <c r="G33" s="1">
        <f>+'22년 시즌'!G31+'23년 시즌'!G31+'24년 시즌'!G30+'25년 시즌'!G33</f>
        <v>215</v>
      </c>
      <c r="H33" s="6">
        <f>+'22년 시즌'!H31+'23년 시즌'!H31+'24년 시즌'!H30+'25년 시즌'!H33</f>
        <v>35.666632996666664</v>
      </c>
      <c r="I33" s="1">
        <f>+'22년 시즌'!I31+'23년 시즌'!I31+'24년 시즌'!I30+'25년 시즌'!I33</f>
        <v>77</v>
      </c>
      <c r="J33" s="1">
        <f>+'22년 시즌'!J31+'23년 시즌'!J31+'24년 시즌'!J30+'25년 시즌'!J33</f>
        <v>4</v>
      </c>
      <c r="K33" s="1">
        <f>+'22년 시즌'!K31+'23년 시즌'!K31+'24년 시즌'!K30+'25년 시즌'!K33</f>
        <v>69</v>
      </c>
      <c r="L33" s="1">
        <f>+'22년 시즌'!L31+'23년 시즌'!L31+'24년 시즌'!L30+'25년 시즌'!L33</f>
        <v>12</v>
      </c>
      <c r="M33" s="1">
        <f>+'22년 시즌'!M31+'23년 시즌'!M31+'24년 시즌'!M30+'25년 시즌'!M33</f>
        <v>42</v>
      </c>
      <c r="N33" s="1">
        <f>+'22년 시즌'!N31+'23년 시즌'!N31+'24년 시즌'!N30+'25년 시즌'!N33</f>
        <v>130</v>
      </c>
      <c r="O33" s="1">
        <f>+'22년 시즌'!O31+'23년 시즌'!O31+'24년 시즌'!O30+'25년 시즌'!O33</f>
        <v>78</v>
      </c>
      <c r="P33" s="3">
        <f>+O33*9/H33</f>
        <v>19.682261571077024</v>
      </c>
      <c r="Q33" s="38">
        <f>(K33+L33)/H33</f>
        <v>2.271030181278118</v>
      </c>
      <c r="R33" s="39">
        <f>I33/H33</f>
        <v>2.1588805426964828</v>
      </c>
      <c r="S33" s="39">
        <f>H33/B33</f>
        <v>1.4861097081944443</v>
      </c>
      <c r="T33" s="40">
        <f>M33/H33</f>
        <v>1.1775712051071723</v>
      </c>
      <c r="U33" s="33">
        <f>O33/N33</f>
        <v>0.6</v>
      </c>
      <c r="V33" s="38">
        <f>(I33+K33+L33)/H33</f>
        <v>4.4299107239746007</v>
      </c>
      <c r="X33" s="104" t="s">
        <v>108</v>
      </c>
      <c r="Y33" s="105">
        <f>+R33-'통산 성적(~''23)'!R31</f>
        <v>-0.37958099576505555</v>
      </c>
      <c r="Z33" s="138">
        <f>+(K33+L33)-('통산 성적(~''23)'!K31+'통산 성적(~''23)'!L31)</f>
        <v>53</v>
      </c>
      <c r="AA33" s="129">
        <f>+M33-'통산 성적(~''23)'!M31</f>
        <v>31</v>
      </c>
      <c r="AB33" s="105">
        <f>+V33-'통산 성적(~''23)'!V31</f>
        <v>-0.26239696833309178</v>
      </c>
    </row>
    <row r="34" spans="1:28" ht="17.25" x14ac:dyDescent="0.3">
      <c r="A34" s="148" t="s">
        <v>15</v>
      </c>
      <c r="B34" s="1">
        <f>+'22년 시즌'!B32+'23년 시즌'!B32+'24년 시즌'!B31+'25년 시즌'!B34</f>
        <v>42</v>
      </c>
      <c r="C34" s="1">
        <f>+'22년 시즌'!C32+'23년 시즌'!C32+'24년 시즌'!C31+'25년 시즌'!C34</f>
        <v>13</v>
      </c>
      <c r="D34" s="1">
        <f>+'22년 시즌'!D32+'23년 시즌'!D32+'24년 시즌'!D31+'25년 시즌'!D34</f>
        <v>8</v>
      </c>
      <c r="E34" s="1">
        <f>+'22년 시즌'!E32+'23년 시즌'!E32+'24년 시즌'!E31+'25년 시즌'!E34</f>
        <v>2</v>
      </c>
      <c r="F34" s="1">
        <f>+'22년 시즌'!F32+'23년 시즌'!F32+'24년 시즌'!F31+'25년 시즌'!F34</f>
        <v>569</v>
      </c>
      <c r="G34" s="1">
        <f>+'22년 시즌'!G32+'23년 시즌'!G32+'24년 시즌'!G31+'25년 시즌'!G34</f>
        <v>467</v>
      </c>
      <c r="H34" s="6">
        <f>+'22년 시즌'!H32+'23년 시즌'!H32+'24년 시즌'!H31+'25년 시즌'!H34</f>
        <v>99.999933233329998</v>
      </c>
      <c r="I34" s="1">
        <f>+'22년 시즌'!I32+'23년 시즌'!I32+'24년 시즌'!I31+'25년 시즌'!I34</f>
        <v>141</v>
      </c>
      <c r="J34" s="1">
        <f>+'22년 시즌'!J32+'23년 시즌'!J32+'24년 시즌'!J31+'25년 시즌'!J34</f>
        <v>2</v>
      </c>
      <c r="K34" s="1">
        <f>+'22년 시즌'!K32+'23년 시즌'!K32+'24년 시즌'!K31+'25년 시즌'!K34</f>
        <v>89</v>
      </c>
      <c r="L34" s="1">
        <f>+'22년 시즌'!L32+'23년 시즌'!L32+'24년 시즌'!L31+'25년 시즌'!L34</f>
        <v>18</v>
      </c>
      <c r="M34" s="1">
        <f>+'22년 시즌'!M32+'23년 시즌'!M32+'24년 시즌'!M31+'25년 시즌'!M34</f>
        <v>132</v>
      </c>
      <c r="N34" s="1">
        <f>+'22년 시즌'!N32+'23년 시즌'!N32+'24년 시즌'!N31+'25년 시즌'!N34</f>
        <v>151</v>
      </c>
      <c r="O34" s="1">
        <f>+'22년 시즌'!O32+'23년 시즌'!O32+'24년 시즌'!O31+'25년 시즌'!O34</f>
        <v>95</v>
      </c>
      <c r="P34" s="3">
        <f>+O34*9/H34</f>
        <v>8.5500057085540959</v>
      </c>
      <c r="Q34" s="38">
        <f>(K34+L34)/H34</f>
        <v>1.0700007144038459</v>
      </c>
      <c r="R34" s="39">
        <f>I34/H34</f>
        <v>1.4100009414106756</v>
      </c>
      <c r="S34" s="39">
        <f>H34/B34</f>
        <v>2.3809507912697621</v>
      </c>
      <c r="T34" s="40">
        <f>M34/H34</f>
        <v>1.3200008813206325</v>
      </c>
      <c r="U34" s="33">
        <f>O34/N34</f>
        <v>0.62913907284768211</v>
      </c>
      <c r="V34" s="38">
        <f>(I34+K34+L34)/H34</f>
        <v>2.4800016558145215</v>
      </c>
      <c r="X34" s="104" t="s">
        <v>108</v>
      </c>
      <c r="Y34" s="105">
        <f>+R34-'통산 성적(~''23)'!R29</f>
        <v>-0.82880502873857798</v>
      </c>
      <c r="Z34" s="138">
        <v>1</v>
      </c>
      <c r="AA34" s="129">
        <f>+M34-'통산 성적(~''23)'!M29</f>
        <v>128</v>
      </c>
      <c r="AB34" s="105">
        <f>+V34-'통산 성적(~''23)'!V29</f>
        <v>-4.9826849113496579</v>
      </c>
    </row>
    <row r="35" spans="1:28" ht="17.25" x14ac:dyDescent="0.3">
      <c r="A35" s="148" t="s">
        <v>127</v>
      </c>
      <c r="B35" s="1">
        <f>+'24년 시즌'!B32+'25년 시즌'!B35</f>
        <v>8</v>
      </c>
      <c r="C35" s="1">
        <f>+'24년 시즌'!C32+'25년 시즌'!C35</f>
        <v>0</v>
      </c>
      <c r="D35" s="1">
        <f>+'24년 시즌'!D32+'25년 시즌'!D35</f>
        <v>0</v>
      </c>
      <c r="E35" s="1">
        <f>+'24년 시즌'!E32+'25년 시즌'!E35</f>
        <v>0</v>
      </c>
      <c r="F35" s="1">
        <f>+'24년 시즌'!F32+'25년 시즌'!F35</f>
        <v>63</v>
      </c>
      <c r="G35" s="1">
        <f>+'24년 시즌'!G32+'25년 시즌'!G35</f>
        <v>50</v>
      </c>
      <c r="H35" s="6">
        <f>+'24년 시즌'!H32+'25년 시즌'!H35</f>
        <v>9.6666666329999984</v>
      </c>
      <c r="I35" s="1">
        <f>+'24년 시즌'!I32+'25년 시즌'!I35</f>
        <v>20</v>
      </c>
      <c r="J35" s="1">
        <f>+'24년 시즌'!J32+'25년 시즌'!J35</f>
        <v>0</v>
      </c>
      <c r="K35" s="1">
        <f>+'24년 시즌'!K32+'25년 시즌'!K35</f>
        <v>11</v>
      </c>
      <c r="L35" s="1">
        <f>+'24년 시즌'!L32+'25년 시즌'!L35</f>
        <v>2</v>
      </c>
      <c r="M35" s="1">
        <f>+'24년 시즌'!M32+'25년 시즌'!M35</f>
        <v>10</v>
      </c>
      <c r="N35" s="1">
        <f>+'24년 시즌'!N32+'25년 시즌'!N35</f>
        <v>22</v>
      </c>
      <c r="O35" s="1">
        <f>+'24년 시즌'!O32+'25년 시즌'!O35</f>
        <v>19</v>
      </c>
      <c r="P35" s="3">
        <f>+O35*9/H35</f>
        <v>17.689655234022595</v>
      </c>
      <c r="Q35" s="70" t="s">
        <v>128</v>
      </c>
      <c r="R35" s="71" t="s">
        <v>128</v>
      </c>
      <c r="S35" s="71" t="s">
        <v>128</v>
      </c>
      <c r="T35" s="124" t="s">
        <v>87</v>
      </c>
      <c r="U35" s="33"/>
      <c r="V35" s="70" t="s">
        <v>128</v>
      </c>
      <c r="X35" s="104">
        <f>+H35-'통산 성적(~''23)'!H35</f>
        <v>-3.3333000336000023</v>
      </c>
      <c r="Y35" s="105" t="e">
        <f>+R35-'통산 성적(~''23)'!R35</f>
        <v>#VALUE!</v>
      </c>
      <c r="Z35" s="105">
        <f>+((K35+L35)/H35)-('통산 성적(~''23)'!K35+'통산 성적(~''23)'!L35)/'통산 성적(~''23)'!H35</f>
        <v>-1.9628731981027379</v>
      </c>
      <c r="AA35" s="107">
        <f>+(M35-'통산 성적(~''23)'!M35)/X35</f>
        <v>0.90000899101781895</v>
      </c>
      <c r="AB35" s="105" t="e">
        <f>+V35-'통산 성적(~''23)'!V35</f>
        <v>#VALUE!</v>
      </c>
    </row>
    <row r="36" spans="1:28" ht="17.25" x14ac:dyDescent="0.3">
      <c r="A36" s="148" t="s">
        <v>50</v>
      </c>
      <c r="B36" s="1">
        <f>+'22년 시즌'!B33+'23년 시즌'!B33+'24년 시즌'!B33+'25년 시즌'!B36</f>
        <v>26</v>
      </c>
      <c r="C36" s="1">
        <f>+'22년 시즌'!C33+'23년 시즌'!C33+'24년 시즌'!C33+'25년 시즌'!C36</f>
        <v>3</v>
      </c>
      <c r="D36" s="1">
        <f>+'22년 시즌'!D33+'23년 시즌'!D33+'24년 시즌'!D33+'25년 시즌'!D36</f>
        <v>7</v>
      </c>
      <c r="E36" s="1">
        <f>+'22년 시즌'!E33+'23년 시즌'!E33+'24년 시즌'!E33+'25년 시즌'!E36</f>
        <v>0</v>
      </c>
      <c r="F36" s="1">
        <f>+'22년 시즌'!F33+'23년 시즌'!F33+'24년 시즌'!F33+'25년 시즌'!F36</f>
        <v>275</v>
      </c>
      <c r="G36" s="1">
        <f>+'22년 시즌'!G33+'23년 시즌'!G33+'24년 시즌'!G33+'25년 시즌'!G36</f>
        <v>196</v>
      </c>
      <c r="H36" s="6">
        <f>+'22년 시즌'!H33+'23년 시즌'!H33+'24년 시즌'!H33+'25년 시즌'!H36</f>
        <v>33.333259332600001</v>
      </c>
      <c r="I36" s="1">
        <f>+'22년 시즌'!I33+'23년 시즌'!I33+'24년 시즌'!I33+'25년 시즌'!I36</f>
        <v>80</v>
      </c>
      <c r="J36" s="1">
        <f>+'22년 시즌'!J33+'23년 시즌'!J33+'24년 시즌'!J33+'25년 시즌'!J36</f>
        <v>2</v>
      </c>
      <c r="K36" s="1">
        <f>+'22년 시즌'!K33+'23년 시즌'!K33+'24년 시즌'!K33+'25년 시즌'!K36</f>
        <v>66</v>
      </c>
      <c r="L36" s="1">
        <f>+'22년 시즌'!L33+'23년 시즌'!L33+'24년 시즌'!L33+'25년 시즌'!L36</f>
        <v>13</v>
      </c>
      <c r="M36" s="1">
        <f>+'22년 시즌'!M33+'23년 시즌'!M33+'24년 시즌'!M33+'25년 시즌'!M36</f>
        <v>40</v>
      </c>
      <c r="N36" s="1">
        <f>+'22년 시즌'!N33+'23년 시즌'!N33+'24년 시즌'!N33+'25년 시즌'!N36</f>
        <v>121</v>
      </c>
      <c r="O36" s="1">
        <f>+'22년 시즌'!O33+'23년 시즌'!O33+'24년 시즌'!O33+'25년 시즌'!O36</f>
        <v>92</v>
      </c>
      <c r="P36" s="3">
        <f>+O36*9/H36</f>
        <v>24.840055145468902</v>
      </c>
      <c r="Q36" s="38">
        <f>(K36+L36)/H36</f>
        <v>2.3700052614638203</v>
      </c>
      <c r="R36" s="39">
        <f>I36/H36</f>
        <v>2.4000053280646285</v>
      </c>
      <c r="S36" s="39">
        <f>H36/B36</f>
        <v>1.2820484358692308</v>
      </c>
      <c r="T36" s="40">
        <f>M36/H36</f>
        <v>1.2000026640323143</v>
      </c>
      <c r="U36" s="33">
        <f>O36/N36</f>
        <v>0.76033057851239672</v>
      </c>
      <c r="V36" s="38">
        <f>(I36+K36+L36)/H36</f>
        <v>4.7700105895284493</v>
      </c>
      <c r="X36" s="104">
        <f>+H36-'통산 성적(~''23)'!H32</f>
        <v>6.0002593326000024</v>
      </c>
      <c r="Y36" s="105">
        <f>+R36-'통산 성적(~''23)'!R32</f>
        <v>0.97315865920281297</v>
      </c>
      <c r="Z36" s="137">
        <f>+((K36+L36)/H36)-(('통산 성적(~''23)'!K32+'통산 성적(~''23)'!L32)/'통산 성적(~''23)'!H32)</f>
        <v>1.4919457729334722</v>
      </c>
      <c r="AA36" s="104">
        <f>+(M36-'통산 성적(~''23)'!M32)/X36</f>
        <v>0.16665946329467812</v>
      </c>
      <c r="AB36" s="105">
        <f>+V36-'통산 성적(~''23)'!V32</f>
        <v>2.4651044321362856</v>
      </c>
    </row>
    <row r="37" spans="1:28" ht="17.25" x14ac:dyDescent="0.3">
      <c r="A37" s="148" t="s">
        <v>33</v>
      </c>
      <c r="B37" s="1">
        <f>+'22년 시즌'!B34+'23년 시즌'!B34+'24년 시즌'!B34+'25년 시즌'!B37</f>
        <v>12</v>
      </c>
      <c r="C37" s="1">
        <f>+'22년 시즌'!C34+'23년 시즌'!C34+'24년 시즌'!C34+'25년 시즌'!C37</f>
        <v>2</v>
      </c>
      <c r="D37" s="1">
        <f>+'22년 시즌'!D34+'23년 시즌'!D34+'24년 시즌'!D34+'25년 시즌'!D37</f>
        <v>3</v>
      </c>
      <c r="E37" s="1">
        <f>+'22년 시즌'!E34+'23년 시즌'!E34+'24년 시즌'!E34+'25년 시즌'!E37</f>
        <v>0</v>
      </c>
      <c r="F37" s="1">
        <f>+'22년 시즌'!F34+'23년 시즌'!F34+'24년 시즌'!F34+'25년 시즌'!F37</f>
        <v>178</v>
      </c>
      <c r="G37" s="1">
        <f>+'22년 시즌'!G34+'23년 시즌'!G34+'24년 시즌'!G34+'25년 시즌'!G37</f>
        <v>128</v>
      </c>
      <c r="H37" s="6">
        <f>+'22년 시즌'!H34+'23년 시즌'!H34+'24년 시즌'!H34+'25년 시즌'!H37</f>
        <v>23.666632633333329</v>
      </c>
      <c r="I37" s="1">
        <f>+'22년 시즌'!I34+'23년 시즌'!I34+'24년 시즌'!I34+'25년 시즌'!I37</f>
        <v>66</v>
      </c>
      <c r="J37" s="1">
        <f>+'22년 시즌'!J34+'23년 시즌'!J34+'24년 시즌'!J34+'25년 시즌'!J37</f>
        <v>1</v>
      </c>
      <c r="K37" s="1">
        <f>+'22년 시즌'!K34+'23년 시즌'!K34+'24년 시즌'!K34+'25년 시즌'!K37</f>
        <v>36</v>
      </c>
      <c r="L37" s="1">
        <f>+'22년 시즌'!L34+'23년 시즌'!L34+'24년 시즌'!L34+'25년 시즌'!L37</f>
        <v>10</v>
      </c>
      <c r="M37" s="1">
        <f>+'22년 시즌'!M34+'23년 시즌'!M34+'24년 시즌'!M34+'25년 시즌'!M37</f>
        <v>27</v>
      </c>
      <c r="N37" s="1">
        <f>+'22년 시즌'!N34+'23년 시즌'!N34+'24년 시즌'!N34+'25년 시즌'!N37</f>
        <v>78</v>
      </c>
      <c r="O37" s="1">
        <f>+'22년 시즌'!O34+'23년 시즌'!O34+'24년 시즌'!O34+'25년 시즌'!O37</f>
        <v>63</v>
      </c>
      <c r="P37" s="3">
        <f>+O37*9/H37</f>
        <v>23.957780930837089</v>
      </c>
      <c r="Q37" s="38">
        <f>(K37+L37)/H37</f>
        <v>1.9436647668756721</v>
      </c>
      <c r="R37" s="39">
        <f>I37/H37</f>
        <v>2.7887364046477034</v>
      </c>
      <c r="S37" s="39">
        <f>H37/B37</f>
        <v>1.9722193861111108</v>
      </c>
      <c r="T37" s="40">
        <f>M37/H37</f>
        <v>1.1408467109922424</v>
      </c>
      <c r="U37" s="33">
        <f>O37/N37</f>
        <v>0.80769230769230771</v>
      </c>
      <c r="V37" s="38">
        <f>(I37+K37+L37)/H37</f>
        <v>4.7324011715233754</v>
      </c>
      <c r="X37" s="104"/>
      <c r="Y37" s="105"/>
      <c r="Z37" s="104"/>
      <c r="AA37" s="104"/>
      <c r="AB37" s="105"/>
    </row>
    <row r="38" spans="1:28" ht="17.25" x14ac:dyDescent="0.3">
      <c r="A38" s="148" t="s">
        <v>126</v>
      </c>
      <c r="B38" s="1">
        <f>+'24년 시즌'!B35+'25년 시즌'!B38</f>
        <v>5</v>
      </c>
      <c r="C38" s="1">
        <f>+'24년 시즌'!C35+'25년 시즌'!C38</f>
        <v>0</v>
      </c>
      <c r="D38" s="1">
        <f>+'24년 시즌'!D35+'25년 시즌'!D38</f>
        <v>2</v>
      </c>
      <c r="E38" s="1">
        <f>+'24년 시즌'!E35+'25년 시즌'!E38</f>
        <v>0</v>
      </c>
      <c r="F38" s="1">
        <f>+'24년 시즌'!F35+'25년 시즌'!F38</f>
        <v>54</v>
      </c>
      <c r="G38" s="1">
        <f>+'24년 시즌'!G35+'25년 시즌'!G38</f>
        <v>43</v>
      </c>
      <c r="H38" s="6">
        <f>+'24년 시즌'!H35+'25년 시즌'!H38</f>
        <v>4.9999999666599999</v>
      </c>
      <c r="I38" s="1">
        <f>+'24년 시즌'!I35+'25년 시즌'!I38</f>
        <v>26</v>
      </c>
      <c r="J38" s="1">
        <f>+'24년 시즌'!J35+'25년 시즌'!J38</f>
        <v>2</v>
      </c>
      <c r="K38" s="1">
        <f>+'24년 시즌'!K35+'25년 시즌'!K38</f>
        <v>8</v>
      </c>
      <c r="L38" s="1">
        <f>+'24년 시즌'!L35+'25년 시즌'!L38</f>
        <v>3</v>
      </c>
      <c r="M38" s="1">
        <f>+'24년 시즌'!M35+'25년 시즌'!M38</f>
        <v>6</v>
      </c>
      <c r="N38" s="1">
        <f>+'24년 시즌'!N35+'25년 시즌'!N38</f>
        <v>31</v>
      </c>
      <c r="O38" s="1">
        <f>+'24년 시즌'!O35+'25년 시즌'!O38</f>
        <v>23</v>
      </c>
      <c r="P38" s="3">
        <f>+O38*9/H38</f>
        <v>41.400000276055202</v>
      </c>
      <c r="Q38" s="70" t="s">
        <v>128</v>
      </c>
      <c r="R38" s="71" t="s">
        <v>128</v>
      </c>
      <c r="S38" s="71" t="s">
        <v>128</v>
      </c>
      <c r="T38" s="124" t="s">
        <v>128</v>
      </c>
      <c r="U38" s="33">
        <f>O38/N38</f>
        <v>0.74193548387096775</v>
      </c>
      <c r="V38" s="70" t="s">
        <v>128</v>
      </c>
      <c r="X38" s="104">
        <f>+H38-'통산 성적(~''23)'!H34</f>
        <v>3.9999999666599999</v>
      </c>
      <c r="Y38" s="105" t="e">
        <f>+R38-'통산 성적(~''23)'!R34</f>
        <v>#VALUE!</v>
      </c>
      <c r="Z38" s="105">
        <f>+((K38+L38)/H38)-('통산 성적(~''23)'!K34+'통산 성적(~''23)'!L34)/'통산 성적(~''23)'!H34</f>
        <v>1.2000000146695999</v>
      </c>
      <c r="AA38" s="104">
        <f>+(M38-'통산 성적(~''23)'!M34)/X38</f>
        <v>1.2500000104187501</v>
      </c>
      <c r="AB38" s="105" t="e">
        <f>+V38-'통산 성적(~''23)'!V34</f>
        <v>#VALUE!</v>
      </c>
    </row>
    <row r="39" spans="1:28" ht="17.25" x14ac:dyDescent="0.3">
      <c r="A39" s="148" t="s">
        <v>152</v>
      </c>
      <c r="B39" s="1">
        <f>+'25년 시즌'!B39+'25년 시즌'!B39</f>
        <v>0</v>
      </c>
      <c r="C39" s="1">
        <f>+'25년 시즌'!C39+'25년 시즌'!C39</f>
        <v>0</v>
      </c>
      <c r="D39" s="1">
        <f>+'25년 시즌'!D39+'25년 시즌'!D39</f>
        <v>0</v>
      </c>
      <c r="E39" s="1">
        <f>+'25년 시즌'!E39+'25년 시즌'!E39</f>
        <v>0</v>
      </c>
      <c r="F39" s="1">
        <f>+'25년 시즌'!F39+'25년 시즌'!F39</f>
        <v>0</v>
      </c>
      <c r="G39" s="1">
        <f>+'25년 시즌'!G39+'25년 시즌'!G39</f>
        <v>0</v>
      </c>
      <c r="H39" s="6">
        <f>+'25년 시즌'!H39+'25년 시즌'!H39</f>
        <v>0</v>
      </c>
      <c r="I39" s="1">
        <f>+'25년 시즌'!I39+'25년 시즌'!I39</f>
        <v>0</v>
      </c>
      <c r="J39" s="1">
        <f>+'25년 시즌'!J39+'25년 시즌'!J39</f>
        <v>0</v>
      </c>
      <c r="K39" s="1">
        <f>+'25년 시즌'!K39+'25년 시즌'!K39</f>
        <v>0</v>
      </c>
      <c r="L39" s="1">
        <f>+'25년 시즌'!L39+'25년 시즌'!L39</f>
        <v>0</v>
      </c>
      <c r="M39" s="1">
        <f>+'25년 시즌'!M39+'25년 시즌'!M39</f>
        <v>0</v>
      </c>
      <c r="N39" s="1">
        <f>+'25년 시즌'!N39+'25년 시즌'!N39</f>
        <v>0</v>
      </c>
      <c r="O39" s="1">
        <f>+'25년 시즌'!O39+'25년 시즌'!O39</f>
        <v>0</v>
      </c>
      <c r="P39" s="3" t="e">
        <f>+'25년 시즌'!P39</f>
        <v>#DIV/0!</v>
      </c>
      <c r="Q39" s="1" t="e">
        <f>+'25년 시즌'!Q39</f>
        <v>#DIV/0!</v>
      </c>
      <c r="R39" s="1" t="e">
        <f>+'25년 시즌'!R39</f>
        <v>#DIV/0!</v>
      </c>
      <c r="S39" s="3" t="e">
        <f>+'25년 시즌'!S39</f>
        <v>#DIV/0!</v>
      </c>
      <c r="T39" s="1" t="e">
        <f>+'25년 시즌'!T39</f>
        <v>#DIV/0!</v>
      </c>
      <c r="U39" s="1" t="e">
        <f>+'25년 시즌'!U39</f>
        <v>#DIV/0!</v>
      </c>
      <c r="V39" s="1" t="e">
        <f>+'25년 시즌'!V39</f>
        <v>#DIV/0!</v>
      </c>
      <c r="X39" s="104"/>
      <c r="Y39" s="105"/>
      <c r="Z39" s="106"/>
      <c r="AA39" s="104"/>
      <c r="AB39" s="105"/>
    </row>
    <row r="40" spans="1:28" ht="17.25" x14ac:dyDescent="0.3">
      <c r="A40" s="9" t="s">
        <v>47</v>
      </c>
      <c r="B40" s="1">
        <f>+'22년 시즌'!B35+'23년 시즌'!B35+'24년 시즌'!B36+'25년 시즌'!B40</f>
        <v>8</v>
      </c>
      <c r="C40" s="1">
        <f>+'22년 시즌'!C35+'23년 시즌'!C35+'24년 시즌'!C36+'25년 시즌'!C40</f>
        <v>2</v>
      </c>
      <c r="D40" s="1">
        <f>+'22년 시즌'!D35+'23년 시즌'!D35+'24년 시즌'!D36+'25년 시즌'!D40</f>
        <v>2</v>
      </c>
      <c r="E40" s="1">
        <f>+'22년 시즌'!E35+'23년 시즌'!E35+'24년 시즌'!E36+'25년 시즌'!E40</f>
        <v>1</v>
      </c>
      <c r="F40" s="1">
        <f>+'22년 시즌'!F35+'23년 시즌'!F35+'24년 시즌'!F36+'25년 시즌'!F40</f>
        <v>102</v>
      </c>
      <c r="G40" s="1">
        <f>+'22년 시즌'!G35+'23년 시즌'!G35+'24년 시즌'!G36+'25년 시즌'!G40</f>
        <v>55</v>
      </c>
      <c r="H40" s="6">
        <f>+'22년 시즌'!H35+'23년 시즌'!H35+'24년 시즌'!H36+'25년 시즌'!H40</f>
        <v>13.666633329933001</v>
      </c>
      <c r="I40" s="1">
        <f>+'22년 시즌'!I35+'23년 시즌'!I35+'24년 시즌'!I36+'25년 시즌'!I40</f>
        <v>16</v>
      </c>
      <c r="J40" s="1">
        <f>+'22년 시즌'!J35+'23년 시즌'!J35+'24년 시즌'!J36+'25년 시즌'!J40</f>
        <v>1</v>
      </c>
      <c r="K40" s="1">
        <f>+'22년 시즌'!K35+'23년 시즌'!K35+'24년 시즌'!K36+'25년 시즌'!K40</f>
        <v>45</v>
      </c>
      <c r="L40" s="1">
        <f>+'22년 시즌'!L35+'23년 시즌'!L35+'24년 시즌'!L36+'25년 시즌'!L40</f>
        <v>1</v>
      </c>
      <c r="M40" s="1">
        <f>+'22년 시즌'!M35+'23년 시즌'!M35+'24년 시즌'!M36+'25년 시즌'!M40</f>
        <v>13</v>
      </c>
      <c r="N40" s="1">
        <f>+'22년 시즌'!N35+'23년 시즌'!N35+'24년 시즌'!N36+'25년 시즌'!N40</f>
        <v>36</v>
      </c>
      <c r="O40" s="1">
        <f>+'22년 시즌'!O35+'23년 시즌'!O35+'24년 시즌'!O36+'25년 시즌'!O40</f>
        <v>21</v>
      </c>
      <c r="P40" s="3">
        <f>+O40*9/H40</f>
        <v>13.829302026128666</v>
      </c>
      <c r="Q40" s="38">
        <f>(K40+L40)/H40</f>
        <v>3.3658618687932202</v>
      </c>
      <c r="R40" s="39">
        <f>I40/H40</f>
        <v>1.1707345630585113</v>
      </c>
      <c r="S40" s="39">
        <f>H40/B40</f>
        <v>1.7083291662416251</v>
      </c>
      <c r="T40" s="40">
        <f>M40/H40</f>
        <v>0.95122183248504044</v>
      </c>
      <c r="U40" s="33">
        <f>O40/N40</f>
        <v>0.58333333333333337</v>
      </c>
      <c r="V40" s="38">
        <f>(I40+K40+L40)/H40</f>
        <v>4.5365964318517316</v>
      </c>
      <c r="X40" s="104">
        <f>+H40-'통산 성적(~''23)'!H33</f>
        <v>-5.333366670066999</v>
      </c>
      <c r="Y40" s="105">
        <f>+R40-'통산 성적(~''23)'!R33</f>
        <v>-0.987160173783594</v>
      </c>
      <c r="Z40" s="105">
        <f>+((K40+L40)/H40)-('통산 성적(~''23)'!K33+'통산 성적(~''23)'!L33)/'통산 성적(~''23)'!H33</f>
        <v>1.2079671319511149</v>
      </c>
      <c r="AA40" s="104">
        <f>+(M40-'통산 성적(~''23)'!M33)/X40</f>
        <v>1.4999906241022618</v>
      </c>
      <c r="AB40" s="105">
        <f>+V40-'통산 성적(~''23)'!V33</f>
        <v>0.22080695816752094</v>
      </c>
    </row>
    <row r="41" spans="1:28" ht="17.25" x14ac:dyDescent="0.3">
      <c r="A41" s="9" t="s">
        <v>22</v>
      </c>
      <c r="B41" s="1">
        <f>+'22년 시즌'!B36+'23년 시즌'!B36+'24년 시즌'!B37+'25년 시즌'!B41</f>
        <v>38</v>
      </c>
      <c r="C41" s="1">
        <f>+'22년 시즌'!C36+'23년 시즌'!C36+'24년 시즌'!C37+'25년 시즌'!C41</f>
        <v>8</v>
      </c>
      <c r="D41" s="1">
        <f>+'22년 시즌'!D36+'23년 시즌'!D36+'24년 시즌'!D37+'25년 시즌'!D41</f>
        <v>11</v>
      </c>
      <c r="E41" s="1">
        <f>+'22년 시즌'!E36+'23년 시즌'!E36+'24년 시즌'!E37+'25년 시즌'!E41</f>
        <v>3</v>
      </c>
      <c r="F41" s="1">
        <f>+'22년 시즌'!F36+'23년 시즌'!F36+'24년 시즌'!F37+'25년 시즌'!F41</f>
        <v>550</v>
      </c>
      <c r="G41" s="1">
        <f>+'22년 시즌'!G36+'23년 시즌'!G36+'24년 시즌'!G37+'25년 시즌'!G41</f>
        <v>397</v>
      </c>
      <c r="H41" s="6">
        <f>+'22년 시즌'!H36+'23년 시즌'!H36+'24년 시즌'!H37+'25년 시즌'!H41</f>
        <v>81.666632983</v>
      </c>
      <c r="I41" s="1">
        <f>+'22년 시즌'!I36+'23년 시즌'!I36+'24년 시즌'!I37+'25년 시즌'!I41</f>
        <v>133</v>
      </c>
      <c r="J41" s="1">
        <f>+'22년 시즌'!J36+'23년 시즌'!J36+'24년 시즌'!J37+'25년 시즌'!J41</f>
        <v>1</v>
      </c>
      <c r="K41" s="1">
        <f>+'22년 시즌'!K36+'23년 시즌'!K36+'24년 시즌'!K37+'25년 시즌'!K41</f>
        <v>123</v>
      </c>
      <c r="L41" s="1">
        <f>+'22년 시즌'!L36+'23년 시즌'!L36+'24년 시즌'!L37+'25년 시즌'!L41</f>
        <v>25</v>
      </c>
      <c r="M41" s="1">
        <f>+'22년 시즌'!M36+'23년 시즌'!M36+'24년 시즌'!M37+'25년 시즌'!M41</f>
        <v>131</v>
      </c>
      <c r="N41" s="1">
        <f>+'22년 시즌'!N36+'23년 시즌'!N36+'24년 시즌'!N37+'25년 시즌'!N41</f>
        <v>183</v>
      </c>
      <c r="O41" s="1">
        <f>+'22년 시즌'!O36+'23년 시즌'!O36+'24년 시즌'!O37+'25년 시즌'!O41</f>
        <v>130</v>
      </c>
      <c r="P41" s="3">
        <f>+O41*9/H41</f>
        <v>14.326536521268743</v>
      </c>
      <c r="Q41" s="38">
        <f>(K41+L41)/H41</f>
        <v>1.8122456454254479</v>
      </c>
      <c r="R41" s="39">
        <f>I41/H41</f>
        <v>1.6285721002809768</v>
      </c>
      <c r="S41" s="39">
        <f>H41/B41</f>
        <v>2.1491219206052632</v>
      </c>
      <c r="T41" s="40">
        <f>M41/H41</f>
        <v>1.6040822942617139</v>
      </c>
      <c r="U41" s="33">
        <f>O41/N41</f>
        <v>0.7103825136612022</v>
      </c>
      <c r="V41" s="38">
        <f>(I41+K41+L41)/H41</f>
        <v>3.4408177457064246</v>
      </c>
      <c r="X41" s="104" t="s">
        <v>108</v>
      </c>
      <c r="Y41" s="105" t="s">
        <v>108</v>
      </c>
      <c r="Z41" s="108" t="s">
        <v>108</v>
      </c>
      <c r="AA41" s="109" t="s">
        <v>108</v>
      </c>
      <c r="AB41" s="105" t="s">
        <v>108</v>
      </c>
    </row>
    <row r="42" spans="1:28" ht="17.25" x14ac:dyDescent="0.3">
      <c r="A42" s="11" t="s">
        <v>10</v>
      </c>
      <c r="B42" s="11">
        <f>SUM(B31:B41)</f>
        <v>198</v>
      </c>
      <c r="C42" s="11">
        <f>SUM(C31:C41)</f>
        <v>40</v>
      </c>
      <c r="D42" s="11">
        <f t="shared" ref="D42:O42" si="6">SUM(D31:D41)</f>
        <v>45</v>
      </c>
      <c r="E42" s="11">
        <f t="shared" si="6"/>
        <v>6</v>
      </c>
      <c r="F42" s="11">
        <f t="shared" si="6"/>
        <v>2488</v>
      </c>
      <c r="G42" s="11">
        <f t="shared" si="6"/>
        <v>1843</v>
      </c>
      <c r="H42" s="15">
        <f>SUM(H31:H41)</f>
        <v>364.66605110785298</v>
      </c>
      <c r="I42" s="11">
        <f t="shared" si="6"/>
        <v>655</v>
      </c>
      <c r="J42" s="11">
        <f t="shared" si="6"/>
        <v>14</v>
      </c>
      <c r="K42" s="11">
        <f>SUM(K31:K41)</f>
        <v>536</v>
      </c>
      <c r="L42" s="11">
        <f t="shared" si="6"/>
        <v>99</v>
      </c>
      <c r="M42" s="11">
        <f t="shared" si="6"/>
        <v>458</v>
      </c>
      <c r="N42" s="11">
        <f t="shared" si="6"/>
        <v>880</v>
      </c>
      <c r="O42" s="11">
        <f t="shared" si="6"/>
        <v>605</v>
      </c>
      <c r="P42" s="16">
        <f t="shared" ref="P42" si="7">+O42*9/H42</f>
        <v>14.931469445697308</v>
      </c>
      <c r="Q42" s="34">
        <f t="shared" ref="Q42" si="8">(K42+L42)/H42</f>
        <v>1.7413192099206227</v>
      </c>
      <c r="R42" s="35">
        <f t="shared" ref="R42" si="9">I42/H42</f>
        <v>1.7961639094456818</v>
      </c>
      <c r="S42" s="35">
        <f t="shared" ref="S42" si="10">H42/B42</f>
        <v>1.8417477328679444</v>
      </c>
      <c r="T42" s="36">
        <f t="shared" ref="T42" si="11">M42/H42</f>
        <v>1.2559436191238507</v>
      </c>
      <c r="U42" s="37">
        <f t="shared" ref="U42" si="12">O42/N42</f>
        <v>0.6875</v>
      </c>
      <c r="V42" s="34">
        <f t="shared" ref="V42" si="13">(I42+K42+L42)/H42</f>
        <v>3.5374831193663048</v>
      </c>
    </row>
    <row r="45" spans="1:28" x14ac:dyDescent="0.3">
      <c r="G45" s="126" t="s">
        <v>132</v>
      </c>
      <c r="H45" s="126" t="s">
        <v>129</v>
      </c>
      <c r="I45" s="126" t="s">
        <v>130</v>
      </c>
      <c r="J45" s="126" t="s">
        <v>131</v>
      </c>
      <c r="K45" s="126" t="s">
        <v>133</v>
      </c>
      <c r="S45" s="31"/>
      <c r="T45"/>
    </row>
    <row r="46" spans="1:28" ht="17.25" x14ac:dyDescent="0.3">
      <c r="G46" s="9" t="s">
        <v>59</v>
      </c>
      <c r="H46" s="127"/>
      <c r="I46" s="127">
        <v>43.661971830985912</v>
      </c>
      <c r="J46" s="127">
        <f>+(K31+L31)/F31*100</f>
        <v>31.785714285714285</v>
      </c>
      <c r="K46" s="128">
        <v>45.569620253164558</v>
      </c>
      <c r="T46"/>
    </row>
    <row r="47" spans="1:28" ht="17.25" x14ac:dyDescent="0.3">
      <c r="G47" s="9" t="s">
        <v>9</v>
      </c>
      <c r="H47" s="127"/>
      <c r="I47" s="127"/>
      <c r="J47" s="127"/>
      <c r="K47" s="128"/>
      <c r="S47" s="31"/>
      <c r="T47"/>
    </row>
    <row r="48" spans="1:28" ht="17.25" x14ac:dyDescent="0.3">
      <c r="G48" s="9" t="s">
        <v>51</v>
      </c>
      <c r="H48" s="127"/>
      <c r="I48" s="127">
        <v>24.778761061946902</v>
      </c>
      <c r="J48" s="127">
        <f t="shared" ref="J48:J53" si="14">+(K33+L33)/F33*100</f>
        <v>27.181208053691275</v>
      </c>
      <c r="K48" s="128">
        <v>25</v>
      </c>
      <c r="S48" s="31"/>
      <c r="T48"/>
    </row>
    <row r="49" spans="7:20" ht="17.25" x14ac:dyDescent="0.3">
      <c r="G49" s="9" t="s">
        <v>15</v>
      </c>
      <c r="H49" s="127">
        <v>16.666666666666664</v>
      </c>
      <c r="I49" s="127">
        <v>15.65217391304348</v>
      </c>
      <c r="J49" s="127">
        <f t="shared" si="14"/>
        <v>18.804920913884008</v>
      </c>
      <c r="K49" s="128">
        <v>17.434210526315788</v>
      </c>
      <c r="S49" s="31"/>
      <c r="T49"/>
    </row>
    <row r="50" spans="7:20" ht="17.25" x14ac:dyDescent="0.3">
      <c r="G50" s="9" t="s">
        <v>76</v>
      </c>
      <c r="H50" s="127"/>
      <c r="I50" s="127"/>
      <c r="J50" s="127">
        <f t="shared" si="14"/>
        <v>20.634920634920633</v>
      </c>
      <c r="K50" s="128">
        <v>66.666666666666657</v>
      </c>
      <c r="S50" s="31"/>
      <c r="T50"/>
    </row>
    <row r="51" spans="7:20" ht="17.25" x14ac:dyDescent="0.3">
      <c r="G51" s="9" t="s">
        <v>50</v>
      </c>
      <c r="H51" s="127">
        <v>37.5</v>
      </c>
      <c r="I51" s="127">
        <v>27.559055118110237</v>
      </c>
      <c r="J51" s="127">
        <f t="shared" si="14"/>
        <v>28.72727272727273</v>
      </c>
      <c r="K51" s="128">
        <v>30.882352941176471</v>
      </c>
      <c r="L51" s="125"/>
    </row>
    <row r="52" spans="7:20" ht="17.25" x14ac:dyDescent="0.3">
      <c r="G52" s="9" t="s">
        <v>33</v>
      </c>
      <c r="H52" s="127"/>
      <c r="I52" s="127">
        <v>33.333333333333329</v>
      </c>
      <c r="J52" s="127">
        <f t="shared" si="14"/>
        <v>25.842696629213485</v>
      </c>
      <c r="K52" s="128">
        <v>26.548672566371685</v>
      </c>
      <c r="L52" s="18"/>
    </row>
    <row r="53" spans="7:20" ht="17.25" x14ac:dyDescent="0.3">
      <c r="G53" s="9" t="s">
        <v>126</v>
      </c>
      <c r="H53" s="127"/>
      <c r="I53" s="127"/>
      <c r="J53" s="127">
        <f t="shared" si="14"/>
        <v>20.37037037037037</v>
      </c>
      <c r="K53" s="128">
        <v>19.230769230769234</v>
      </c>
      <c r="L53" s="125"/>
    </row>
    <row r="54" spans="7:20" ht="17.25" x14ac:dyDescent="0.3">
      <c r="G54" s="9" t="s">
        <v>47</v>
      </c>
      <c r="H54" s="127">
        <v>38.636363636363633</v>
      </c>
      <c r="I54" s="127">
        <v>49.056603773584904</v>
      </c>
      <c r="J54" s="127">
        <f t="shared" ref="J54:J55" si="15">+(K40+L40)/F40*100</f>
        <v>45.098039215686278</v>
      </c>
      <c r="K54" s="128">
        <v>44.444444444444443</v>
      </c>
      <c r="L54" s="125"/>
    </row>
    <row r="55" spans="7:20" ht="17.25" x14ac:dyDescent="0.3">
      <c r="G55" s="9" t="s">
        <v>22</v>
      </c>
      <c r="H55" s="127">
        <v>29.444444444444446</v>
      </c>
      <c r="I55" s="127">
        <v>24.761904761904763</v>
      </c>
      <c r="J55" s="127">
        <f t="shared" si="15"/>
        <v>26.90909090909091</v>
      </c>
      <c r="K55" s="128">
        <v>27.426160337552741</v>
      </c>
      <c r="L55" s="18"/>
    </row>
  </sheetData>
  <sortState xmlns:xlrd2="http://schemas.microsoft.com/office/spreadsheetml/2017/richdata2" ref="A31:AB41">
    <sortCondition ref="A31:A41"/>
  </sortState>
  <mergeCells count="1">
    <mergeCell ref="X2:AB2"/>
  </mergeCells>
  <phoneticPr fontId="10" type="noConversion"/>
  <conditionalFormatting sqref="P4:P26">
    <cfRule type="cellIs" dxfId="9" priority="2" operator="greaterThan">
      <formula>0.3</formula>
    </cfRule>
  </conditionalFormatting>
  <conditionalFormatting sqref="T4:T26">
    <cfRule type="cellIs" dxfId="8" priority="1" operator="greaterThan">
      <formula>0.35</formula>
    </cfRule>
  </conditionalFormatting>
  <pageMargins left="0.69972223043441772" right="0.69972223043441772" top="0.75" bottom="0.75" header="0.30000001192092896" footer="0.30000001192092896"/>
  <pageSetup paperSize="9" fitToWidth="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FF"/>
  </sheetPr>
  <dimension ref="A1:O29"/>
  <sheetViews>
    <sheetView zoomScale="70" zoomScaleNormal="70" zoomScaleSheetLayoutView="75" workbookViewId="0">
      <selection activeCell="O23" sqref="O23"/>
    </sheetView>
  </sheetViews>
  <sheetFormatPr defaultColWidth="9" defaultRowHeight="16.5" x14ac:dyDescent="0.3"/>
  <cols>
    <col min="1" max="8" width="11.375" customWidth="1"/>
    <col min="9" max="12" width="11.875" customWidth="1"/>
    <col min="13" max="13" width="8.75" customWidth="1"/>
    <col min="14" max="15" width="11.375" customWidth="1"/>
  </cols>
  <sheetData>
    <row r="1" spans="1:15" ht="26.25" x14ac:dyDescent="0.3">
      <c r="A1" s="24" t="s">
        <v>2</v>
      </c>
    </row>
    <row r="2" spans="1:15" ht="17.25" x14ac:dyDescent="0.3">
      <c r="A2" s="4" t="s">
        <v>117</v>
      </c>
    </row>
    <row r="3" spans="1:15" ht="17.25" x14ac:dyDescent="0.3">
      <c r="A3" s="180" t="s">
        <v>27</v>
      </c>
      <c r="B3" s="114" t="s">
        <v>7</v>
      </c>
      <c r="C3" s="180" t="s">
        <v>120</v>
      </c>
      <c r="D3" s="180"/>
      <c r="E3" s="180"/>
      <c r="F3" s="180" t="s">
        <v>125</v>
      </c>
      <c r="G3" s="180"/>
      <c r="H3" s="180"/>
      <c r="I3" s="180"/>
      <c r="J3" s="176" t="s">
        <v>136</v>
      </c>
      <c r="K3" s="177"/>
      <c r="L3" s="178"/>
    </row>
    <row r="4" spans="1:15" ht="35.25" thickBot="1" x14ac:dyDescent="0.35">
      <c r="A4" s="181"/>
      <c r="B4" s="155" t="s">
        <v>118</v>
      </c>
      <c r="C4" s="155" t="s">
        <v>119</v>
      </c>
      <c r="D4" s="155" t="s">
        <v>121</v>
      </c>
      <c r="E4" s="155" t="s">
        <v>122</v>
      </c>
      <c r="F4" s="155" t="s">
        <v>123</v>
      </c>
      <c r="G4" s="155" t="s">
        <v>124</v>
      </c>
      <c r="H4" s="155" t="s">
        <v>237</v>
      </c>
      <c r="I4" s="155" t="s">
        <v>122</v>
      </c>
      <c r="J4" s="155" t="s">
        <v>236</v>
      </c>
      <c r="K4" s="155" t="s">
        <v>228</v>
      </c>
      <c r="L4" s="155" t="s">
        <v>238</v>
      </c>
    </row>
    <row r="5" spans="1:15" ht="25.5" customHeight="1" thickBot="1" x14ac:dyDescent="0.35">
      <c r="A5" s="149" t="s">
        <v>59</v>
      </c>
      <c r="B5" s="150"/>
      <c r="C5" s="150"/>
      <c r="D5" s="150"/>
      <c r="E5" s="150"/>
      <c r="F5" s="151">
        <v>0.25</v>
      </c>
      <c r="G5" s="150"/>
      <c r="H5" s="150"/>
      <c r="I5" s="151">
        <v>9.0909090909090912E-2</v>
      </c>
      <c r="J5" s="151">
        <v>0.54545454545454541</v>
      </c>
      <c r="K5" s="151">
        <v>0.33333333333333331</v>
      </c>
      <c r="L5" s="152"/>
      <c r="N5" s="179" t="s">
        <v>231</v>
      </c>
      <c r="O5" s="179"/>
    </row>
    <row r="6" spans="1:15" ht="25.5" customHeight="1" thickBot="1" x14ac:dyDescent="0.35">
      <c r="A6" s="156" t="s">
        <v>34</v>
      </c>
      <c r="B6" s="157">
        <v>0</v>
      </c>
      <c r="C6" s="158">
        <v>0.5</v>
      </c>
      <c r="D6" s="157">
        <v>0</v>
      </c>
      <c r="E6" s="159"/>
      <c r="F6" s="158">
        <v>0.25</v>
      </c>
      <c r="G6" s="159"/>
      <c r="H6" s="159"/>
      <c r="I6" s="157">
        <v>0</v>
      </c>
      <c r="J6" s="158">
        <v>0.1111111111111111</v>
      </c>
      <c r="K6" s="159"/>
      <c r="L6" s="160"/>
      <c r="N6" s="182" t="s">
        <v>235</v>
      </c>
      <c r="O6" s="182"/>
    </row>
    <row r="7" spans="1:15" ht="25.5" customHeight="1" thickBot="1" x14ac:dyDescent="0.35">
      <c r="A7" s="161" t="s">
        <v>44</v>
      </c>
      <c r="B7" s="162">
        <v>0.75</v>
      </c>
      <c r="C7" s="162">
        <v>0.41699999999999998</v>
      </c>
      <c r="D7" s="162">
        <v>0.47399999999999998</v>
      </c>
      <c r="E7" s="162">
        <v>0.44444444444444442</v>
      </c>
      <c r="F7" s="162">
        <v>0.61111111111111116</v>
      </c>
      <c r="G7" s="162">
        <v>0.46666666666666667</v>
      </c>
      <c r="H7" s="162">
        <v>0.6</v>
      </c>
      <c r="I7" s="162">
        <v>0.6</v>
      </c>
      <c r="J7" s="163">
        <v>0.61904761904761907</v>
      </c>
      <c r="K7" s="164">
        <v>0.44444444444444442</v>
      </c>
      <c r="L7" s="165"/>
      <c r="N7" s="183" t="s">
        <v>232</v>
      </c>
      <c r="O7" s="183"/>
    </row>
    <row r="8" spans="1:15" ht="25.5" customHeight="1" thickBot="1" x14ac:dyDescent="0.35">
      <c r="A8" s="156" t="s">
        <v>9</v>
      </c>
      <c r="B8" s="159"/>
      <c r="C8" s="159"/>
      <c r="D8" s="159"/>
      <c r="E8" s="159"/>
      <c r="F8" s="157">
        <v>0</v>
      </c>
      <c r="G8" s="159"/>
      <c r="H8" s="159"/>
      <c r="I8" s="159"/>
      <c r="J8" s="159"/>
      <c r="K8" s="159"/>
      <c r="L8" s="170"/>
      <c r="N8" s="174" t="s">
        <v>233</v>
      </c>
      <c r="O8" s="174"/>
    </row>
    <row r="9" spans="1:15" ht="25.5" customHeight="1" thickBot="1" x14ac:dyDescent="0.35">
      <c r="A9" s="161" t="s">
        <v>4</v>
      </c>
      <c r="B9" s="162">
        <v>0.45</v>
      </c>
      <c r="C9" s="162">
        <v>0.45500000000000002</v>
      </c>
      <c r="D9" s="162">
        <v>0.25</v>
      </c>
      <c r="E9" s="162">
        <v>0.33333333333333331</v>
      </c>
      <c r="F9" s="166">
        <v>0</v>
      </c>
      <c r="G9" s="162">
        <v>0.5</v>
      </c>
      <c r="H9" s="162">
        <v>0.16666666666666666</v>
      </c>
      <c r="I9" s="162">
        <v>0.5</v>
      </c>
      <c r="J9" s="162">
        <v>0.125</v>
      </c>
      <c r="K9" s="162">
        <v>0.61538461538461542</v>
      </c>
      <c r="L9" s="167"/>
      <c r="N9" s="175" t="s">
        <v>234</v>
      </c>
      <c r="O9" s="175"/>
    </row>
    <row r="10" spans="1:15" ht="25.5" customHeight="1" thickBot="1" x14ac:dyDescent="0.35">
      <c r="A10" s="156" t="s">
        <v>51</v>
      </c>
      <c r="B10" s="158">
        <v>0.33300000000000002</v>
      </c>
      <c r="C10" s="158">
        <v>9.0999999999999998E-2</v>
      </c>
      <c r="D10" s="158">
        <v>0.2</v>
      </c>
      <c r="E10" s="159"/>
      <c r="F10" s="158">
        <v>0.25</v>
      </c>
      <c r="G10" s="159"/>
      <c r="H10" s="158">
        <v>0.5</v>
      </c>
      <c r="I10" s="158">
        <v>0.25</v>
      </c>
      <c r="J10" s="157">
        <v>0.41666666666666669</v>
      </c>
      <c r="K10" s="159"/>
      <c r="L10" s="171"/>
    </row>
    <row r="11" spans="1:15" ht="25.5" customHeight="1" thickBot="1" x14ac:dyDescent="0.35">
      <c r="A11" s="161" t="s">
        <v>230</v>
      </c>
      <c r="B11" s="168"/>
      <c r="C11" s="168"/>
      <c r="D11" s="168"/>
      <c r="E11" s="168"/>
      <c r="F11" s="168"/>
      <c r="G11" s="168"/>
      <c r="H11" s="168"/>
      <c r="I11" s="168"/>
      <c r="J11" s="162">
        <v>0.22222222222222221</v>
      </c>
      <c r="K11" s="159"/>
      <c r="L11" s="167"/>
    </row>
    <row r="12" spans="1:15" ht="25.5" customHeight="1" thickBot="1" x14ac:dyDescent="0.35">
      <c r="A12" s="156" t="s">
        <v>25</v>
      </c>
      <c r="B12" s="158">
        <v>0.35699999999999998</v>
      </c>
      <c r="C12" s="158">
        <v>0.75</v>
      </c>
      <c r="D12" s="158">
        <v>0.54200000000000004</v>
      </c>
      <c r="E12" s="158">
        <v>0.58333333333333337</v>
      </c>
      <c r="F12" s="158">
        <v>0.5</v>
      </c>
      <c r="G12" s="158">
        <v>0.7</v>
      </c>
      <c r="H12" s="158">
        <v>0.54838709677419351</v>
      </c>
      <c r="I12" s="158">
        <v>0.5</v>
      </c>
      <c r="J12" s="159">
        <v>0.54545454545454541</v>
      </c>
      <c r="K12" s="169">
        <v>0.66666666666666663</v>
      </c>
      <c r="L12" s="170"/>
    </row>
    <row r="13" spans="1:15" ht="25.5" customHeight="1" thickBot="1" x14ac:dyDescent="0.35">
      <c r="A13" s="161" t="s">
        <v>21</v>
      </c>
      <c r="B13" s="162">
        <v>0.36399999999999999</v>
      </c>
      <c r="C13" s="162">
        <v>0.23100000000000001</v>
      </c>
      <c r="D13" s="162">
        <v>0.33300000000000002</v>
      </c>
      <c r="E13" s="163"/>
      <c r="F13" s="162">
        <v>0.25</v>
      </c>
      <c r="G13" s="162">
        <v>0.2857142857142857</v>
      </c>
      <c r="H13" s="162">
        <v>0.25</v>
      </c>
      <c r="I13" s="162">
        <v>0.3</v>
      </c>
      <c r="J13" s="162">
        <v>0.45833333333333331</v>
      </c>
      <c r="K13" s="162">
        <v>0.375</v>
      </c>
      <c r="L13" s="167"/>
    </row>
    <row r="14" spans="1:15" ht="25.5" customHeight="1" thickBot="1" x14ac:dyDescent="0.35">
      <c r="A14" s="156" t="s">
        <v>8</v>
      </c>
      <c r="B14" s="172"/>
      <c r="C14" s="172"/>
      <c r="D14" s="158">
        <v>0.33300000000000002</v>
      </c>
      <c r="E14" s="157">
        <v>0</v>
      </c>
      <c r="F14" s="158">
        <v>0.66666666666666663</v>
      </c>
      <c r="G14" s="157">
        <v>0</v>
      </c>
      <c r="H14" s="158">
        <v>0.33333333333333331</v>
      </c>
      <c r="I14" s="158">
        <v>0.2857142857142857</v>
      </c>
      <c r="J14" s="158">
        <v>0.44444444444444442</v>
      </c>
      <c r="K14" s="158">
        <v>0.2857142857142857</v>
      </c>
      <c r="L14" s="160"/>
    </row>
    <row r="15" spans="1:15" ht="25.5" customHeight="1" thickBot="1" x14ac:dyDescent="0.35">
      <c r="A15" s="161" t="s">
        <v>15</v>
      </c>
      <c r="B15" s="162">
        <v>0.25</v>
      </c>
      <c r="C15" s="162">
        <v>0.46200000000000002</v>
      </c>
      <c r="D15" s="162">
        <v>0.435</v>
      </c>
      <c r="E15" s="162">
        <v>0.83333333333333337</v>
      </c>
      <c r="F15" s="162">
        <v>0.375</v>
      </c>
      <c r="G15" s="162">
        <v>0.53333333333333333</v>
      </c>
      <c r="H15" s="162">
        <v>0.51851851851851849</v>
      </c>
      <c r="I15" s="163"/>
      <c r="J15" s="162">
        <v>0.55000000000000004</v>
      </c>
      <c r="K15" s="164">
        <v>0.3888888888888889</v>
      </c>
      <c r="L15" s="167"/>
    </row>
    <row r="16" spans="1:15" ht="25.5" customHeight="1" thickBot="1" x14ac:dyDescent="0.35">
      <c r="A16" s="156" t="s">
        <v>23</v>
      </c>
      <c r="B16" s="172"/>
      <c r="C16" s="157">
        <v>0</v>
      </c>
      <c r="D16" s="158">
        <v>0.222</v>
      </c>
      <c r="E16" s="159"/>
      <c r="F16" s="158">
        <v>0.1111111111111111</v>
      </c>
      <c r="G16" s="158">
        <v>0.14285714285714285</v>
      </c>
      <c r="H16" s="158">
        <v>0.33333333333333331</v>
      </c>
      <c r="I16" s="158">
        <v>0.33333333333333331</v>
      </c>
      <c r="J16" s="158">
        <v>0.21428571428571427</v>
      </c>
      <c r="K16" s="158">
        <v>0.5714285714285714</v>
      </c>
      <c r="L16" s="160"/>
    </row>
    <row r="17" spans="1:12" ht="25.5" customHeight="1" thickBot="1" x14ac:dyDescent="0.35">
      <c r="A17" s="161" t="s">
        <v>50</v>
      </c>
      <c r="B17" s="162">
        <v>0.42899999999999999</v>
      </c>
      <c r="C17" s="162">
        <v>0.2</v>
      </c>
      <c r="D17" s="163"/>
      <c r="E17" s="162">
        <v>0.66666666666666663</v>
      </c>
      <c r="F17" s="162">
        <v>0.46153846153846156</v>
      </c>
      <c r="G17" s="162">
        <v>0.46153846153846156</v>
      </c>
      <c r="H17" s="162">
        <v>9.0909090909090912E-2</v>
      </c>
      <c r="I17" s="162">
        <v>0.2857142857142857</v>
      </c>
      <c r="J17" s="162">
        <v>0.29411764705882354</v>
      </c>
      <c r="K17" s="159"/>
      <c r="L17" s="167"/>
    </row>
    <row r="18" spans="1:12" ht="25.5" customHeight="1" thickBot="1" x14ac:dyDescent="0.35">
      <c r="A18" s="156" t="s">
        <v>33</v>
      </c>
      <c r="B18" s="172"/>
      <c r="C18" s="172"/>
      <c r="D18" s="157">
        <v>0</v>
      </c>
      <c r="E18" s="158">
        <v>0.42857142857142855</v>
      </c>
      <c r="F18" s="158">
        <v>0.41666666666666669</v>
      </c>
      <c r="G18" s="158">
        <v>0.375</v>
      </c>
      <c r="H18" s="158">
        <v>0.31818181818181818</v>
      </c>
      <c r="I18" s="158">
        <v>0.625</v>
      </c>
      <c r="J18" s="158">
        <v>0.30769230769230771</v>
      </c>
      <c r="K18" s="158">
        <v>0.6</v>
      </c>
      <c r="L18" s="160"/>
    </row>
    <row r="19" spans="1:12" ht="25.5" customHeight="1" thickBot="1" x14ac:dyDescent="0.35">
      <c r="A19" s="161" t="s">
        <v>60</v>
      </c>
      <c r="B19" s="163"/>
      <c r="C19" s="162">
        <v>0.42899999999999999</v>
      </c>
      <c r="D19" s="162">
        <v>0.61099999999999999</v>
      </c>
      <c r="E19" s="162">
        <v>0.4</v>
      </c>
      <c r="F19" s="162">
        <v>0.44444444444444442</v>
      </c>
      <c r="G19" s="162">
        <v>0.25</v>
      </c>
      <c r="H19" s="162">
        <v>0.33333333333333331</v>
      </c>
      <c r="I19" s="162">
        <v>0.41176470588235292</v>
      </c>
      <c r="J19" s="162">
        <v>0.25</v>
      </c>
      <c r="K19" s="162">
        <v>0.42857142857142855</v>
      </c>
      <c r="L19" s="167"/>
    </row>
    <row r="20" spans="1:12" ht="25.5" customHeight="1" thickBot="1" x14ac:dyDescent="0.35">
      <c r="A20" s="156" t="s">
        <v>12</v>
      </c>
      <c r="B20" s="158">
        <v>0.42899999999999999</v>
      </c>
      <c r="C20" s="158">
        <v>0.5</v>
      </c>
      <c r="D20" s="158">
        <v>0.28599999999999998</v>
      </c>
      <c r="E20" s="158">
        <v>0.5</v>
      </c>
      <c r="F20" s="159"/>
      <c r="G20" s="158">
        <v>0.5</v>
      </c>
      <c r="H20" s="158">
        <v>0.3</v>
      </c>
      <c r="I20" s="158">
        <v>0.4</v>
      </c>
      <c r="J20" s="158">
        <v>0.35294117647058826</v>
      </c>
      <c r="K20" s="158">
        <v>0.30769230769230771</v>
      </c>
      <c r="L20" s="160"/>
    </row>
    <row r="21" spans="1:12" ht="25.5" customHeight="1" thickBot="1" x14ac:dyDescent="0.35">
      <c r="A21" s="161" t="s">
        <v>229</v>
      </c>
      <c r="B21" s="168"/>
      <c r="C21" s="168"/>
      <c r="D21" s="168"/>
      <c r="E21" s="168"/>
      <c r="F21" s="168"/>
      <c r="G21" s="168"/>
      <c r="H21" s="168"/>
      <c r="I21" s="168"/>
      <c r="J21" s="162">
        <v>0.42857142857142855</v>
      </c>
      <c r="K21" s="162">
        <v>0.4</v>
      </c>
      <c r="L21" s="167"/>
    </row>
    <row r="22" spans="1:12" ht="25.5" customHeight="1" thickBot="1" x14ac:dyDescent="0.35">
      <c r="A22" s="156" t="s">
        <v>24</v>
      </c>
      <c r="B22" s="158">
        <v>0.33300000000000002</v>
      </c>
      <c r="C22" s="158">
        <v>0.14299999999999999</v>
      </c>
      <c r="D22" s="158">
        <v>0.14299999999999999</v>
      </c>
      <c r="E22" s="157">
        <v>0</v>
      </c>
      <c r="F22" s="158">
        <v>0.5</v>
      </c>
      <c r="G22" s="159"/>
      <c r="H22" s="157">
        <v>0</v>
      </c>
      <c r="I22" s="159"/>
      <c r="J22" s="158">
        <v>0.5</v>
      </c>
      <c r="K22" s="159"/>
      <c r="L22" s="160"/>
    </row>
    <row r="23" spans="1:12" ht="25.5" customHeight="1" thickBot="1" x14ac:dyDescent="0.35">
      <c r="A23" s="161" t="s">
        <v>14</v>
      </c>
      <c r="B23" s="162">
        <v>0.56000000000000005</v>
      </c>
      <c r="C23" s="162">
        <v>0.54500000000000004</v>
      </c>
      <c r="D23" s="162">
        <v>0.30399999999999999</v>
      </c>
      <c r="E23" s="163"/>
      <c r="F23" s="162">
        <v>0.45454545454545453</v>
      </c>
      <c r="G23" s="162">
        <v>0.46666666666666667</v>
      </c>
      <c r="H23" s="162">
        <v>0.58333333333333337</v>
      </c>
      <c r="I23" s="162">
        <v>0.75</v>
      </c>
      <c r="J23" s="163"/>
      <c r="K23" s="159"/>
      <c r="L23" s="165"/>
    </row>
    <row r="24" spans="1:12" ht="25.5" customHeight="1" thickBot="1" x14ac:dyDescent="0.35">
      <c r="A24" s="156" t="s">
        <v>47</v>
      </c>
      <c r="B24" s="158">
        <v>0.25</v>
      </c>
      <c r="C24" s="158">
        <v>0.16700000000000001</v>
      </c>
      <c r="D24" s="158">
        <v>0.57099999999999995</v>
      </c>
      <c r="E24" s="159"/>
      <c r="F24" s="158">
        <v>0.4</v>
      </c>
      <c r="G24" s="158">
        <v>0.25</v>
      </c>
      <c r="H24" s="158">
        <v>0.18181818181818182</v>
      </c>
      <c r="I24" s="158">
        <v>0.5714285714285714</v>
      </c>
      <c r="J24" s="158">
        <v>0.2857142857142857</v>
      </c>
      <c r="K24" s="159"/>
      <c r="L24" s="160"/>
    </row>
    <row r="25" spans="1:12" ht="25.5" customHeight="1" thickBot="1" x14ac:dyDescent="0.35">
      <c r="A25" s="161" t="s">
        <v>22</v>
      </c>
      <c r="B25" s="162">
        <v>0.5</v>
      </c>
      <c r="C25" s="162">
        <v>0.2</v>
      </c>
      <c r="D25" s="162">
        <v>0.4</v>
      </c>
      <c r="E25" s="162">
        <v>0.2</v>
      </c>
      <c r="F25" s="162">
        <v>0.22222222222222221</v>
      </c>
      <c r="G25" s="162">
        <v>0.36363636363636365</v>
      </c>
      <c r="H25" s="162">
        <v>0.2857142857142857</v>
      </c>
      <c r="I25" s="162">
        <v>0.375</v>
      </c>
      <c r="J25" s="162">
        <v>0.5161290322580645</v>
      </c>
      <c r="K25" s="162">
        <v>0.3</v>
      </c>
      <c r="L25" s="167"/>
    </row>
    <row r="26" spans="1:12" ht="25.5" customHeight="1" thickBot="1" x14ac:dyDescent="0.35">
      <c r="A26" s="156" t="s">
        <v>153</v>
      </c>
      <c r="B26" s="172"/>
      <c r="C26" s="172"/>
      <c r="D26" s="172"/>
      <c r="E26" s="172"/>
      <c r="F26" s="172"/>
      <c r="G26" s="172"/>
      <c r="H26" s="172"/>
      <c r="I26" s="172"/>
      <c r="J26" s="172"/>
      <c r="K26" s="158">
        <v>0.3</v>
      </c>
      <c r="L26" s="160"/>
    </row>
    <row r="27" spans="1:12" ht="25.5" customHeight="1" thickBot="1" x14ac:dyDescent="0.35">
      <c r="A27" s="156" t="s">
        <v>54</v>
      </c>
      <c r="B27" s="172"/>
      <c r="C27" s="172"/>
      <c r="D27" s="157">
        <v>0</v>
      </c>
      <c r="E27" s="158">
        <v>0.25</v>
      </c>
      <c r="F27" s="157">
        <v>0</v>
      </c>
      <c r="G27" s="157">
        <v>0</v>
      </c>
      <c r="H27" s="158">
        <v>0.5</v>
      </c>
      <c r="I27" s="158">
        <v>0.33333333333333331</v>
      </c>
      <c r="J27" s="158">
        <v>0.24</v>
      </c>
      <c r="K27" s="158">
        <v>0.36363636363636365</v>
      </c>
      <c r="L27" s="160"/>
    </row>
    <row r="28" spans="1:12" ht="25.5" customHeight="1" x14ac:dyDescent="0.3">
      <c r="A28" s="123" t="s">
        <v>10</v>
      </c>
      <c r="B28" s="153">
        <v>0.43283582089552236</v>
      </c>
      <c r="C28" s="153">
        <v>0.34285714285714286</v>
      </c>
      <c r="D28" s="154">
        <v>0.35748792270531399</v>
      </c>
      <c r="E28" s="154">
        <v>0.37</v>
      </c>
      <c r="F28" s="154">
        <v>0.38607594936708861</v>
      </c>
      <c r="G28" s="154">
        <v>0.38732394366197181</v>
      </c>
      <c r="H28" s="154">
        <v>0.42439024390243901</v>
      </c>
      <c r="I28" s="154">
        <v>0.37341772151898733</v>
      </c>
      <c r="J28" s="154">
        <v>0.40066225165562913</v>
      </c>
      <c r="K28" s="154"/>
      <c r="L28" s="154"/>
    </row>
    <row r="29" spans="1:12" x14ac:dyDescent="0.3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</row>
  </sheetData>
  <sortState xmlns:xlrd2="http://schemas.microsoft.com/office/spreadsheetml/2017/richdata2" ref="G5:I28">
    <sortCondition ref="G5:G28"/>
  </sortState>
  <mergeCells count="9">
    <mergeCell ref="N8:O8"/>
    <mergeCell ref="N9:O9"/>
    <mergeCell ref="J3:L3"/>
    <mergeCell ref="N5:O5"/>
    <mergeCell ref="A3:A4"/>
    <mergeCell ref="C3:E3"/>
    <mergeCell ref="F3:I3"/>
    <mergeCell ref="N6:O6"/>
    <mergeCell ref="N7:O7"/>
  </mergeCells>
  <phoneticPr fontId="10" type="noConversion"/>
  <conditionalFormatting sqref="B5:L10 J11:L14 B12:I14 B15:L20 J21:L25 B22:I25 K26:L26 B27:L27 K5:K27">
    <cfRule type="cellIs" dxfId="7" priority="15" operator="greaterThan">
      <formula>0.699</formula>
    </cfRule>
    <cfRule type="cellIs" dxfId="6" priority="17" operator="greaterThanOrEqual">
      <formula>0.5</formula>
    </cfRule>
  </conditionalFormatting>
  <conditionalFormatting sqref="B5:L27">
    <cfRule type="cellIs" dxfId="5" priority="1" operator="between">
      <formula>0.3</formula>
      <formula>0.4999</formula>
    </cfRule>
    <cfRule type="cellIs" dxfId="4" priority="14" operator="between">
      <formula>0.00001</formula>
      <formula>0.2999</formula>
    </cfRule>
  </conditionalFormatting>
  <conditionalFormatting sqref="N9">
    <cfRule type="cellIs" dxfId="3" priority="2" operator="between">
      <formula>0.00001</formula>
      <formula>0.25</formula>
    </cfRule>
    <cfRule type="cellIs" dxfId="2" priority="3" operator="greaterThan">
      <formula>0.699</formula>
    </cfRule>
    <cfRule type="cellIs" dxfId="1" priority="4" operator="greaterThan">
      <formula>0.499</formula>
    </cfRule>
  </conditionalFormatting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5935D-02E3-47E1-A3C5-C6284151899D}">
  <sheetPr>
    <tabColor rgb="FFFFC000"/>
  </sheetPr>
  <dimension ref="A1:V37"/>
  <sheetViews>
    <sheetView zoomScale="70" zoomScaleNormal="70" zoomScaleSheetLayoutView="75" workbookViewId="0">
      <pane ySplit="3" topLeftCell="A4" activePane="bottomLeft" state="frozen"/>
      <selection pane="bottomLeft" activeCell="G46" sqref="G46"/>
    </sheetView>
  </sheetViews>
  <sheetFormatPr defaultColWidth="9" defaultRowHeight="16.5" x14ac:dyDescent="0.3"/>
  <cols>
    <col min="1" max="19" width="8.875" customWidth="1"/>
    <col min="20" max="20" width="8.875" style="31" customWidth="1"/>
    <col min="21" max="22" width="8.875" customWidth="1"/>
    <col min="25" max="25" width="10" bestFit="1" customWidth="1"/>
    <col min="27" max="27" width="11.125" bestFit="1" customWidth="1"/>
  </cols>
  <sheetData>
    <row r="1" spans="1:22" ht="26.25" x14ac:dyDescent="0.3">
      <c r="A1" s="24" t="s">
        <v>2</v>
      </c>
    </row>
    <row r="2" spans="1:22" ht="17.25" x14ac:dyDescent="0.3">
      <c r="A2" s="4" t="s">
        <v>1</v>
      </c>
    </row>
    <row r="3" spans="1:22" ht="34.5" x14ac:dyDescent="0.3">
      <c r="A3" s="10" t="s">
        <v>27</v>
      </c>
      <c r="B3" s="10" t="s">
        <v>46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65</v>
      </c>
      <c r="H3" s="10" t="s">
        <v>72</v>
      </c>
      <c r="I3" s="10" t="s">
        <v>0</v>
      </c>
      <c r="J3" s="10" t="s">
        <v>73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84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</row>
    <row r="4" spans="1:22" ht="15" customHeight="1" x14ac:dyDescent="0.3">
      <c r="A4" s="10" t="s">
        <v>44</v>
      </c>
      <c r="B4" s="1">
        <f>+'22년 시즌'!B6+'23년 시즌'!B6+'24년 시즌'!B6</f>
        <v>52</v>
      </c>
      <c r="C4" s="86">
        <f t="shared" ref="C4:C24" si="0">+F4/E4</f>
        <v>0.56097560975609762</v>
      </c>
      <c r="D4" s="1">
        <f>+'22년 시즌'!D6+'23년 시즌'!D6+'24년 시즌'!D6</f>
        <v>150</v>
      </c>
      <c r="E4" s="1">
        <f>+'22년 시즌'!E6+'23년 시즌'!E6+'24년 시즌'!E6</f>
        <v>123</v>
      </c>
      <c r="F4" s="1">
        <f>+'22년 시즌'!F6+'23년 시즌'!F6+'24년 시즌'!F6</f>
        <v>69</v>
      </c>
      <c r="G4" s="1">
        <f>+'22년 시즌'!G6+'23년 시즌'!G6+'24년 시즌'!G6</f>
        <v>50</v>
      </c>
      <c r="H4" s="1">
        <f>+'22년 시즌'!H6+'23년 시즌'!H6+'24년 시즌'!H6</f>
        <v>14</v>
      </c>
      <c r="I4" s="1">
        <f>+'22년 시즌'!I6+'23년 시즌'!I6+'24년 시즌'!I6</f>
        <v>4</v>
      </c>
      <c r="J4" s="1">
        <f>+'22년 시즌'!J6+'23년 시즌'!J6+'24년 시즌'!J6</f>
        <v>1</v>
      </c>
      <c r="K4" s="1">
        <f>+'22년 시즌'!K6+'23년 시즌'!K6+'24년 시즌'!K6</f>
        <v>57</v>
      </c>
      <c r="L4" s="1">
        <f>+'22년 시즌'!L6+'23년 시즌'!L6+'24년 시즌'!L6</f>
        <v>62</v>
      </c>
      <c r="M4" s="1">
        <f>+'22년 시즌'!M6+'23년 시즌'!M6+'24년 시즌'!M6</f>
        <v>39</v>
      </c>
      <c r="N4" s="1">
        <f>+'22년 시즌'!N6+'23년 시즌'!N6+'24년 시즌'!N6</f>
        <v>25</v>
      </c>
      <c r="O4" s="1">
        <f>+'22년 시즌'!O6+'23년 시즌'!O6+'24년 시즌'!O6</f>
        <v>9</v>
      </c>
      <c r="P4" s="87">
        <f t="shared" ref="P4:P24" si="1">+O4/D4</f>
        <v>0.06</v>
      </c>
      <c r="Q4" s="46">
        <f t="shared" ref="Q4:Q24" si="2">+(G4*1+H4*2+I4*3+J4*4)/E4</f>
        <v>0.76422764227642281</v>
      </c>
      <c r="R4" s="28">
        <f t="shared" ref="R4:R24" si="3">+(F4+N4)/D4</f>
        <v>0.62666666666666671</v>
      </c>
      <c r="S4" s="58">
        <f t="shared" ref="S4:S24" si="4">+R4+Q4</f>
        <v>1.3908943089430896</v>
      </c>
      <c r="T4" s="63">
        <f t="shared" ref="T4:T24" si="5">O4/(D4-(F4+N4))</f>
        <v>0.16071428571428573</v>
      </c>
      <c r="U4" s="61">
        <f t="shared" ref="U4:U24" si="6">RANK(R4,$R$4:$R$24)</f>
        <v>1</v>
      </c>
      <c r="V4" s="69">
        <f t="shared" ref="V4:V24" si="7">RANK(S4,$S$4:$S$24)</f>
        <v>1</v>
      </c>
    </row>
    <row r="5" spans="1:22" ht="17.25" x14ac:dyDescent="0.3">
      <c r="A5" s="10" t="s">
        <v>25</v>
      </c>
      <c r="B5" s="1">
        <f>+'22년 시즌'!B10+'23년 시즌'!B10+'24년 시즌'!B10</f>
        <v>54</v>
      </c>
      <c r="C5" s="86">
        <f t="shared" si="0"/>
        <v>0.53191489361702127</v>
      </c>
      <c r="D5" s="1">
        <f>+'22년 시즌'!D10+'23년 시즌'!D10+'24년 시즌'!D10</f>
        <v>168</v>
      </c>
      <c r="E5" s="1">
        <f>+'22년 시즌'!E10+'23년 시즌'!E10+'24년 시즌'!E10</f>
        <v>141</v>
      </c>
      <c r="F5" s="1">
        <f>+'22년 시즌'!F10+'23년 시즌'!F10+'24년 시즌'!F10</f>
        <v>75</v>
      </c>
      <c r="G5" s="1">
        <f>+'22년 시즌'!G10+'23년 시즌'!G10+'24년 시즌'!G10</f>
        <v>54</v>
      </c>
      <c r="H5" s="1">
        <f>+'22년 시즌'!H10+'23년 시즌'!H10+'24년 시즌'!H10</f>
        <v>12</v>
      </c>
      <c r="I5" s="1">
        <f>+'22년 시즌'!I10+'23년 시즌'!I10+'24년 시즌'!I10</f>
        <v>8</v>
      </c>
      <c r="J5" s="1">
        <f>+'22년 시즌'!J10+'23년 시즌'!J10+'24년 시즌'!J10</f>
        <v>1</v>
      </c>
      <c r="K5" s="1">
        <f>+'22년 시즌'!K10+'23년 시즌'!K10+'24년 시즌'!K10</f>
        <v>69</v>
      </c>
      <c r="L5" s="1">
        <f>+'22년 시즌'!L10+'23년 시즌'!L10+'24년 시즌'!L10</f>
        <v>50</v>
      </c>
      <c r="M5" s="1">
        <f>+'22년 시즌'!M10+'23년 시즌'!M10+'24년 시즌'!M10</f>
        <v>79</v>
      </c>
      <c r="N5" s="1">
        <f>+'22년 시즌'!N10+'23년 시즌'!N10+'24년 시즌'!N10</f>
        <v>22</v>
      </c>
      <c r="O5" s="1">
        <f>+'22년 시즌'!O10+'23년 시즌'!O10+'24년 시즌'!O10</f>
        <v>12</v>
      </c>
      <c r="P5" s="87">
        <f t="shared" si="1"/>
        <v>7.1428571428571425E-2</v>
      </c>
      <c r="Q5" s="46">
        <f t="shared" si="2"/>
        <v>0.75177304964539005</v>
      </c>
      <c r="R5" s="28">
        <f t="shared" si="3"/>
        <v>0.57738095238095233</v>
      </c>
      <c r="S5" s="58">
        <f t="shared" si="4"/>
        <v>1.3291540020263424</v>
      </c>
      <c r="T5" s="63">
        <f t="shared" si="5"/>
        <v>0.16901408450704225</v>
      </c>
      <c r="U5" s="61">
        <f t="shared" si="6"/>
        <v>2</v>
      </c>
      <c r="V5" s="69">
        <f t="shared" si="7"/>
        <v>3</v>
      </c>
    </row>
    <row r="6" spans="1:22" ht="17.25" x14ac:dyDescent="0.3">
      <c r="A6" s="10" t="s">
        <v>15</v>
      </c>
      <c r="B6" s="1">
        <f>+'22년 시즌'!B13+'23년 시즌'!B13+'24년 시즌'!B13</f>
        <v>47</v>
      </c>
      <c r="C6" s="86">
        <f t="shared" si="0"/>
        <v>0.5</v>
      </c>
      <c r="D6" s="1">
        <f>+'22년 시즌'!D13+'23년 시즌'!D13+'24년 시즌'!D13</f>
        <v>125</v>
      </c>
      <c r="E6" s="1">
        <f>+'22년 시즌'!E13+'23년 시즌'!E13+'24년 시즌'!E13</f>
        <v>104</v>
      </c>
      <c r="F6" s="1">
        <f>+'22년 시즌'!F13+'23년 시즌'!F13+'24년 시즌'!F13</f>
        <v>52</v>
      </c>
      <c r="G6" s="1">
        <f>+'22년 시즌'!G13+'23년 시즌'!G13+'24년 시즌'!G13</f>
        <v>29</v>
      </c>
      <c r="H6" s="1">
        <f>+'22년 시즌'!H13+'23년 시즌'!H13+'24년 시즌'!H13</f>
        <v>20</v>
      </c>
      <c r="I6" s="1">
        <f>+'22년 시즌'!I13+'23년 시즌'!I13+'24년 시즌'!I13</f>
        <v>2</v>
      </c>
      <c r="J6" s="1">
        <f>+'22년 시즌'!J13+'23년 시즌'!J13+'24년 시즌'!J13</f>
        <v>1</v>
      </c>
      <c r="K6" s="1">
        <f>+'22년 시즌'!K13+'23년 시즌'!K13+'24년 시즌'!K13</f>
        <v>40</v>
      </c>
      <c r="L6" s="1">
        <f>+'22년 시즌'!L13+'23년 시즌'!L13+'24년 시즌'!L13</f>
        <v>42</v>
      </c>
      <c r="M6" s="1">
        <f>+'22년 시즌'!M13+'23년 시즌'!M13+'24년 시즌'!M13</f>
        <v>19</v>
      </c>
      <c r="N6" s="1">
        <f>+'22년 시즌'!N13+'23년 시즌'!N13+'24년 시즌'!N13</f>
        <v>20</v>
      </c>
      <c r="O6" s="1">
        <f>+'22년 시즌'!O13+'23년 시즌'!O13+'24년 시즌'!O13</f>
        <v>5</v>
      </c>
      <c r="P6" s="87">
        <f t="shared" si="1"/>
        <v>0.04</v>
      </c>
      <c r="Q6" s="46">
        <f t="shared" si="2"/>
        <v>0.75961538461538458</v>
      </c>
      <c r="R6" s="28">
        <f t="shared" si="3"/>
        <v>0.57599999999999996</v>
      </c>
      <c r="S6" s="58">
        <f t="shared" si="4"/>
        <v>1.3356153846153846</v>
      </c>
      <c r="T6" s="63">
        <f t="shared" si="5"/>
        <v>9.4339622641509441E-2</v>
      </c>
      <c r="U6" s="61">
        <f t="shared" si="6"/>
        <v>3</v>
      </c>
      <c r="V6" s="69">
        <f t="shared" si="7"/>
        <v>2</v>
      </c>
    </row>
    <row r="7" spans="1:22" ht="17.25" x14ac:dyDescent="0.3">
      <c r="A7" s="10" t="s">
        <v>60</v>
      </c>
      <c r="B7" s="1">
        <f>+'22년 시즌'!B18+'23년 시즌'!B18+'24년 시즌'!B17</f>
        <v>41</v>
      </c>
      <c r="C7" s="86">
        <f t="shared" si="0"/>
        <v>0.42857142857142855</v>
      </c>
      <c r="D7" s="1">
        <f>+'22년 시즌'!D18+'23년 시즌'!D18+'24년 시즌'!D17</f>
        <v>90</v>
      </c>
      <c r="E7" s="1">
        <f>+'22년 시즌'!E18+'23년 시즌'!E18+'24년 시즌'!E17</f>
        <v>77</v>
      </c>
      <c r="F7" s="1">
        <f>+'22년 시즌'!F18+'23년 시즌'!F18+'24년 시즌'!F17</f>
        <v>33</v>
      </c>
      <c r="G7" s="1">
        <f>+'22년 시즌'!G18+'23년 시즌'!G18+'24년 시즌'!G17</f>
        <v>26</v>
      </c>
      <c r="H7" s="1">
        <f>+'22년 시즌'!H18+'23년 시즌'!H18+'24년 시즌'!H17</f>
        <v>5</v>
      </c>
      <c r="I7" s="1">
        <f>+'22년 시즌'!I18+'23년 시즌'!I18+'24년 시즌'!I17</f>
        <v>1</v>
      </c>
      <c r="J7" s="1">
        <f>+'22년 시즌'!J18+'23년 시즌'!J18+'24년 시즌'!J17</f>
        <v>1</v>
      </c>
      <c r="K7" s="1">
        <f>+'22년 시즌'!K18+'23년 시즌'!K18+'24년 시즌'!K17</f>
        <v>23</v>
      </c>
      <c r="L7" s="1">
        <f>+'22년 시즌'!L18+'23년 시즌'!L18+'24년 시즌'!L17</f>
        <v>17</v>
      </c>
      <c r="M7" s="1">
        <f>+'22년 시즌'!M18+'23년 시즌'!M18+'24년 시즌'!M17</f>
        <v>12</v>
      </c>
      <c r="N7" s="1">
        <f>+'22년 시즌'!N18+'23년 시즌'!N18+'24년 시즌'!N17</f>
        <v>11</v>
      </c>
      <c r="O7" s="1">
        <f>+'22년 시즌'!O18+'23년 시즌'!O18+'24년 시즌'!O17</f>
        <v>13</v>
      </c>
      <c r="P7" s="87">
        <f t="shared" si="1"/>
        <v>0.14444444444444443</v>
      </c>
      <c r="Q7" s="46">
        <f t="shared" si="2"/>
        <v>0.55844155844155841</v>
      </c>
      <c r="R7" s="28">
        <f t="shared" si="3"/>
        <v>0.48888888888888887</v>
      </c>
      <c r="S7" s="58">
        <f t="shared" si="4"/>
        <v>1.0473304473304472</v>
      </c>
      <c r="T7" s="62">
        <f t="shared" si="5"/>
        <v>0.28260869565217389</v>
      </c>
      <c r="U7" s="61">
        <f t="shared" si="6"/>
        <v>8</v>
      </c>
      <c r="V7" s="69">
        <f t="shared" si="7"/>
        <v>7</v>
      </c>
    </row>
    <row r="8" spans="1:22" ht="17.25" x14ac:dyDescent="0.3">
      <c r="A8" s="10" t="s">
        <v>14</v>
      </c>
      <c r="B8" s="1">
        <f>+'22년 시즌'!B21+'23년 시즌'!B21+'24년 시즌'!B20</f>
        <v>54</v>
      </c>
      <c r="C8" s="86">
        <f t="shared" si="0"/>
        <v>0.47863247863247865</v>
      </c>
      <c r="D8" s="1">
        <f>+'22년 시즌'!D21+'23년 시즌'!D21+'24년 시즌'!D20</f>
        <v>134</v>
      </c>
      <c r="E8" s="1">
        <f>+'22년 시즌'!E21+'23년 시즌'!E21+'24년 시즌'!E20</f>
        <v>117</v>
      </c>
      <c r="F8" s="1">
        <f>+'22년 시즌'!F21+'23년 시즌'!F21+'24년 시즌'!F20</f>
        <v>56</v>
      </c>
      <c r="G8" s="1">
        <f>+'22년 시즌'!G21+'23년 시즌'!G21+'24년 시즌'!G20</f>
        <v>41</v>
      </c>
      <c r="H8" s="1">
        <f>+'22년 시즌'!H21+'23년 시즌'!H21+'24년 시즌'!H20</f>
        <v>13</v>
      </c>
      <c r="I8" s="1">
        <f>+'22년 시즌'!I21+'23년 시즌'!I21+'24년 시즌'!I20</f>
        <v>0</v>
      </c>
      <c r="J8" s="1">
        <f>+'22년 시즌'!J21+'23년 시즌'!J21+'24년 시즌'!J20</f>
        <v>2</v>
      </c>
      <c r="K8" s="1">
        <f>+'22년 시즌'!K21+'23년 시즌'!K21+'24년 시즌'!K20</f>
        <v>47</v>
      </c>
      <c r="L8" s="1">
        <f>+'22년 시즌'!L21+'23년 시즌'!L21+'24년 시즌'!L20</f>
        <v>43</v>
      </c>
      <c r="M8" s="1">
        <f>+'22년 시즌'!M21+'23년 시즌'!M21+'24년 시즌'!M20</f>
        <v>20</v>
      </c>
      <c r="N8" s="1">
        <f>+'22년 시즌'!N21+'23년 시즌'!N21+'24년 시즌'!N20</f>
        <v>17</v>
      </c>
      <c r="O8" s="1">
        <f>+'22년 시즌'!O21+'23년 시즌'!O21+'24년 시즌'!O20</f>
        <v>14</v>
      </c>
      <c r="P8" s="87">
        <f t="shared" si="1"/>
        <v>0.1044776119402985</v>
      </c>
      <c r="Q8" s="46">
        <f t="shared" si="2"/>
        <v>0.64102564102564108</v>
      </c>
      <c r="R8" s="28">
        <f t="shared" si="3"/>
        <v>0.54477611940298509</v>
      </c>
      <c r="S8" s="58">
        <f t="shared" si="4"/>
        <v>1.1858017604286262</v>
      </c>
      <c r="T8" s="62">
        <f t="shared" si="5"/>
        <v>0.22950819672131148</v>
      </c>
      <c r="U8" s="61">
        <f t="shared" si="6"/>
        <v>4</v>
      </c>
      <c r="V8" s="69">
        <f t="shared" si="7"/>
        <v>4</v>
      </c>
    </row>
    <row r="9" spans="1:22" ht="17.25" x14ac:dyDescent="0.3">
      <c r="A9" s="10" t="s">
        <v>50</v>
      </c>
      <c r="B9" s="1">
        <f>+'22년 시즌'!B16+'23년 시즌'!B16+'24년 시즌'!B15</f>
        <v>37</v>
      </c>
      <c r="C9" s="86">
        <f t="shared" si="0"/>
        <v>0.35</v>
      </c>
      <c r="D9" s="1">
        <f>+'22년 시즌'!D16+'23년 시즌'!D16+'24년 시즌'!D15</f>
        <v>68</v>
      </c>
      <c r="E9" s="1">
        <f>+'22년 시즌'!E16+'23년 시즌'!E16+'24년 시즌'!E15</f>
        <v>60</v>
      </c>
      <c r="F9" s="1">
        <f>+'22년 시즌'!F16+'23년 시즌'!F16+'24년 시즌'!F15</f>
        <v>21</v>
      </c>
      <c r="G9" s="1">
        <f>+'22년 시즌'!G16+'23년 시즌'!G16+'24년 시즌'!G15</f>
        <v>16</v>
      </c>
      <c r="H9" s="1">
        <f>+'22년 시즌'!H16+'23년 시즌'!H16+'24년 시즌'!H15</f>
        <v>5</v>
      </c>
      <c r="I9" s="1">
        <f>+'22년 시즌'!I16+'23년 시즌'!I16+'24년 시즌'!I15</f>
        <v>0</v>
      </c>
      <c r="J9" s="1">
        <f>+'22년 시즌'!J16+'23년 시즌'!J16+'24년 시즌'!J15</f>
        <v>0</v>
      </c>
      <c r="K9" s="1">
        <f>+'22년 시즌'!K16+'23년 시즌'!K16+'24년 시즌'!K15</f>
        <v>17</v>
      </c>
      <c r="L9" s="1">
        <f>+'22년 시즌'!L16+'23년 시즌'!L16+'24년 시즌'!L15</f>
        <v>22</v>
      </c>
      <c r="M9" s="1">
        <f>+'22년 시즌'!M16+'23년 시즌'!M16+'24년 시즌'!M15</f>
        <v>13</v>
      </c>
      <c r="N9" s="1">
        <f>+'22년 시즌'!N16+'23년 시즌'!N16+'24년 시즌'!N15</f>
        <v>7</v>
      </c>
      <c r="O9" s="1">
        <f>+'22년 시즌'!O16+'23년 시즌'!O16+'24년 시즌'!O15</f>
        <v>13</v>
      </c>
      <c r="P9" s="87">
        <f t="shared" si="1"/>
        <v>0.19117647058823528</v>
      </c>
      <c r="Q9" s="46">
        <f t="shared" si="2"/>
        <v>0.43333333333333335</v>
      </c>
      <c r="R9" s="28">
        <f t="shared" si="3"/>
        <v>0.41176470588235292</v>
      </c>
      <c r="S9" s="58">
        <f t="shared" si="4"/>
        <v>0.84509803921568627</v>
      </c>
      <c r="T9" s="74">
        <f t="shared" si="5"/>
        <v>0.32500000000000001</v>
      </c>
      <c r="U9" s="61">
        <f t="shared" si="6"/>
        <v>13</v>
      </c>
      <c r="V9" s="69">
        <f t="shared" si="7"/>
        <v>11</v>
      </c>
    </row>
    <row r="10" spans="1:22" ht="17.25" x14ac:dyDescent="0.3">
      <c r="A10" s="10" t="s">
        <v>33</v>
      </c>
      <c r="B10" s="1">
        <f>+'22년 시즌'!B17+'23년 시즌'!B17+'24년 시즌'!B16</f>
        <v>28</v>
      </c>
      <c r="C10" s="86">
        <f t="shared" si="0"/>
        <v>0.38235294117647056</v>
      </c>
      <c r="D10" s="1">
        <f>+'22년 시즌'!D17+'23년 시즌'!D17+'24년 시즌'!D16</f>
        <v>88</v>
      </c>
      <c r="E10" s="1">
        <f>+'22년 시즌'!E17+'23년 시즌'!E17+'24년 시즌'!E16</f>
        <v>68</v>
      </c>
      <c r="F10" s="1">
        <f>+'22년 시즌'!F17+'23년 시즌'!F17+'24년 시즌'!F16</f>
        <v>26</v>
      </c>
      <c r="G10" s="1">
        <f>+'22년 시즌'!G17+'23년 시즌'!G17+'24년 시즌'!G16</f>
        <v>19</v>
      </c>
      <c r="H10" s="1">
        <f>+'22년 시즌'!H17+'23년 시즌'!H17+'24년 시즌'!H16</f>
        <v>3</v>
      </c>
      <c r="I10" s="1">
        <f>+'22년 시즌'!I17+'23년 시즌'!I17+'24년 시즌'!I16</f>
        <v>4</v>
      </c>
      <c r="J10" s="1">
        <f>+'22년 시즌'!J17+'23년 시즌'!J17+'24년 시즌'!J16</f>
        <v>0</v>
      </c>
      <c r="K10" s="1">
        <f>+'22년 시즌'!K17+'23년 시즌'!K17+'24년 시즌'!K16</f>
        <v>27</v>
      </c>
      <c r="L10" s="1">
        <f>+'22년 시즌'!L17+'23년 시즌'!L17+'24년 시즌'!L16</f>
        <v>14</v>
      </c>
      <c r="M10" s="1">
        <f>+'22년 시즌'!M17+'23년 시즌'!M17+'24년 시즌'!M16</f>
        <v>25</v>
      </c>
      <c r="N10" s="1">
        <f>+'22년 시즌'!N17+'23년 시즌'!N17+'24년 시즌'!N16</f>
        <v>19</v>
      </c>
      <c r="O10" s="1">
        <f>+'22년 시즌'!O17+'23년 시즌'!O17+'24년 시즌'!O16</f>
        <v>13</v>
      </c>
      <c r="P10" s="87">
        <f t="shared" si="1"/>
        <v>0.14772727272727273</v>
      </c>
      <c r="Q10" s="46">
        <f t="shared" si="2"/>
        <v>0.54411764705882348</v>
      </c>
      <c r="R10" s="28">
        <f t="shared" si="3"/>
        <v>0.51136363636363635</v>
      </c>
      <c r="S10" s="58">
        <f t="shared" si="4"/>
        <v>1.0554812834224598</v>
      </c>
      <c r="T10" s="66">
        <f t="shared" si="5"/>
        <v>0.30232558139534882</v>
      </c>
      <c r="U10" s="61">
        <f t="shared" si="6"/>
        <v>6</v>
      </c>
      <c r="V10" s="69">
        <f t="shared" si="7"/>
        <v>6</v>
      </c>
    </row>
    <row r="11" spans="1:22" ht="17.25" x14ac:dyDescent="0.3">
      <c r="A11" s="10" t="s">
        <v>4</v>
      </c>
      <c r="B11" s="1">
        <f>+'22년 시즌'!B8+'23년 시즌'!B8+'24년 시즌'!B8</f>
        <v>44</v>
      </c>
      <c r="C11" s="86">
        <f t="shared" si="0"/>
        <v>0.36470588235294116</v>
      </c>
      <c r="D11" s="1">
        <f>+'22년 시즌'!D8+'23년 시즌'!D8+'24년 시즌'!D8</f>
        <v>112</v>
      </c>
      <c r="E11" s="1">
        <f>+'22년 시즌'!E8+'23년 시즌'!E8+'24년 시즌'!E8</f>
        <v>85</v>
      </c>
      <c r="F11" s="1">
        <f>+'22년 시즌'!F8+'23년 시즌'!F8+'24년 시즌'!F8</f>
        <v>31</v>
      </c>
      <c r="G11" s="1">
        <f>+'22년 시즌'!G8+'23년 시즌'!G8+'24년 시즌'!G8</f>
        <v>20</v>
      </c>
      <c r="H11" s="1">
        <f>+'22년 시즌'!H8+'23년 시즌'!H8+'24년 시즌'!H8</f>
        <v>7</v>
      </c>
      <c r="I11" s="1">
        <f>+'22년 시즌'!I8+'23년 시즌'!I8+'24년 시즌'!I8</f>
        <v>3</v>
      </c>
      <c r="J11" s="1">
        <f>+'22년 시즌'!J8+'23년 시즌'!J8+'24년 시즌'!J8</f>
        <v>1</v>
      </c>
      <c r="K11" s="1">
        <f>+'22년 시즌'!K8+'23년 시즌'!K8+'24년 시즌'!K8</f>
        <v>35</v>
      </c>
      <c r="L11" s="1">
        <f>+'22년 시즌'!L8+'23년 시즌'!L8+'24년 시즌'!L8</f>
        <v>33</v>
      </c>
      <c r="M11" s="1">
        <f>+'22년 시즌'!M8+'23년 시즌'!M8+'24년 시즌'!M8</f>
        <v>19</v>
      </c>
      <c r="N11" s="1">
        <f>+'22년 시즌'!N8+'23년 시즌'!N8+'24년 시즌'!N8</f>
        <v>26</v>
      </c>
      <c r="O11" s="1">
        <f>+'22년 시즌'!O8+'23년 시즌'!O8+'24년 시즌'!O8</f>
        <v>23</v>
      </c>
      <c r="P11" s="87">
        <f t="shared" si="1"/>
        <v>0.20535714285714285</v>
      </c>
      <c r="Q11" s="46">
        <f t="shared" si="2"/>
        <v>0.55294117647058827</v>
      </c>
      <c r="R11" s="28">
        <f t="shared" si="3"/>
        <v>0.5089285714285714</v>
      </c>
      <c r="S11" s="58">
        <f t="shared" si="4"/>
        <v>1.0618697478991597</v>
      </c>
      <c r="T11" s="62">
        <f t="shared" si="5"/>
        <v>0.41818181818181815</v>
      </c>
      <c r="U11" s="61">
        <f t="shared" si="6"/>
        <v>7</v>
      </c>
      <c r="V11" s="69">
        <f t="shared" si="7"/>
        <v>5</v>
      </c>
    </row>
    <row r="12" spans="1:22" ht="17.25" x14ac:dyDescent="0.3">
      <c r="A12" s="10" t="s">
        <v>22</v>
      </c>
      <c r="B12" s="1">
        <f>+'22년 시즌'!B23+'23년 시즌'!B23+'24년 시즌'!B22</f>
        <v>44</v>
      </c>
      <c r="C12" s="86">
        <f t="shared" si="0"/>
        <v>0.34042553191489361</v>
      </c>
      <c r="D12" s="1">
        <f>+'22년 시즌'!D23+'23년 시즌'!D23+'24년 시즌'!D22</f>
        <v>115</v>
      </c>
      <c r="E12" s="1">
        <f>+'22년 시즌'!E23+'23년 시즌'!E23+'24년 시즌'!E22</f>
        <v>94</v>
      </c>
      <c r="F12" s="1">
        <f>+'22년 시즌'!F23+'23년 시즌'!F23+'24년 시즌'!F22</f>
        <v>32</v>
      </c>
      <c r="G12" s="1">
        <f>+'22년 시즌'!G23+'23년 시즌'!G23+'24년 시즌'!G22</f>
        <v>20</v>
      </c>
      <c r="H12" s="1">
        <f>+'22년 시즌'!H23+'23년 시즌'!H23+'24년 시즌'!H22</f>
        <v>10</v>
      </c>
      <c r="I12" s="1">
        <f>+'22년 시즌'!I23+'23년 시즌'!I23+'24년 시즌'!I22</f>
        <v>2</v>
      </c>
      <c r="J12" s="1">
        <f>+'22년 시즌'!J23+'23년 시즌'!J23+'24년 시즌'!J22</f>
        <v>0</v>
      </c>
      <c r="K12" s="1">
        <f>+'22년 시즌'!K23+'23년 시즌'!K23+'24년 시즌'!K22</f>
        <v>28</v>
      </c>
      <c r="L12" s="1">
        <f>+'22년 시즌'!L23+'23년 시즌'!L23+'24년 시즌'!L22</f>
        <v>25</v>
      </c>
      <c r="M12" s="1">
        <f>+'22년 시즌'!M23+'23년 시즌'!M23+'24년 시즌'!M22</f>
        <v>17</v>
      </c>
      <c r="N12" s="1">
        <f>+'22년 시즌'!N23+'23년 시즌'!N23+'24년 시즌'!N22</f>
        <v>20</v>
      </c>
      <c r="O12" s="1">
        <f>+'22년 시즌'!O23+'23년 시즌'!O23+'24년 시즌'!O22</f>
        <v>20</v>
      </c>
      <c r="P12" s="87">
        <f t="shared" si="1"/>
        <v>0.17391304347826086</v>
      </c>
      <c r="Q12" s="46">
        <f t="shared" si="2"/>
        <v>0.48936170212765956</v>
      </c>
      <c r="R12" s="28">
        <f t="shared" si="3"/>
        <v>0.45217391304347826</v>
      </c>
      <c r="S12" s="58">
        <f t="shared" si="4"/>
        <v>0.94153561517113782</v>
      </c>
      <c r="T12" s="62">
        <f t="shared" si="5"/>
        <v>0.31746031746031744</v>
      </c>
      <c r="U12" s="61">
        <f t="shared" si="6"/>
        <v>10</v>
      </c>
      <c r="V12" s="69">
        <f t="shared" si="7"/>
        <v>8</v>
      </c>
    </row>
    <row r="13" spans="1:22" ht="17.25" x14ac:dyDescent="0.3">
      <c r="A13" s="10" t="s">
        <v>12</v>
      </c>
      <c r="B13" s="1">
        <f>+'22년 시즌'!B19+'23년 시즌'!B19+'24년 시즌'!B18</f>
        <v>31</v>
      </c>
      <c r="C13" s="86">
        <f t="shared" si="0"/>
        <v>0.35384615384615387</v>
      </c>
      <c r="D13" s="1">
        <f>+'22년 시즌'!D19+'23년 시즌'!D19+'24년 시즌'!D18</f>
        <v>80</v>
      </c>
      <c r="E13" s="1">
        <f>+'22년 시즌'!E19+'23년 시즌'!E19+'24년 시즌'!E18</f>
        <v>65</v>
      </c>
      <c r="F13" s="1">
        <f>+'22년 시즌'!F19+'23년 시즌'!F19+'24년 시즌'!F18</f>
        <v>23</v>
      </c>
      <c r="G13" s="1">
        <f>+'22년 시즌'!G19+'23년 시즌'!G19+'24년 시즌'!G18</f>
        <v>22</v>
      </c>
      <c r="H13" s="1">
        <f>+'22년 시즌'!H19+'23년 시즌'!H19+'24년 시즌'!H18</f>
        <v>0</v>
      </c>
      <c r="I13" s="1">
        <f>+'22년 시즌'!I19+'23년 시즌'!I19+'24년 시즌'!I18</f>
        <v>0</v>
      </c>
      <c r="J13" s="1">
        <f>+'22년 시즌'!J19+'23년 시즌'!J19+'24년 시즌'!J18</f>
        <v>1</v>
      </c>
      <c r="K13" s="1">
        <f>+'22년 시즌'!K19+'23년 시즌'!K19+'24년 시즌'!K18</f>
        <v>20</v>
      </c>
      <c r="L13" s="1">
        <f>+'22년 시즌'!L19+'23년 시즌'!L19+'24년 시즌'!L18</f>
        <v>22</v>
      </c>
      <c r="M13" s="1">
        <f>+'22년 시즌'!M19+'23년 시즌'!M19+'24년 시즌'!M18</f>
        <v>7</v>
      </c>
      <c r="N13" s="1">
        <f>+'22년 시즌'!N19+'23년 시즌'!N19+'24년 시즌'!N18</f>
        <v>13</v>
      </c>
      <c r="O13" s="1">
        <f>+'22년 시즌'!O19+'23년 시즌'!O19+'24년 시즌'!O18</f>
        <v>10</v>
      </c>
      <c r="P13" s="87">
        <f t="shared" si="1"/>
        <v>0.125</v>
      </c>
      <c r="Q13" s="46">
        <f t="shared" si="2"/>
        <v>0.4</v>
      </c>
      <c r="R13" s="28">
        <f t="shared" si="3"/>
        <v>0.45</v>
      </c>
      <c r="S13" s="58">
        <f t="shared" si="4"/>
        <v>0.85000000000000009</v>
      </c>
      <c r="T13" s="75">
        <f t="shared" si="5"/>
        <v>0.22727272727272727</v>
      </c>
      <c r="U13" s="61">
        <f t="shared" si="6"/>
        <v>11</v>
      </c>
      <c r="V13" s="69">
        <f t="shared" si="7"/>
        <v>10</v>
      </c>
    </row>
    <row r="14" spans="1:22" ht="17.25" x14ac:dyDescent="0.3">
      <c r="A14" s="10" t="s">
        <v>47</v>
      </c>
      <c r="B14" s="1">
        <f>+'22년 시즌'!B22+'23년 시즌'!B22+'24년 시즌'!B21</f>
        <v>34</v>
      </c>
      <c r="C14" s="86">
        <f t="shared" si="0"/>
        <v>0.3392857142857143</v>
      </c>
      <c r="D14" s="1">
        <f>+'22년 시즌'!D22+'23년 시즌'!D22+'24년 시즌'!D21</f>
        <v>74</v>
      </c>
      <c r="E14" s="1">
        <f>+'22년 시즌'!E22+'23년 시즌'!E22+'24년 시즌'!E21</f>
        <v>56</v>
      </c>
      <c r="F14" s="1">
        <f>+'22년 시즌'!F22+'23년 시즌'!F22+'24년 시즌'!F21</f>
        <v>19</v>
      </c>
      <c r="G14" s="1">
        <f>+'22년 시즌'!G22+'23년 시즌'!G22+'24년 시즌'!G21</f>
        <v>15</v>
      </c>
      <c r="H14" s="1">
        <f>+'22년 시즌'!H22+'23년 시즌'!H22+'24년 시즌'!H21</f>
        <v>4</v>
      </c>
      <c r="I14" s="1">
        <f>+'22년 시즌'!I22+'23년 시즌'!I22+'24년 시즌'!I21</f>
        <v>0</v>
      </c>
      <c r="J14" s="1">
        <f>+'22년 시즌'!J22+'23년 시즌'!J22+'24년 시즌'!J21</f>
        <v>0</v>
      </c>
      <c r="K14" s="1">
        <f>+'22년 시즌'!K22+'23년 시즌'!K22+'24년 시즌'!K21</f>
        <v>22</v>
      </c>
      <c r="L14" s="1">
        <f>+'22년 시즌'!L22+'23년 시즌'!L22+'24년 시즌'!L21</f>
        <v>17</v>
      </c>
      <c r="M14" s="1">
        <f>+'22년 시즌'!M22+'23년 시즌'!M22+'24년 시즌'!M21</f>
        <v>16</v>
      </c>
      <c r="N14" s="1">
        <f>+'22년 시즌'!N22+'23년 시즌'!N22+'24년 시즌'!N21</f>
        <v>16</v>
      </c>
      <c r="O14" s="1">
        <f>+'22년 시즌'!O22+'23년 시즌'!O22+'24년 시즌'!O21</f>
        <v>18</v>
      </c>
      <c r="P14" s="87">
        <f t="shared" si="1"/>
        <v>0.24324324324324326</v>
      </c>
      <c r="Q14" s="46">
        <f t="shared" si="2"/>
        <v>0.4107142857142857</v>
      </c>
      <c r="R14" s="28">
        <f t="shared" si="3"/>
        <v>0.47297297297297297</v>
      </c>
      <c r="S14" s="58">
        <f t="shared" si="4"/>
        <v>0.88368725868725861</v>
      </c>
      <c r="T14" s="66">
        <f t="shared" si="5"/>
        <v>0.46153846153846156</v>
      </c>
      <c r="U14" s="61">
        <f t="shared" si="6"/>
        <v>9</v>
      </c>
      <c r="V14" s="69">
        <f t="shared" si="7"/>
        <v>9</v>
      </c>
    </row>
    <row r="15" spans="1:22" ht="17.25" x14ac:dyDescent="0.3">
      <c r="A15" s="10" t="s">
        <v>8</v>
      </c>
      <c r="B15" s="1">
        <f>+'22년 시즌'!B12+'23년 시즌'!B12+'24년 시즌'!B12</f>
        <v>20</v>
      </c>
      <c r="C15" s="86">
        <f t="shared" si="0"/>
        <v>0.30769230769230771</v>
      </c>
      <c r="D15" s="1">
        <f>+'22년 시즌'!D12+'23년 시즌'!D12+'24년 시즌'!D12</f>
        <v>41</v>
      </c>
      <c r="E15" s="1">
        <f>+'22년 시즌'!E12+'23년 시즌'!E12+'24년 시즌'!E12</f>
        <v>26</v>
      </c>
      <c r="F15" s="1">
        <f>+'22년 시즌'!F12+'23년 시즌'!F12+'24년 시즌'!F12</f>
        <v>8</v>
      </c>
      <c r="G15" s="1">
        <f>+'22년 시즌'!G12+'23년 시즌'!G12+'24년 시즌'!G12</f>
        <v>7</v>
      </c>
      <c r="H15" s="1">
        <f>+'22년 시즌'!H12+'23년 시즌'!H12+'24년 시즌'!H12</f>
        <v>1</v>
      </c>
      <c r="I15" s="1">
        <f>+'22년 시즌'!I12+'23년 시즌'!I12+'24년 시즌'!I12</f>
        <v>0</v>
      </c>
      <c r="J15" s="1">
        <f>+'22년 시즌'!J12+'23년 시즌'!J12+'24년 시즌'!J12</f>
        <v>0</v>
      </c>
      <c r="K15" s="1">
        <f>+'22년 시즌'!K12+'23년 시즌'!K12+'24년 시즌'!K12</f>
        <v>16</v>
      </c>
      <c r="L15" s="1">
        <f>+'22년 시즌'!L12+'23년 시즌'!L12+'24년 시즌'!L12</f>
        <v>5</v>
      </c>
      <c r="M15" s="1">
        <f>+'22년 시즌'!M12+'23년 시즌'!M12+'24년 시즌'!M12</f>
        <v>11</v>
      </c>
      <c r="N15" s="1">
        <f>+'22년 시즌'!N12+'23년 시즌'!N12+'24년 시즌'!N12</f>
        <v>8</v>
      </c>
      <c r="O15" s="1">
        <f>+'22년 시즌'!O12+'23년 시즌'!O12+'24년 시즌'!O12</f>
        <v>2</v>
      </c>
      <c r="P15" s="87">
        <f t="shared" si="1"/>
        <v>4.878048780487805E-2</v>
      </c>
      <c r="Q15" s="46">
        <f t="shared" si="2"/>
        <v>0.34615384615384615</v>
      </c>
      <c r="R15" s="28">
        <f t="shared" si="3"/>
        <v>0.3902439024390244</v>
      </c>
      <c r="S15" s="58">
        <f t="shared" si="4"/>
        <v>0.73639774859287055</v>
      </c>
      <c r="T15" s="64">
        <f t="shared" si="5"/>
        <v>0.08</v>
      </c>
      <c r="U15" s="61">
        <f t="shared" si="6"/>
        <v>16</v>
      </c>
      <c r="V15" s="69">
        <f t="shared" si="7"/>
        <v>13</v>
      </c>
    </row>
    <row r="16" spans="1:22" ht="17.25" x14ac:dyDescent="0.3">
      <c r="A16" s="10" t="s">
        <v>21</v>
      </c>
      <c r="B16" s="1">
        <f>+'22년 시즌'!B11+'23년 시즌'!B11+'24년 시즌'!B11</f>
        <v>34</v>
      </c>
      <c r="C16" s="86">
        <f t="shared" si="0"/>
        <v>0.27868852459016391</v>
      </c>
      <c r="D16" s="1">
        <f>+'22년 시즌'!D11+'23년 시즌'!D11+'24년 시즌'!D11</f>
        <v>69</v>
      </c>
      <c r="E16" s="1">
        <f>+'22년 시즌'!E11+'23년 시즌'!E11+'24년 시즌'!E11</f>
        <v>61</v>
      </c>
      <c r="F16" s="1">
        <f>+'22년 시즌'!F11+'23년 시즌'!F11+'24년 시즌'!F11</f>
        <v>17</v>
      </c>
      <c r="G16" s="1">
        <f>+'22년 시즌'!G11+'23년 시즌'!G11+'24년 시즌'!G11</f>
        <v>15</v>
      </c>
      <c r="H16" s="1">
        <f>+'22년 시즌'!H11+'23년 시즌'!H11+'24년 시즌'!H11</f>
        <v>2</v>
      </c>
      <c r="I16" s="1">
        <f>+'22년 시즌'!I11+'23년 시즌'!I11+'24년 시즌'!I11</f>
        <v>0</v>
      </c>
      <c r="J16" s="1">
        <f>+'22년 시즌'!J11+'23년 시즌'!J11+'24년 시즌'!J11</f>
        <v>0</v>
      </c>
      <c r="K16" s="1">
        <f>+'22년 시즌'!K11+'23년 시즌'!K11+'24년 시즌'!K11</f>
        <v>20</v>
      </c>
      <c r="L16" s="1">
        <f>+'22년 시즌'!L11+'23년 시즌'!L11+'24년 시즌'!L11</f>
        <v>15</v>
      </c>
      <c r="M16" s="1">
        <f>+'22년 시즌'!M11+'23년 시즌'!M11+'24년 시즌'!M11</f>
        <v>15</v>
      </c>
      <c r="N16" s="1">
        <f>+'22년 시즌'!N11+'23년 시즌'!N11+'24년 시즌'!N11</f>
        <v>8</v>
      </c>
      <c r="O16" s="1">
        <f>+'22년 시즌'!O11+'23년 시즌'!O11+'24년 시즌'!O11</f>
        <v>14</v>
      </c>
      <c r="P16" s="87">
        <f t="shared" si="1"/>
        <v>0.20289855072463769</v>
      </c>
      <c r="Q16" s="46">
        <f t="shared" si="2"/>
        <v>0.31147540983606559</v>
      </c>
      <c r="R16" s="28">
        <f t="shared" si="3"/>
        <v>0.36231884057971014</v>
      </c>
      <c r="S16" s="58">
        <f t="shared" si="4"/>
        <v>0.67379425041577568</v>
      </c>
      <c r="T16" s="62">
        <f t="shared" si="5"/>
        <v>0.31818181818181818</v>
      </c>
      <c r="U16" s="61">
        <f t="shared" si="6"/>
        <v>19</v>
      </c>
      <c r="V16" s="69">
        <f t="shared" si="7"/>
        <v>14</v>
      </c>
    </row>
    <row r="17" spans="1:22" ht="17.25" x14ac:dyDescent="0.3">
      <c r="A17" s="10" t="s">
        <v>51</v>
      </c>
      <c r="B17" s="1">
        <f>+'22년 시즌'!B9+'23년 시즌'!B9+'24년 시즌'!B9</f>
        <v>22</v>
      </c>
      <c r="C17" s="86">
        <f t="shared" si="0"/>
        <v>0.23404255319148937</v>
      </c>
      <c r="D17" s="1">
        <f>+'22년 시즌'!D9+'23년 시즌'!D9+'24년 시즌'!D9</f>
        <v>48</v>
      </c>
      <c r="E17" s="1">
        <f>+'22년 시즌'!E9+'23년 시즌'!E9+'24년 시즌'!E9</f>
        <v>47</v>
      </c>
      <c r="F17" s="1">
        <f>+'22년 시즌'!F9+'23년 시즌'!F9+'24년 시즌'!F9</f>
        <v>11</v>
      </c>
      <c r="G17" s="1">
        <f>+'22년 시즌'!G9+'23년 시즌'!G9+'24년 시즌'!G9</f>
        <v>10</v>
      </c>
      <c r="H17" s="1">
        <f>+'22년 시즌'!H9+'23년 시즌'!H9+'24년 시즌'!H9</f>
        <v>1</v>
      </c>
      <c r="I17" s="1">
        <f>+'22년 시즌'!I9+'23년 시즌'!I9+'24년 시즌'!I9</f>
        <v>0</v>
      </c>
      <c r="J17" s="1">
        <f>+'22년 시즌'!J9+'23년 시즌'!J9+'24년 시즌'!J9</f>
        <v>0</v>
      </c>
      <c r="K17" s="1">
        <f>+'22년 시즌'!K9+'23년 시즌'!K9+'24년 시즌'!K9</f>
        <v>10</v>
      </c>
      <c r="L17" s="1">
        <f>+'22년 시즌'!L9+'23년 시즌'!L9+'24년 시즌'!L9</f>
        <v>6</v>
      </c>
      <c r="M17" s="1">
        <f>+'22년 시즌'!M9+'23년 시즌'!M9+'24년 시즌'!M9</f>
        <v>8</v>
      </c>
      <c r="N17" s="1">
        <f>+'22년 시즌'!N9+'23년 시즌'!N9+'24년 시즌'!N9</f>
        <v>6</v>
      </c>
      <c r="O17" s="1">
        <f>+'22년 시즌'!O9+'23년 시즌'!O9+'24년 시즌'!O9</f>
        <v>16</v>
      </c>
      <c r="P17" s="88">
        <f t="shared" si="1"/>
        <v>0.33333333333333331</v>
      </c>
      <c r="Q17" s="46">
        <f t="shared" si="2"/>
        <v>0.25531914893617019</v>
      </c>
      <c r="R17" s="28">
        <f t="shared" si="3"/>
        <v>0.35416666666666669</v>
      </c>
      <c r="S17" s="58">
        <f t="shared" si="4"/>
        <v>0.60948581560283688</v>
      </c>
      <c r="T17" s="62">
        <f t="shared" si="5"/>
        <v>0.5161290322580645</v>
      </c>
      <c r="U17" s="61">
        <f t="shared" si="6"/>
        <v>20</v>
      </c>
      <c r="V17" s="69">
        <f t="shared" si="7"/>
        <v>19</v>
      </c>
    </row>
    <row r="18" spans="1:22" ht="17.25" x14ac:dyDescent="0.3">
      <c r="A18" s="10" t="s">
        <v>34</v>
      </c>
      <c r="B18" s="1">
        <f>+'22년 시즌'!B5+'23년 시즌'!B5+'24년 시즌'!B5</f>
        <v>29</v>
      </c>
      <c r="C18" s="86">
        <f t="shared" si="0"/>
        <v>0.19354838709677419</v>
      </c>
      <c r="D18" s="1">
        <f>+'22년 시즌'!D5+'23년 시즌'!D5+'24년 시즌'!D5</f>
        <v>55</v>
      </c>
      <c r="E18" s="1">
        <f>+'22년 시즌'!E5+'23년 시즌'!E5+'24년 시즌'!E5</f>
        <v>31</v>
      </c>
      <c r="F18" s="1">
        <f>+'22년 시즌'!F5+'23년 시즌'!F5+'24년 시즌'!F5</f>
        <v>6</v>
      </c>
      <c r="G18" s="1">
        <f>+'22년 시즌'!G5+'23년 시즌'!G5+'24년 시즌'!G5</f>
        <v>4</v>
      </c>
      <c r="H18" s="1">
        <f>+'22년 시즌'!H5+'23년 시즌'!H5+'24년 시즌'!H5</f>
        <v>2</v>
      </c>
      <c r="I18" s="1">
        <f>+'22년 시즌'!I5+'23년 시즌'!I5+'24년 시즌'!I5</f>
        <v>0</v>
      </c>
      <c r="J18" s="1">
        <f>+'22년 시즌'!J5+'23년 시즌'!J5+'24년 시즌'!J5</f>
        <v>0</v>
      </c>
      <c r="K18" s="1">
        <f>+'22년 시즌'!K5+'23년 시즌'!K5+'24년 시즌'!K5</f>
        <v>12</v>
      </c>
      <c r="L18" s="1">
        <f>+'22년 시즌'!L5+'23년 시즌'!L5+'24년 시즌'!L5</f>
        <v>8</v>
      </c>
      <c r="M18" s="1">
        <f>+'22년 시즌'!M5+'23년 시즌'!M5+'24년 시즌'!M5</f>
        <v>6</v>
      </c>
      <c r="N18" s="1">
        <f>+'22년 시즌'!N5+'23년 시즌'!N5+'24년 시즌'!N5</f>
        <v>23</v>
      </c>
      <c r="O18" s="1">
        <f>+'22년 시즌'!O5+'23년 시즌'!O5+'24년 시즌'!O5</f>
        <v>17</v>
      </c>
      <c r="P18" s="87">
        <f t="shared" si="1"/>
        <v>0.30909090909090908</v>
      </c>
      <c r="Q18" s="46">
        <f t="shared" si="2"/>
        <v>0.25806451612903225</v>
      </c>
      <c r="R18" s="28">
        <f t="shared" si="3"/>
        <v>0.52727272727272723</v>
      </c>
      <c r="S18" s="58">
        <f t="shared" si="4"/>
        <v>0.78533724340175948</v>
      </c>
      <c r="T18" s="62">
        <f t="shared" si="5"/>
        <v>0.65384615384615385</v>
      </c>
      <c r="U18" s="61">
        <f t="shared" si="6"/>
        <v>5</v>
      </c>
      <c r="V18" s="69">
        <f t="shared" si="7"/>
        <v>12</v>
      </c>
    </row>
    <row r="19" spans="1:22" ht="17.25" x14ac:dyDescent="0.3">
      <c r="A19" s="10" t="s">
        <v>24</v>
      </c>
      <c r="B19" s="1">
        <f>+'22년 시즌'!B20+'23년 시즌'!B20+'24년 시즌'!B19</f>
        <v>33</v>
      </c>
      <c r="C19" s="86">
        <f t="shared" si="0"/>
        <v>0.18181818181818182</v>
      </c>
      <c r="D19" s="1">
        <f>+'22년 시즌'!D20+'23년 시즌'!D20+'24년 시즌'!D19</f>
        <v>64</v>
      </c>
      <c r="E19" s="1">
        <f>+'22년 시즌'!E20+'23년 시즌'!E20+'24년 시즌'!E19</f>
        <v>44</v>
      </c>
      <c r="F19" s="1">
        <f>+'22년 시즌'!F20+'23년 시즌'!F20+'24년 시즌'!F19</f>
        <v>8</v>
      </c>
      <c r="G19" s="1">
        <f>+'22년 시즌'!G20+'23년 시즌'!G20+'24년 시즌'!G19</f>
        <v>6</v>
      </c>
      <c r="H19" s="1">
        <f>+'22년 시즌'!H20+'23년 시즌'!H20+'24년 시즌'!H19</f>
        <v>2</v>
      </c>
      <c r="I19" s="1">
        <f>+'22년 시즌'!I20+'23년 시즌'!I20+'24년 시즌'!I19</f>
        <v>0</v>
      </c>
      <c r="J19" s="1">
        <f>+'22년 시즌'!J20+'23년 시즌'!J20+'24년 시즌'!J19</f>
        <v>0</v>
      </c>
      <c r="K19" s="1">
        <f>+'22년 시즌'!K20+'23년 시즌'!K20+'24년 시즌'!K19</f>
        <v>16</v>
      </c>
      <c r="L19" s="1">
        <f>+'22년 시즌'!L20+'23년 시즌'!L20+'24년 시즌'!L19</f>
        <v>16</v>
      </c>
      <c r="M19" s="1">
        <f>+'22년 시즌'!M20+'23년 시즌'!M20+'24년 시즌'!M19</f>
        <v>17</v>
      </c>
      <c r="N19" s="1">
        <f>+'22년 시즌'!N20+'23년 시즌'!N20+'24년 시즌'!N19</f>
        <v>20</v>
      </c>
      <c r="O19" s="1">
        <f>+'22년 시즌'!O20+'23년 시즌'!O20+'24년 시즌'!O19</f>
        <v>18</v>
      </c>
      <c r="P19" s="87">
        <f t="shared" si="1"/>
        <v>0.28125</v>
      </c>
      <c r="Q19" s="46">
        <f t="shared" si="2"/>
        <v>0.22727272727272727</v>
      </c>
      <c r="R19" s="28">
        <f t="shared" si="3"/>
        <v>0.4375</v>
      </c>
      <c r="S19" s="58">
        <f t="shared" si="4"/>
        <v>0.66477272727272729</v>
      </c>
      <c r="T19" s="65">
        <f t="shared" si="5"/>
        <v>0.5</v>
      </c>
      <c r="U19" s="61">
        <f t="shared" si="6"/>
        <v>12</v>
      </c>
      <c r="V19" s="69">
        <f t="shared" si="7"/>
        <v>16</v>
      </c>
    </row>
    <row r="20" spans="1:22" ht="17.25" x14ac:dyDescent="0.3">
      <c r="A20" s="10" t="s">
        <v>59</v>
      </c>
      <c r="B20" s="1">
        <f>+'22년 시즌'!B4+'23년 시즌'!B4+'24년 시즌'!B4</f>
        <v>20</v>
      </c>
      <c r="C20" s="86">
        <f t="shared" si="0"/>
        <v>0.14285714285714285</v>
      </c>
      <c r="D20" s="1">
        <f>+'22년 시즌'!D4+'23년 시즌'!D4+'24년 시즌'!D4</f>
        <v>25</v>
      </c>
      <c r="E20" s="1">
        <f>+'22년 시즌'!E4+'23년 시즌'!E4+'24년 시즌'!E4</f>
        <v>21</v>
      </c>
      <c r="F20" s="1">
        <f>+'22년 시즌'!F4+'23년 시즌'!F4+'24년 시즌'!F4</f>
        <v>3</v>
      </c>
      <c r="G20" s="1">
        <f>+'22년 시즌'!G4+'23년 시즌'!G4+'24년 시즌'!G4</f>
        <v>2</v>
      </c>
      <c r="H20" s="1">
        <f>+'22년 시즌'!H4+'23년 시즌'!H4+'24년 시즌'!H4</f>
        <v>0</v>
      </c>
      <c r="I20" s="1">
        <f>+'22년 시즌'!I4+'23년 시즌'!I4+'24년 시즌'!I4</f>
        <v>1</v>
      </c>
      <c r="J20" s="1">
        <f>+'22년 시즌'!J4+'23년 시즌'!J4+'24년 시즌'!J4</f>
        <v>0</v>
      </c>
      <c r="K20" s="1">
        <f>+'22년 시즌'!K4+'23년 시즌'!K4+'24년 시즌'!K4</f>
        <v>8</v>
      </c>
      <c r="L20" s="1">
        <f>+'22년 시즌'!L4+'23년 시즌'!L4+'24년 시즌'!L4</f>
        <v>4</v>
      </c>
      <c r="M20" s="1">
        <f>+'22년 시즌'!M4+'23년 시즌'!M4+'24년 시즌'!M4</f>
        <v>10</v>
      </c>
      <c r="N20" s="1">
        <f>+'22년 시즌'!N4+'23년 시즌'!N4+'24년 시즌'!N4</f>
        <v>4</v>
      </c>
      <c r="O20" s="1">
        <f>+'22년 시즌'!O4+'23년 시즌'!O4+'24년 시즌'!O4</f>
        <v>11</v>
      </c>
      <c r="P20" s="88">
        <f t="shared" si="1"/>
        <v>0.44</v>
      </c>
      <c r="Q20" s="46">
        <f t="shared" si="2"/>
        <v>0.23809523809523808</v>
      </c>
      <c r="R20" s="28">
        <f t="shared" si="3"/>
        <v>0.28000000000000003</v>
      </c>
      <c r="S20" s="58">
        <f t="shared" si="4"/>
        <v>0.51809523809523816</v>
      </c>
      <c r="T20" s="74">
        <f t="shared" si="5"/>
        <v>0.61111111111111116</v>
      </c>
      <c r="U20" s="61">
        <f t="shared" si="6"/>
        <v>21</v>
      </c>
      <c r="V20" s="69">
        <f t="shared" si="7"/>
        <v>20</v>
      </c>
    </row>
    <row r="21" spans="1:22" ht="17.25" x14ac:dyDescent="0.3">
      <c r="A21" s="10" t="s">
        <v>52</v>
      </c>
      <c r="B21" s="1">
        <f>+'22년 시즌'!B14+'23년 시즌'!B14</f>
        <v>14</v>
      </c>
      <c r="C21" s="86">
        <f t="shared" si="0"/>
        <v>0.16666666666666666</v>
      </c>
      <c r="D21" s="1">
        <f>+'22년 시즌'!D14+'23년 시즌'!D14</f>
        <v>33</v>
      </c>
      <c r="E21" s="1">
        <f>+'22년 시즌'!E14+'23년 시즌'!E14</f>
        <v>24</v>
      </c>
      <c r="F21" s="1">
        <f>+'22년 시즌'!F14+'23년 시즌'!F14</f>
        <v>4</v>
      </c>
      <c r="G21" s="1">
        <f>+'22년 시즌'!G14+'23년 시즌'!G14</f>
        <v>3</v>
      </c>
      <c r="H21" s="1">
        <f>+'22년 시즌'!H14+'23년 시즌'!H14</f>
        <v>0</v>
      </c>
      <c r="I21" s="1">
        <f>+'22년 시즌'!I14+'23년 시즌'!I14</f>
        <v>1</v>
      </c>
      <c r="J21" s="1">
        <f>+'22년 시즌'!J14+'23년 시즌'!J14</f>
        <v>0</v>
      </c>
      <c r="K21" s="1">
        <f>+'22년 시즌'!K14+'23년 시즌'!K14</f>
        <v>10</v>
      </c>
      <c r="L21" s="1">
        <f>+'22년 시즌'!L14+'23년 시즌'!L14</f>
        <v>2</v>
      </c>
      <c r="M21" s="1">
        <f>+'22년 시즌'!M14+'23년 시즌'!M14</f>
        <v>5</v>
      </c>
      <c r="N21" s="1">
        <f>+'22년 시즌'!N14+'23년 시즌'!N14</f>
        <v>9</v>
      </c>
      <c r="O21" s="1">
        <f>+'22년 시즌'!O14+'23년 시즌'!O14</f>
        <v>11</v>
      </c>
      <c r="P21" s="87">
        <f t="shared" si="1"/>
        <v>0.33333333333333331</v>
      </c>
      <c r="Q21" s="46">
        <f t="shared" si="2"/>
        <v>0.25</v>
      </c>
      <c r="R21" s="28">
        <f t="shared" si="3"/>
        <v>0.39393939393939392</v>
      </c>
      <c r="S21" s="58">
        <f t="shared" si="4"/>
        <v>0.64393939393939392</v>
      </c>
      <c r="T21" s="65">
        <f t="shared" si="5"/>
        <v>0.55000000000000004</v>
      </c>
      <c r="U21" s="61">
        <f t="shared" si="6"/>
        <v>15</v>
      </c>
      <c r="V21" s="69">
        <f t="shared" si="7"/>
        <v>17</v>
      </c>
    </row>
    <row r="22" spans="1:22" ht="17.25" x14ac:dyDescent="0.3">
      <c r="A22" s="10" t="s">
        <v>23</v>
      </c>
      <c r="B22" s="1">
        <f>+'22년 시즌'!B15+'23년 시즌'!B15+'24년 시즌'!B14</f>
        <v>35</v>
      </c>
      <c r="C22" s="86">
        <f t="shared" si="0"/>
        <v>0.21666666666666667</v>
      </c>
      <c r="D22" s="1">
        <f>+'22년 시즌'!D15+'23년 시즌'!D15+'24년 시즌'!D14</f>
        <v>86</v>
      </c>
      <c r="E22" s="1">
        <f>+'22년 시즌'!E15+'23년 시즌'!E15+'24년 시즌'!E14</f>
        <v>60</v>
      </c>
      <c r="F22" s="1">
        <f>+'22년 시즌'!F15+'23년 시즌'!F15+'24년 시즌'!F14</f>
        <v>13</v>
      </c>
      <c r="G22" s="1">
        <f>+'22년 시즌'!G15+'23년 시즌'!G15+'24년 시즌'!G14</f>
        <v>10</v>
      </c>
      <c r="H22" s="1">
        <f>+'22년 시즌'!H15+'23년 시즌'!H15+'24년 시즌'!H14</f>
        <v>3</v>
      </c>
      <c r="I22" s="1">
        <f>+'22년 시즌'!I15+'23년 시즌'!I15+'24년 시즌'!I14</f>
        <v>0</v>
      </c>
      <c r="J22" s="1">
        <f>+'22년 시즌'!J15+'23년 시즌'!J15+'24년 시즌'!J14</f>
        <v>0</v>
      </c>
      <c r="K22" s="1">
        <f>+'22년 시즌'!K15+'23년 시즌'!K15+'24년 시즌'!K14</f>
        <v>18</v>
      </c>
      <c r="L22" s="1">
        <f>+'22년 시즌'!L15+'23년 시즌'!L15+'24년 시즌'!L14</f>
        <v>17</v>
      </c>
      <c r="M22" s="1">
        <f>+'22년 시즌'!M15+'23년 시즌'!M15+'24년 시즌'!M14</f>
        <v>14</v>
      </c>
      <c r="N22" s="1">
        <f>+'22년 시즌'!N15+'23년 시즌'!N15+'24년 시즌'!N14</f>
        <v>22</v>
      </c>
      <c r="O22" s="1">
        <f>+'22년 시즌'!O15+'23년 시즌'!O15+'24년 시즌'!O14</f>
        <v>32</v>
      </c>
      <c r="P22" s="87">
        <f t="shared" si="1"/>
        <v>0.37209302325581395</v>
      </c>
      <c r="Q22" s="46">
        <f t="shared" si="2"/>
        <v>0.26666666666666666</v>
      </c>
      <c r="R22" s="28">
        <f t="shared" si="3"/>
        <v>0.40697674418604651</v>
      </c>
      <c r="S22" s="58">
        <f t="shared" si="4"/>
        <v>0.67364341085271318</v>
      </c>
      <c r="T22" s="66">
        <f t="shared" si="5"/>
        <v>0.62745098039215685</v>
      </c>
      <c r="U22" s="61">
        <f t="shared" si="6"/>
        <v>14</v>
      </c>
      <c r="V22" s="69">
        <f t="shared" si="7"/>
        <v>15</v>
      </c>
    </row>
    <row r="23" spans="1:22" ht="17.25" x14ac:dyDescent="0.3">
      <c r="A23" s="10" t="s">
        <v>54</v>
      </c>
      <c r="B23" s="1">
        <f>+'22년 시즌'!B24+'23년 시즌'!B24+'24년 시즌'!B23</f>
        <v>20</v>
      </c>
      <c r="C23" s="86">
        <f t="shared" si="0"/>
        <v>0.24242424242424243</v>
      </c>
      <c r="D23" s="1">
        <f>+'22년 시즌'!D24+'23년 시즌'!D24+'24년 시즌'!D23</f>
        <v>52</v>
      </c>
      <c r="E23" s="1">
        <f>+'22년 시즌'!E24+'23년 시즌'!E24+'24년 시즌'!E23</f>
        <v>33</v>
      </c>
      <c r="F23" s="1">
        <f>+'22년 시즌'!F24+'23년 시즌'!F24+'24년 시즌'!F23</f>
        <v>8</v>
      </c>
      <c r="G23" s="1">
        <f>+'22년 시즌'!G24+'23년 시즌'!G24+'24년 시즌'!G23</f>
        <v>8</v>
      </c>
      <c r="H23" s="1">
        <f>+'22년 시즌'!H24+'23년 시즌'!H24+'24년 시즌'!H23</f>
        <v>0</v>
      </c>
      <c r="I23" s="1">
        <f>+'22년 시즌'!I24+'23년 시즌'!I24+'24년 시즌'!I23</f>
        <v>0</v>
      </c>
      <c r="J23" s="1">
        <f>+'22년 시즌'!J24+'23년 시즌'!J24+'24년 시즌'!J23</f>
        <v>0</v>
      </c>
      <c r="K23" s="1">
        <f>+'22년 시즌'!K24+'23년 시즌'!K24+'24년 시즌'!K23</f>
        <v>16</v>
      </c>
      <c r="L23" s="1">
        <f>+'22년 시즌'!L24+'23년 시즌'!L24+'24년 시즌'!L23</f>
        <v>5</v>
      </c>
      <c r="M23" s="1">
        <f>+'22년 시즌'!M24+'23년 시즌'!M24+'24년 시즌'!M23</f>
        <v>4</v>
      </c>
      <c r="N23" s="1">
        <f>+'22년 시즌'!N24+'23년 시즌'!N24+'24년 시즌'!N23</f>
        <v>12</v>
      </c>
      <c r="O23" s="1">
        <f>+'22년 시즌'!O24+'23년 시즌'!O24+'24년 시즌'!O23</f>
        <v>9</v>
      </c>
      <c r="P23" s="87">
        <f t="shared" si="1"/>
        <v>0.17307692307692307</v>
      </c>
      <c r="Q23" s="46">
        <f t="shared" si="2"/>
        <v>0.24242424242424243</v>
      </c>
      <c r="R23" s="28">
        <f t="shared" si="3"/>
        <v>0.38461538461538464</v>
      </c>
      <c r="S23" s="58">
        <f t="shared" si="4"/>
        <v>0.62703962703962701</v>
      </c>
      <c r="T23" s="67">
        <f t="shared" si="5"/>
        <v>0.28125</v>
      </c>
      <c r="U23" s="61">
        <f t="shared" si="6"/>
        <v>17</v>
      </c>
      <c r="V23" s="69">
        <f t="shared" si="7"/>
        <v>18</v>
      </c>
    </row>
    <row r="24" spans="1:22" ht="17.25" x14ac:dyDescent="0.3">
      <c r="A24" s="10" t="s">
        <v>9</v>
      </c>
      <c r="B24" s="1">
        <f>+'22년 시즌'!B7+'23년 시즌'!B7+'24년 시즌'!B7</f>
        <v>4</v>
      </c>
      <c r="C24" s="86">
        <f t="shared" si="0"/>
        <v>0</v>
      </c>
      <c r="D24" s="1">
        <f>+'22년 시즌'!D7+'23년 시즌'!D7+'24년 시즌'!D7</f>
        <v>11</v>
      </c>
      <c r="E24" s="1">
        <f>+'22년 시즌'!E7+'23년 시즌'!E7+'24년 시즌'!E7</f>
        <v>7</v>
      </c>
      <c r="F24" s="1">
        <f>+'22년 시즌'!F7+'23년 시즌'!F7+'24년 시즌'!F7</f>
        <v>0</v>
      </c>
      <c r="G24" s="1">
        <f>+'22년 시즌'!G7+'23년 시즌'!G7+'24년 시즌'!G7</f>
        <v>0</v>
      </c>
      <c r="H24" s="1">
        <f>+'22년 시즌'!H7+'23년 시즌'!H7+'24년 시즌'!H7</f>
        <v>0</v>
      </c>
      <c r="I24" s="1">
        <f>+'22년 시즌'!I7+'23년 시즌'!I7+'24년 시즌'!I7</f>
        <v>0</v>
      </c>
      <c r="J24" s="1">
        <f>+'22년 시즌'!J7+'23년 시즌'!J7+'24년 시즌'!J7</f>
        <v>0</v>
      </c>
      <c r="K24" s="1">
        <f>+'22년 시즌'!K7+'23년 시즌'!K7+'24년 시즌'!K7</f>
        <v>4</v>
      </c>
      <c r="L24" s="1">
        <f>+'22년 시즌'!L7+'23년 시즌'!L7+'24년 시즌'!L7</f>
        <v>6</v>
      </c>
      <c r="M24" s="1">
        <f>+'22년 시즌'!M7+'23년 시즌'!M7+'24년 시즌'!M7</f>
        <v>1</v>
      </c>
      <c r="N24" s="1">
        <f>+'22년 시즌'!N7+'23년 시즌'!N7+'24년 시즌'!N7</f>
        <v>4</v>
      </c>
      <c r="O24" s="1">
        <f>+'22년 시즌'!O7+'23년 시즌'!O7+'24년 시즌'!O7</f>
        <v>2</v>
      </c>
      <c r="P24" s="87">
        <f t="shared" si="1"/>
        <v>0.18181818181818182</v>
      </c>
      <c r="Q24" s="46">
        <f t="shared" si="2"/>
        <v>0</v>
      </c>
      <c r="R24" s="28">
        <f t="shared" si="3"/>
        <v>0.36363636363636365</v>
      </c>
      <c r="S24" s="58">
        <f t="shared" si="4"/>
        <v>0.36363636363636365</v>
      </c>
      <c r="T24" s="67">
        <f t="shared" si="5"/>
        <v>0.2857142857142857</v>
      </c>
      <c r="U24" s="61">
        <f t="shared" si="6"/>
        <v>18</v>
      </c>
      <c r="V24" s="69">
        <f t="shared" si="7"/>
        <v>21</v>
      </c>
    </row>
    <row r="25" spans="1:22" ht="17.25" x14ac:dyDescent="0.3">
      <c r="A25" s="11" t="s">
        <v>10</v>
      </c>
      <c r="B25" s="27"/>
      <c r="C25" s="26">
        <f t="shared" ref="C25" si="8">+F25/E25</f>
        <v>0.38318452380952384</v>
      </c>
      <c r="D25" s="27">
        <f t="shared" ref="D25:O25" si="9">SUM(D4:D24)</f>
        <v>1688</v>
      </c>
      <c r="E25" s="27">
        <f t="shared" si="9"/>
        <v>1344</v>
      </c>
      <c r="F25" s="27">
        <f t="shared" si="9"/>
        <v>515</v>
      </c>
      <c r="G25" s="27">
        <f t="shared" si="9"/>
        <v>377</v>
      </c>
      <c r="H25" s="27">
        <f t="shared" si="9"/>
        <v>104</v>
      </c>
      <c r="I25" s="27">
        <f t="shared" si="9"/>
        <v>26</v>
      </c>
      <c r="J25" s="27">
        <f t="shared" si="9"/>
        <v>8</v>
      </c>
      <c r="K25" s="27">
        <f t="shared" si="9"/>
        <v>515</v>
      </c>
      <c r="L25" s="27">
        <f t="shared" si="9"/>
        <v>431</v>
      </c>
      <c r="M25" s="27">
        <f t="shared" si="9"/>
        <v>357</v>
      </c>
      <c r="N25" s="27">
        <f t="shared" si="9"/>
        <v>312</v>
      </c>
      <c r="O25" s="27">
        <f t="shared" si="9"/>
        <v>282</v>
      </c>
      <c r="P25" s="29">
        <f t="shared" ref="P25" si="10">+O25/D25</f>
        <v>0.16706161137440759</v>
      </c>
      <c r="Q25" s="26">
        <f t="shared" ref="Q25" si="11">+(G25*1+H25*2+I25*3+J25*4)/E25</f>
        <v>0.51711309523809523</v>
      </c>
      <c r="R25" s="26">
        <f t="shared" ref="R25" si="12">+(F25+N25)/D25</f>
        <v>0.48992890995260663</v>
      </c>
      <c r="S25" s="68">
        <f t="shared" ref="S25" si="13">+R25+Q25</f>
        <v>1.0070420051907019</v>
      </c>
      <c r="T25" s="68"/>
      <c r="U25" s="68"/>
      <c r="V25" s="68"/>
    </row>
    <row r="27" spans="1:22" ht="17.25" x14ac:dyDescent="0.3">
      <c r="A27" s="4" t="s">
        <v>3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32"/>
      <c r="U27" s="5"/>
      <c r="V27" s="5"/>
    </row>
    <row r="28" spans="1:22" ht="34.5" x14ac:dyDescent="0.3">
      <c r="A28" s="10" t="s">
        <v>27</v>
      </c>
      <c r="B28" s="10" t="s">
        <v>46</v>
      </c>
      <c r="C28" s="10" t="s">
        <v>55</v>
      </c>
      <c r="D28" s="10" t="s">
        <v>41</v>
      </c>
      <c r="E28" s="10" t="s">
        <v>48</v>
      </c>
      <c r="F28" s="10" t="s">
        <v>45</v>
      </c>
      <c r="G28" s="10" t="s">
        <v>38</v>
      </c>
      <c r="H28" s="10" t="s">
        <v>5</v>
      </c>
      <c r="I28" s="10" t="s">
        <v>17</v>
      </c>
      <c r="J28" s="10" t="s">
        <v>26</v>
      </c>
      <c r="K28" s="10" t="s">
        <v>30</v>
      </c>
      <c r="L28" s="10" t="s">
        <v>11</v>
      </c>
      <c r="M28" s="10" t="s">
        <v>6</v>
      </c>
      <c r="N28" s="10" t="s">
        <v>42</v>
      </c>
      <c r="O28" s="10" t="s">
        <v>35</v>
      </c>
      <c r="P28" s="10" t="s">
        <v>49</v>
      </c>
      <c r="Q28" s="10" t="s">
        <v>56</v>
      </c>
      <c r="R28" s="10" t="s">
        <v>66</v>
      </c>
      <c r="S28" s="10" t="s">
        <v>67</v>
      </c>
      <c r="T28" s="10" t="s">
        <v>70</v>
      </c>
      <c r="U28" s="10" t="s">
        <v>69</v>
      </c>
      <c r="V28" s="10" t="s">
        <v>68</v>
      </c>
    </row>
    <row r="29" spans="1:22" ht="17.25" x14ac:dyDescent="0.3">
      <c r="A29" s="9" t="s">
        <v>59</v>
      </c>
      <c r="B29" s="1">
        <f>+'22년 시즌'!B29+'23년 시즌'!B29+'24년 시즌'!B28</f>
        <v>15</v>
      </c>
      <c r="C29" s="1">
        <f>+'22년 시즌'!C29+'23년 시즌'!C29+'24년 시즌'!C28</f>
        <v>1</v>
      </c>
      <c r="D29" s="1">
        <f>+'22년 시즌'!D29+'23년 시즌'!D29+'24년 시즌'!D28</f>
        <v>2</v>
      </c>
      <c r="E29" s="1">
        <f>+'22년 시즌'!E29+'23년 시즌'!E29+'24년 시즌'!E28</f>
        <v>0</v>
      </c>
      <c r="F29" s="1">
        <f>+'22년 시즌'!F29+'23년 시즌'!F29+'24년 시즌'!F28</f>
        <v>105</v>
      </c>
      <c r="G29" s="1">
        <f>+'22년 시즌'!G29+'23년 시즌'!G29+'24년 시즌'!G28</f>
        <v>52</v>
      </c>
      <c r="H29" s="6">
        <f>+'22년 시즌'!H29+'23년 시즌'!H29+'24년 시즌'!H28</f>
        <v>8.9996599993300013</v>
      </c>
      <c r="I29" s="1">
        <f>+'22년 시즌'!I29+'23년 시즌'!I29+'24년 시즌'!I28</f>
        <v>19</v>
      </c>
      <c r="J29" s="1">
        <f>+'22년 시즌'!J29+'23년 시즌'!J29+'24년 시즌'!J28</f>
        <v>0</v>
      </c>
      <c r="K29" s="1">
        <f>+'22년 시즌'!K29+'23년 시즌'!K29+'24년 시즌'!K28</f>
        <v>48</v>
      </c>
      <c r="L29" s="1">
        <f>+'22년 시즌'!L29+'23년 시즌'!L29+'24년 시즌'!L28</f>
        <v>4</v>
      </c>
      <c r="M29" s="1">
        <f>+'22년 시즌'!M29+'23년 시즌'!M29+'24년 시즌'!M28</f>
        <v>5</v>
      </c>
      <c r="N29" s="1">
        <f>+'22년 시즌'!N29+'23년 시즌'!N29+'24년 시즌'!N28</f>
        <v>56</v>
      </c>
      <c r="O29" s="1">
        <f>+'22년 시즌'!O29+'23년 시즌'!O29+'24년 시즌'!O28</f>
        <v>36</v>
      </c>
      <c r="P29" s="3">
        <f>+O29*9/H29</f>
        <v>36.001360054059916</v>
      </c>
      <c r="Q29" s="38">
        <f>(K29+L29)/H29</f>
        <v>5.7779960580589993</v>
      </c>
      <c r="R29" s="39">
        <f>I29/H29</f>
        <v>2.1111908673677111</v>
      </c>
      <c r="S29" s="39">
        <f t="shared" ref="S29:S36" si="14">H29/B29</f>
        <v>0.59997733328866676</v>
      </c>
      <c r="T29" s="40">
        <f>M29/H29</f>
        <v>0.55557654404413448</v>
      </c>
      <c r="U29" s="33">
        <f>O29/N29</f>
        <v>0.6428571428571429</v>
      </c>
      <c r="V29" s="38">
        <f>(I29+K29+L29)/H29</f>
        <v>7.88918692542671</v>
      </c>
    </row>
    <row r="30" spans="1:22" ht="17.25" x14ac:dyDescent="0.3">
      <c r="A30" s="9" t="s">
        <v>9</v>
      </c>
      <c r="B30" s="1">
        <f>+'22년 시즌'!B30+'23년 시즌'!B30+'24년 시즌'!B29</f>
        <v>1</v>
      </c>
      <c r="C30" s="1">
        <f>+'22년 시즌'!C30+'23년 시즌'!C30+'24년 시즌'!C29</f>
        <v>0</v>
      </c>
      <c r="D30" s="1">
        <f>+'22년 시즌'!D30+'23년 시즌'!D30+'24년 시즌'!D29</f>
        <v>0</v>
      </c>
      <c r="E30" s="1">
        <f>+'22년 시즌'!E30+'23년 시즌'!E30+'24년 시즌'!E29</f>
        <v>0</v>
      </c>
      <c r="F30" s="1">
        <f>+'22년 시즌'!F30+'23년 시즌'!F30+'24년 시즌'!F29</f>
        <v>1</v>
      </c>
      <c r="G30" s="1">
        <f>+'22년 시즌'!G30+'23년 시즌'!G30+'24년 시즌'!G29</f>
        <v>0</v>
      </c>
      <c r="H30" s="6">
        <f>+'22년 시즌'!H30+'23년 시즌'!H30+'24년 시즌'!H29</f>
        <v>0</v>
      </c>
      <c r="I30" s="1">
        <f>+'22년 시즌'!I30+'23년 시즌'!I30+'24년 시즌'!I29</f>
        <v>0</v>
      </c>
      <c r="J30" s="1">
        <f>+'22년 시즌'!J30+'23년 시즌'!J30+'24년 시즌'!J29</f>
        <v>0</v>
      </c>
      <c r="K30" s="1">
        <f>+'22년 시즌'!K30+'23년 시즌'!K30+'24년 시즌'!K29</f>
        <v>1</v>
      </c>
      <c r="L30" s="1">
        <f>+'22년 시즌'!L30+'23년 시즌'!L30+'24년 시즌'!L29</f>
        <v>0</v>
      </c>
      <c r="M30" s="1">
        <f>+'22년 시즌'!M30+'23년 시즌'!M30+'24년 시즌'!M29</f>
        <v>0</v>
      </c>
      <c r="N30" s="1">
        <f>+'22년 시즌'!N30+'23년 시즌'!N30+'24년 시즌'!N29</f>
        <v>0</v>
      </c>
      <c r="O30" s="1">
        <f>+'22년 시즌'!O30+'23년 시즌'!O30+'24년 시즌'!O29</f>
        <v>0</v>
      </c>
      <c r="P30" s="3">
        <v>0</v>
      </c>
      <c r="Q30" s="70" t="s">
        <v>87</v>
      </c>
      <c r="R30" s="71" t="s">
        <v>87</v>
      </c>
      <c r="S30" s="39">
        <f t="shared" si="14"/>
        <v>0</v>
      </c>
      <c r="T30" s="72" t="s">
        <v>87</v>
      </c>
      <c r="U30" s="73" t="s">
        <v>87</v>
      </c>
      <c r="V30" s="73" t="s">
        <v>87</v>
      </c>
    </row>
    <row r="31" spans="1:22" ht="17.25" x14ac:dyDescent="0.3">
      <c r="A31" s="9" t="s">
        <v>51</v>
      </c>
      <c r="B31" s="1">
        <f>+'22년 시즌'!B31+'23년 시즌'!B31+'24년 시즌'!B30</f>
        <v>12</v>
      </c>
      <c r="C31" s="1">
        <f>+'22년 시즌'!C31+'23년 시즌'!C31+'24년 시즌'!C30</f>
        <v>2</v>
      </c>
      <c r="D31" s="1">
        <f>+'22년 시즌'!D31+'23년 시즌'!D31+'24년 시즌'!D30</f>
        <v>2</v>
      </c>
      <c r="E31" s="1">
        <f>+'22년 시즌'!E31+'23년 시즌'!E31+'24년 시즌'!E30</f>
        <v>0</v>
      </c>
      <c r="F31" s="1">
        <f>+'22년 시즌'!F31+'23년 시즌'!F31+'24년 시즌'!F30</f>
        <v>128</v>
      </c>
      <c r="G31" s="1">
        <f>+'22년 시즌'!G31+'23년 시즌'!G31+'24년 시즌'!G30</f>
        <v>96</v>
      </c>
      <c r="H31" s="6">
        <f>+'22년 시즌'!H31+'23년 시즌'!H31+'24년 시즌'!H30</f>
        <v>13.999966329999999</v>
      </c>
      <c r="I31" s="1">
        <f>+'22년 시즌'!I31+'23년 시즌'!I31+'24년 시즌'!I30</f>
        <v>37</v>
      </c>
      <c r="J31" s="1">
        <f>+'22년 시즌'!J31+'23년 시즌'!J31+'24년 시즌'!J30</f>
        <v>3</v>
      </c>
      <c r="K31" s="1">
        <f>+'22년 시즌'!K31+'23년 시즌'!K31+'24년 시즌'!K30</f>
        <v>27</v>
      </c>
      <c r="L31" s="1">
        <f>+'22년 시즌'!L31+'23년 시즌'!L31+'24년 시즌'!L30</f>
        <v>5</v>
      </c>
      <c r="M31" s="1">
        <f>+'22년 시즌'!M31+'23년 시즌'!M31+'24년 시즌'!M30</f>
        <v>13</v>
      </c>
      <c r="N31" s="1">
        <f>+'22년 시즌'!N31+'23년 시즌'!N31+'24년 시즌'!N30</f>
        <v>55</v>
      </c>
      <c r="O31" s="1">
        <f>+'22년 시즌'!O31+'23년 시즌'!O31+'24년 시즌'!O30</f>
        <v>33</v>
      </c>
      <c r="P31" s="3">
        <f>+O31*9/H31</f>
        <v>21.214336734765563</v>
      </c>
      <c r="Q31" s="38">
        <f t="shared" ref="Q31:Q37" si="15">(K31+L31)/H31</f>
        <v>2.2857197828703635</v>
      </c>
      <c r="R31" s="39">
        <f t="shared" ref="R31:R37" si="16">I31/H31</f>
        <v>2.642863498943858</v>
      </c>
      <c r="S31" s="39">
        <f t="shared" si="14"/>
        <v>1.1666638608333333</v>
      </c>
      <c r="T31" s="40">
        <f t="shared" ref="T31:T37" si="17">M31/H31</f>
        <v>0.92857366179108525</v>
      </c>
      <c r="U31" s="33">
        <f>O31/N31</f>
        <v>0.6</v>
      </c>
      <c r="V31" s="38">
        <f t="shared" ref="V31:V37" si="18">(I31+K31+L31)/H31</f>
        <v>4.9285832818142215</v>
      </c>
    </row>
    <row r="32" spans="1:22" ht="17.25" x14ac:dyDescent="0.3">
      <c r="A32" s="9" t="s">
        <v>15</v>
      </c>
      <c r="B32" s="1">
        <f>+'22년 시즌'!B32+'23년 시즌'!B32+'24년 시즌'!B31</f>
        <v>35</v>
      </c>
      <c r="C32" s="1">
        <f>+'22년 시즌'!C32+'23년 시즌'!C32+'24년 시즌'!C31</f>
        <v>11</v>
      </c>
      <c r="D32" s="1">
        <f>+'22년 시즌'!D32+'23년 시즌'!D32+'24년 시즌'!D31</f>
        <v>7</v>
      </c>
      <c r="E32" s="1">
        <f>+'22년 시즌'!E32+'23년 시즌'!E32+'24년 시즌'!E31</f>
        <v>2</v>
      </c>
      <c r="F32" s="1">
        <f>+'22년 시즌'!F32+'23년 시즌'!F32+'24년 시즌'!F31</f>
        <v>475</v>
      </c>
      <c r="G32" s="1">
        <f>+'22년 시즌'!G32+'23년 시즌'!G32+'24년 시즌'!G31</f>
        <v>403</v>
      </c>
      <c r="H32" s="6">
        <f>+'22년 시즌'!H32+'23년 시즌'!H32+'24년 시즌'!H31</f>
        <v>88.333266633329998</v>
      </c>
      <c r="I32" s="1">
        <f>+'22년 시즌'!I32+'23년 시즌'!I32+'24년 시즌'!I31</f>
        <v>110</v>
      </c>
      <c r="J32" s="1">
        <f>+'22년 시즌'!J32+'23년 시즌'!J32+'24년 시즌'!J31</f>
        <v>1</v>
      </c>
      <c r="K32" s="1">
        <f>+'22년 시즌'!K32+'23년 시즌'!K32+'24년 시즌'!K31</f>
        <v>65</v>
      </c>
      <c r="L32" s="1">
        <f>+'22년 시즌'!L32+'23년 시즌'!L32+'24년 시즌'!L31</f>
        <v>14</v>
      </c>
      <c r="M32" s="1">
        <f>+'22년 시즌'!M32+'23년 시즌'!M32+'24년 시즌'!M31</f>
        <v>121</v>
      </c>
      <c r="N32" s="1">
        <f>+'22년 시즌'!N32+'23년 시즌'!N32+'24년 시즌'!N31</f>
        <v>115</v>
      </c>
      <c r="O32" s="1">
        <f>+'22년 시즌'!O32+'23년 시즌'!O32+'24년 시즌'!O31</f>
        <v>69</v>
      </c>
      <c r="P32" s="3">
        <f>+O32*9/H32</f>
        <v>7.0301939877052346</v>
      </c>
      <c r="Q32" s="38">
        <f t="shared" si="15"/>
        <v>0.89434029795283987</v>
      </c>
      <c r="R32" s="39">
        <f t="shared" si="16"/>
        <v>1.2452839591748404</v>
      </c>
      <c r="S32" s="39">
        <f t="shared" si="14"/>
        <v>2.5238076180951428</v>
      </c>
      <c r="T32" s="40">
        <f t="shared" si="17"/>
        <v>1.3698123550923245</v>
      </c>
      <c r="U32" s="33">
        <f>O32/N32</f>
        <v>0.6</v>
      </c>
      <c r="V32" s="38">
        <f t="shared" si="18"/>
        <v>2.13962425712768</v>
      </c>
    </row>
    <row r="33" spans="1:22" ht="17.25" x14ac:dyDescent="0.3">
      <c r="A33" s="9" t="s">
        <v>50</v>
      </c>
      <c r="B33" s="1">
        <f>+'22년 시즌'!B33+'23년 시즌'!B33+'24년 시즌'!B33</f>
        <v>19</v>
      </c>
      <c r="C33" s="1">
        <f>+'22년 시즌'!C33+'23년 시즌'!C33+'24년 시즌'!C33</f>
        <v>2</v>
      </c>
      <c r="D33" s="1">
        <f>+'22년 시즌'!D33+'23년 시즌'!D33+'24년 시즌'!D33</f>
        <v>5</v>
      </c>
      <c r="E33" s="1">
        <f>+'22년 시즌'!E33+'23년 시즌'!E33+'24년 시즌'!E33</f>
        <v>0</v>
      </c>
      <c r="F33" s="1">
        <f>+'22년 시즌'!F33+'23년 시즌'!F33+'24년 시즌'!F33</f>
        <v>207</v>
      </c>
      <c r="G33" s="1">
        <f>+'22년 시즌'!G33+'23년 시즌'!G33+'24년 시즌'!G33</f>
        <v>143</v>
      </c>
      <c r="H33" s="6">
        <f>+'22년 시즌'!H33+'23년 시즌'!H33+'24년 시즌'!H33</f>
        <v>25.9999266666</v>
      </c>
      <c r="I33" s="1">
        <f>+'22년 시즌'!I33+'23년 시즌'!I33+'24년 시즌'!I33</f>
        <v>58</v>
      </c>
      <c r="J33" s="1">
        <f>+'22년 시즌'!J33+'23년 시즌'!J33+'24년 시즌'!J33</f>
        <v>2</v>
      </c>
      <c r="K33" s="1">
        <f>+'22년 시즌'!K33+'23년 시즌'!K33+'24년 시즌'!K33</f>
        <v>61</v>
      </c>
      <c r="L33" s="1">
        <f>+'22년 시즌'!L33+'23년 시즌'!L33+'24년 시즌'!L33</f>
        <v>4</v>
      </c>
      <c r="M33" s="1">
        <f>+'22년 시즌'!M33+'23년 시즌'!M33+'24년 시즌'!M33</f>
        <v>27</v>
      </c>
      <c r="N33" s="1">
        <f>+'22년 시즌'!N33+'23년 시즌'!N33+'24년 시즌'!N33</f>
        <v>87</v>
      </c>
      <c r="O33" s="1">
        <f>+'22년 시즌'!O33+'23년 시즌'!O33+'24년 시즌'!O33</f>
        <v>68</v>
      </c>
      <c r="P33" s="3">
        <f>+O33*9/H33</f>
        <v>23.538527929241695</v>
      </c>
      <c r="Q33" s="38">
        <f t="shared" si="15"/>
        <v>2.5000070513083497</v>
      </c>
      <c r="R33" s="39">
        <f t="shared" si="16"/>
        <v>2.2307755227059123</v>
      </c>
      <c r="S33" s="39">
        <f t="shared" si="14"/>
        <v>1.3684171929789475</v>
      </c>
      <c r="T33" s="40">
        <f t="shared" si="17"/>
        <v>1.0384644674665453</v>
      </c>
      <c r="U33" s="33">
        <f>O33/N33</f>
        <v>0.7816091954022989</v>
      </c>
      <c r="V33" s="38">
        <f t="shared" si="18"/>
        <v>4.7307825740142624</v>
      </c>
    </row>
    <row r="34" spans="1:22" ht="17.25" x14ac:dyDescent="0.3">
      <c r="A34" s="9" t="s">
        <v>33</v>
      </c>
      <c r="B34" s="1">
        <f>+'22년 시즌'!B34+'23년 시즌'!B34+'24년 시즌'!B34</f>
        <v>11</v>
      </c>
      <c r="C34" s="1">
        <f>+'22년 시즌'!C34+'23년 시즌'!C34+'24년 시즌'!C34</f>
        <v>2</v>
      </c>
      <c r="D34" s="1">
        <f>+'22년 시즌'!D34+'23년 시즌'!D34+'24년 시즌'!D34</f>
        <v>3</v>
      </c>
      <c r="E34" s="1">
        <f>+'22년 시즌'!E34+'23년 시즌'!E34+'24년 시즌'!E34</f>
        <v>0</v>
      </c>
      <c r="F34" s="1">
        <f>+'22년 시즌'!F34+'23년 시즌'!F34+'24년 시즌'!F34</f>
        <v>173</v>
      </c>
      <c r="G34" s="1">
        <f>+'22년 시즌'!G34+'23년 시즌'!G34+'24년 시즌'!G34</f>
        <v>127</v>
      </c>
      <c r="H34" s="6">
        <f>+'22년 시즌'!H34+'23년 시즌'!H34+'24년 시즌'!H34</f>
        <v>23.3332993</v>
      </c>
      <c r="I34" s="1">
        <f>+'22년 시즌'!I34+'23년 시즌'!I34+'24년 시즌'!I34</f>
        <v>66</v>
      </c>
      <c r="J34" s="1">
        <f>+'22년 시즌'!J34+'23년 시즌'!J34+'24년 시즌'!J34</f>
        <v>1</v>
      </c>
      <c r="K34" s="1">
        <f>+'22년 시즌'!K34+'23년 시즌'!K34+'24년 시즌'!K34</f>
        <v>33</v>
      </c>
      <c r="L34" s="1">
        <f>+'22년 시즌'!L34+'23년 시즌'!L34+'24년 시즌'!L34</f>
        <v>9</v>
      </c>
      <c r="M34" s="1">
        <f>+'22년 시즌'!M34+'23년 시즌'!M34+'24년 시즌'!M34</f>
        <v>27</v>
      </c>
      <c r="N34" s="1">
        <f>+'22년 시즌'!N34+'23년 시즌'!N34+'24년 시즌'!N34</f>
        <v>74</v>
      </c>
      <c r="O34" s="1">
        <f>+'22년 시즌'!O34+'23년 시즌'!O34+'24년 시즌'!O34</f>
        <v>62</v>
      </c>
      <c r="P34" s="3">
        <v>0</v>
      </c>
      <c r="Q34" s="38">
        <f t="shared" si="15"/>
        <v>1.8000026254324009</v>
      </c>
      <c r="R34" s="39">
        <f t="shared" si="16"/>
        <v>2.8285755542509157</v>
      </c>
      <c r="S34" s="39">
        <f t="shared" si="14"/>
        <v>2.1212090272727271</v>
      </c>
      <c r="T34" s="41">
        <f t="shared" si="17"/>
        <v>1.1571445449208291</v>
      </c>
      <c r="U34" s="73" t="s">
        <v>87</v>
      </c>
      <c r="V34" s="25">
        <f t="shared" si="18"/>
        <v>4.6285781796833163</v>
      </c>
    </row>
    <row r="35" spans="1:22" ht="17.25" x14ac:dyDescent="0.3">
      <c r="A35" s="9" t="s">
        <v>47</v>
      </c>
      <c r="B35" s="1">
        <f>+'22년 시즌'!B35+'23년 시즌'!B35+'24년 시즌'!B36</f>
        <v>8</v>
      </c>
      <c r="C35" s="1">
        <f>+'22년 시즌'!C35+'23년 시즌'!C35+'24년 시즌'!C36</f>
        <v>2</v>
      </c>
      <c r="D35" s="1">
        <f>+'22년 시즌'!D35+'23년 시즌'!D35+'24년 시즌'!D36</f>
        <v>2</v>
      </c>
      <c r="E35" s="1">
        <f>+'22년 시즌'!E35+'23년 시즌'!E35+'24년 시즌'!E36</f>
        <v>1</v>
      </c>
      <c r="F35" s="1">
        <f>+'22년 시즌'!F35+'23년 시즌'!F35+'24년 시즌'!F36</f>
        <v>102</v>
      </c>
      <c r="G35" s="1">
        <f>+'22년 시즌'!G35+'23년 시즌'!G35+'24년 시즌'!G36</f>
        <v>55</v>
      </c>
      <c r="H35" s="6">
        <f>+'22년 시즌'!H35+'23년 시즌'!H35+'24년 시즌'!H36</f>
        <v>13.666633329933001</v>
      </c>
      <c r="I35" s="1">
        <f>+'22년 시즌'!I35+'23년 시즌'!I35+'24년 시즌'!I36</f>
        <v>16</v>
      </c>
      <c r="J35" s="1">
        <f>+'22년 시즌'!J35+'23년 시즌'!J35+'24년 시즌'!J36</f>
        <v>1</v>
      </c>
      <c r="K35" s="1">
        <f>+'22년 시즌'!K35+'23년 시즌'!K35+'24년 시즌'!K36</f>
        <v>45</v>
      </c>
      <c r="L35" s="1">
        <f>+'22년 시즌'!L35+'23년 시즌'!L35+'24년 시즌'!L36</f>
        <v>1</v>
      </c>
      <c r="M35" s="1">
        <f>+'22년 시즌'!M35+'23년 시즌'!M35+'24년 시즌'!M36</f>
        <v>13</v>
      </c>
      <c r="N35" s="1">
        <f>+'22년 시즌'!N35+'23년 시즌'!N35+'24년 시즌'!N36</f>
        <v>36</v>
      </c>
      <c r="O35" s="1">
        <f>+'22년 시즌'!O35+'23년 시즌'!O35+'24년 시즌'!O36</f>
        <v>21</v>
      </c>
      <c r="P35" s="3">
        <f>+O35*9/H35</f>
        <v>13.829302026128666</v>
      </c>
      <c r="Q35" s="38">
        <f t="shared" si="15"/>
        <v>3.3658618687932202</v>
      </c>
      <c r="R35" s="39">
        <f t="shared" si="16"/>
        <v>1.1707345630585113</v>
      </c>
      <c r="S35" s="39">
        <f t="shared" si="14"/>
        <v>1.7083291662416251</v>
      </c>
      <c r="T35" s="40">
        <f t="shared" si="17"/>
        <v>0.95122183248504044</v>
      </c>
      <c r="U35" s="33">
        <f>O35/N35</f>
        <v>0.58333333333333337</v>
      </c>
      <c r="V35" s="38">
        <f t="shared" si="18"/>
        <v>4.5365964318517316</v>
      </c>
    </row>
    <row r="36" spans="1:22" ht="17.25" x14ac:dyDescent="0.3">
      <c r="A36" s="9" t="s">
        <v>22</v>
      </c>
      <c r="B36" s="1">
        <f>+'22년 시즌'!B36+'23년 시즌'!B36+'24년 시즌'!B37</f>
        <v>38</v>
      </c>
      <c r="C36" s="1">
        <f>+'22년 시즌'!C36+'23년 시즌'!C36+'24년 시즌'!C37</f>
        <v>8</v>
      </c>
      <c r="D36" s="1">
        <f>+'22년 시즌'!D36+'23년 시즌'!D36+'24년 시즌'!D37</f>
        <v>11</v>
      </c>
      <c r="E36" s="1">
        <f>+'22년 시즌'!E36+'23년 시즌'!E36+'24년 시즌'!E37</f>
        <v>3</v>
      </c>
      <c r="F36" s="1">
        <f>+'22년 시즌'!F36+'23년 시즌'!F36+'24년 시즌'!F37</f>
        <v>550</v>
      </c>
      <c r="G36" s="1">
        <f>+'22년 시즌'!G36+'23년 시즌'!G36+'24년 시즌'!G37</f>
        <v>397</v>
      </c>
      <c r="H36" s="6">
        <f>+'22년 시즌'!H36+'23년 시즌'!H36+'24년 시즌'!H37</f>
        <v>81.666632983</v>
      </c>
      <c r="I36" s="1">
        <f>+'22년 시즌'!I36+'23년 시즌'!I36+'24년 시즌'!I37</f>
        <v>133</v>
      </c>
      <c r="J36" s="1">
        <f>+'22년 시즌'!J36+'23년 시즌'!J36+'24년 시즌'!J37</f>
        <v>1</v>
      </c>
      <c r="K36" s="1">
        <f>+'22년 시즌'!K36+'23년 시즌'!K36+'24년 시즌'!K37</f>
        <v>123</v>
      </c>
      <c r="L36" s="1">
        <f>+'22년 시즌'!L36+'23년 시즌'!L36+'24년 시즌'!L37</f>
        <v>25</v>
      </c>
      <c r="M36" s="1">
        <f>+'22년 시즌'!M36+'23년 시즌'!M36+'24년 시즌'!M37</f>
        <v>131</v>
      </c>
      <c r="N36" s="1">
        <f>+'22년 시즌'!N36+'23년 시즌'!N36+'24년 시즌'!N37</f>
        <v>183</v>
      </c>
      <c r="O36" s="1">
        <f>+'22년 시즌'!O36+'23년 시즌'!O36+'24년 시즌'!O37</f>
        <v>130</v>
      </c>
      <c r="P36" s="3">
        <f>+O36*9/H36</f>
        <v>14.326536521268743</v>
      </c>
      <c r="Q36" s="38">
        <f t="shared" si="15"/>
        <v>1.8122456454254479</v>
      </c>
      <c r="R36" s="39">
        <f t="shared" si="16"/>
        <v>1.6285721002809768</v>
      </c>
      <c r="S36" s="39">
        <f t="shared" si="14"/>
        <v>2.1491219206052632</v>
      </c>
      <c r="T36" s="40">
        <f t="shared" si="17"/>
        <v>1.6040822942617139</v>
      </c>
      <c r="U36" s="33">
        <f>O36/N36</f>
        <v>0.7103825136612022</v>
      </c>
      <c r="V36" s="38">
        <f t="shared" si="18"/>
        <v>3.4408177457064246</v>
      </c>
    </row>
    <row r="37" spans="1:22" ht="17.25" x14ac:dyDescent="0.3">
      <c r="A37" s="11" t="s">
        <v>10</v>
      </c>
      <c r="B37" s="11">
        <f>SUM(B29:B36)</f>
        <v>139</v>
      </c>
      <c r="C37" s="11">
        <f>SUM(C29:C36)</f>
        <v>28</v>
      </c>
      <c r="D37" s="11">
        <f t="shared" ref="D37:O37" si="19">SUM(D29:D36)</f>
        <v>32</v>
      </c>
      <c r="E37" s="11">
        <f t="shared" si="19"/>
        <v>6</v>
      </c>
      <c r="F37" s="11">
        <f t="shared" si="19"/>
        <v>1741</v>
      </c>
      <c r="G37" s="11">
        <f t="shared" si="19"/>
        <v>1273</v>
      </c>
      <c r="H37" s="15">
        <f>SUM(H29:H36)</f>
        <v>255.999385242193</v>
      </c>
      <c r="I37" s="11">
        <f t="shared" si="19"/>
        <v>439</v>
      </c>
      <c r="J37" s="11">
        <f t="shared" si="19"/>
        <v>9</v>
      </c>
      <c r="K37" s="11">
        <f>SUM(K29:K36)</f>
        <v>403</v>
      </c>
      <c r="L37" s="11">
        <f t="shared" si="19"/>
        <v>62</v>
      </c>
      <c r="M37" s="11">
        <f t="shared" si="19"/>
        <v>337</v>
      </c>
      <c r="N37" s="11">
        <f t="shared" si="19"/>
        <v>606</v>
      </c>
      <c r="O37" s="11">
        <f t="shared" si="19"/>
        <v>419</v>
      </c>
      <c r="P37" s="16">
        <f>+O37*9/H37</f>
        <v>14.730504123798481</v>
      </c>
      <c r="Q37" s="34">
        <f t="shared" si="15"/>
        <v>1.816410611924236</v>
      </c>
      <c r="R37" s="35">
        <f t="shared" si="16"/>
        <v>1.7148478680316981</v>
      </c>
      <c r="S37" s="35">
        <f t="shared" ref="S37" si="20">H37/B37</f>
        <v>1.841722195987</v>
      </c>
      <c r="T37" s="36">
        <f t="shared" si="17"/>
        <v>1.3164094112225109</v>
      </c>
      <c r="U37" s="37">
        <f>O37/N37</f>
        <v>0.6914191419141914</v>
      </c>
      <c r="V37" s="34">
        <f t="shared" si="18"/>
        <v>3.5312584799559339</v>
      </c>
    </row>
  </sheetData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R35"/>
  <sheetViews>
    <sheetView zoomScale="70" zoomScaleNormal="70" zoomScaleSheetLayoutView="75" workbookViewId="0">
      <selection activeCell="D13" sqref="D13"/>
    </sheetView>
  </sheetViews>
  <sheetFormatPr defaultColWidth="9" defaultRowHeight="16.5" x14ac:dyDescent="0.3"/>
  <cols>
    <col min="1" max="17" width="8.125" customWidth="1"/>
  </cols>
  <sheetData>
    <row r="1" spans="1:18" ht="26.25" x14ac:dyDescent="0.3">
      <c r="A1" s="24" t="s">
        <v>63</v>
      </c>
      <c r="B1" s="24"/>
    </row>
    <row r="2" spans="1:18" ht="17.25" x14ac:dyDescent="0.3">
      <c r="A2" s="4" t="s">
        <v>1</v>
      </c>
    </row>
    <row r="3" spans="1:18" ht="17.25" x14ac:dyDescent="0.3">
      <c r="A3" s="42" t="s">
        <v>27</v>
      </c>
      <c r="B3" s="43" t="s">
        <v>46</v>
      </c>
      <c r="C3" s="43" t="s">
        <v>57</v>
      </c>
      <c r="D3" s="43" t="s">
        <v>19</v>
      </c>
      <c r="E3" s="43" t="s">
        <v>38</v>
      </c>
      <c r="F3" s="43" t="s">
        <v>53</v>
      </c>
      <c r="G3" s="43" t="s">
        <v>79</v>
      </c>
      <c r="H3" s="43" t="s">
        <v>80</v>
      </c>
      <c r="I3" s="43" t="s">
        <v>81</v>
      </c>
      <c r="J3" s="43" t="s">
        <v>82</v>
      </c>
      <c r="K3" s="43" t="s">
        <v>31</v>
      </c>
      <c r="L3" s="43" t="s">
        <v>36</v>
      </c>
      <c r="M3" s="43" t="s">
        <v>40</v>
      </c>
      <c r="N3" s="43" t="s">
        <v>29</v>
      </c>
      <c r="O3" s="43" t="s">
        <v>58</v>
      </c>
      <c r="P3" s="43" t="s">
        <v>43</v>
      </c>
      <c r="Q3" s="43" t="s">
        <v>37</v>
      </c>
      <c r="R3" s="43" t="s">
        <v>83</v>
      </c>
    </row>
    <row r="4" spans="1:18" ht="17.25" x14ac:dyDescent="0.3">
      <c r="A4" s="42" t="s">
        <v>59</v>
      </c>
      <c r="B4" s="44">
        <v>2</v>
      </c>
      <c r="C4" s="45">
        <v>0</v>
      </c>
      <c r="D4" s="44">
        <v>1</v>
      </c>
      <c r="E4" s="44">
        <v>1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v>0</v>
      </c>
      <c r="L4" s="44">
        <v>0</v>
      </c>
      <c r="M4" s="44">
        <v>0</v>
      </c>
      <c r="N4" s="44">
        <v>0</v>
      </c>
      <c r="O4" s="44">
        <v>1</v>
      </c>
      <c r="P4" s="46">
        <f>+(G4*1+H4*2+I4*3+J4*4)/E4</f>
        <v>0</v>
      </c>
      <c r="Q4" s="46">
        <v>0</v>
      </c>
      <c r="R4" s="47">
        <f>+Q4+P4</f>
        <v>0</v>
      </c>
    </row>
    <row r="5" spans="1:18" ht="17.25" x14ac:dyDescent="0.3">
      <c r="A5" s="42" t="s">
        <v>34</v>
      </c>
      <c r="B5" s="44">
        <v>6</v>
      </c>
      <c r="C5" s="45">
        <v>0</v>
      </c>
      <c r="D5" s="44">
        <v>11</v>
      </c>
      <c r="E5" s="44">
        <v>3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v>2</v>
      </c>
      <c r="L5" s="44">
        <v>1</v>
      </c>
      <c r="M5" s="44">
        <v>2</v>
      </c>
      <c r="N5" s="44">
        <v>8</v>
      </c>
      <c r="O5" s="44">
        <v>3</v>
      </c>
      <c r="P5" s="46">
        <f t="shared" ref="P5:P23" si="0">+(G5*1+H5*2+I5*3+J5*4)/E5</f>
        <v>0</v>
      </c>
      <c r="Q5" s="46">
        <v>0.72699999999999998</v>
      </c>
      <c r="R5" s="47">
        <f t="shared" ref="R5:R24" si="1">+Q5+P5</f>
        <v>0.72699999999999998</v>
      </c>
    </row>
    <row r="6" spans="1:18" ht="17.25" x14ac:dyDescent="0.3">
      <c r="A6" s="42" t="s">
        <v>44</v>
      </c>
      <c r="B6" s="44">
        <v>9</v>
      </c>
      <c r="C6" s="45">
        <v>0.75</v>
      </c>
      <c r="D6" s="44">
        <v>28</v>
      </c>
      <c r="E6" s="44">
        <v>20</v>
      </c>
      <c r="F6" s="44">
        <v>15</v>
      </c>
      <c r="G6" s="44">
        <v>10</v>
      </c>
      <c r="H6" s="44">
        <v>4</v>
      </c>
      <c r="I6" s="44">
        <v>1</v>
      </c>
      <c r="J6" s="44">
        <v>0</v>
      </c>
      <c r="K6" s="44">
        <v>14</v>
      </c>
      <c r="L6" s="44">
        <v>11</v>
      </c>
      <c r="M6" s="44">
        <v>11</v>
      </c>
      <c r="N6" s="44">
        <v>8</v>
      </c>
      <c r="O6" s="44">
        <v>1</v>
      </c>
      <c r="P6" s="46">
        <f t="shared" si="0"/>
        <v>1.05</v>
      </c>
      <c r="Q6" s="46">
        <v>0.82099999999999995</v>
      </c>
      <c r="R6" s="47">
        <f t="shared" si="1"/>
        <v>1.871</v>
      </c>
    </row>
    <row r="7" spans="1:18" ht="17.25" x14ac:dyDescent="0.3">
      <c r="A7" s="42" t="s">
        <v>74</v>
      </c>
      <c r="B7" s="44">
        <v>0</v>
      </c>
      <c r="C7" s="45"/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v>0</v>
      </c>
      <c r="L7" s="44">
        <v>0</v>
      </c>
      <c r="M7" s="44">
        <v>0</v>
      </c>
      <c r="N7" s="44">
        <v>0</v>
      </c>
      <c r="O7" s="44">
        <v>0</v>
      </c>
      <c r="P7" s="46">
        <v>0</v>
      </c>
      <c r="Q7" s="46">
        <v>0</v>
      </c>
      <c r="R7" s="47">
        <f t="shared" si="1"/>
        <v>0</v>
      </c>
    </row>
    <row r="8" spans="1:18" ht="17.25" x14ac:dyDescent="0.3">
      <c r="A8" s="42" t="s">
        <v>4</v>
      </c>
      <c r="B8" s="44">
        <v>9</v>
      </c>
      <c r="C8" s="45">
        <v>0.45</v>
      </c>
      <c r="D8" s="44">
        <v>22</v>
      </c>
      <c r="E8" s="44">
        <v>20</v>
      </c>
      <c r="F8" s="44">
        <v>9</v>
      </c>
      <c r="G8" s="44">
        <v>6</v>
      </c>
      <c r="H8" s="44">
        <v>3</v>
      </c>
      <c r="I8" s="44">
        <v>0</v>
      </c>
      <c r="J8" s="44">
        <v>0</v>
      </c>
      <c r="K8" s="44">
        <v>8</v>
      </c>
      <c r="L8" s="44">
        <v>9</v>
      </c>
      <c r="M8" s="44">
        <v>6</v>
      </c>
      <c r="N8" s="44">
        <v>2</v>
      </c>
      <c r="O8" s="44">
        <v>4</v>
      </c>
      <c r="P8" s="46">
        <f t="shared" si="0"/>
        <v>0.6</v>
      </c>
      <c r="Q8" s="46">
        <v>0.5</v>
      </c>
      <c r="R8" s="47">
        <f t="shared" si="1"/>
        <v>1.1000000000000001</v>
      </c>
    </row>
    <row r="9" spans="1:18" ht="17.25" x14ac:dyDescent="0.3">
      <c r="A9" s="42" t="s">
        <v>51</v>
      </c>
      <c r="B9" s="44">
        <v>5</v>
      </c>
      <c r="C9" s="45">
        <v>0.33300000000000002</v>
      </c>
      <c r="D9" s="44">
        <v>13</v>
      </c>
      <c r="E9" s="44">
        <v>12</v>
      </c>
      <c r="F9" s="44">
        <v>4</v>
      </c>
      <c r="G9" s="44">
        <v>3</v>
      </c>
      <c r="H9" s="44">
        <v>1</v>
      </c>
      <c r="I9" s="44">
        <v>0</v>
      </c>
      <c r="J9" s="44">
        <v>0</v>
      </c>
      <c r="K9" s="44">
        <v>2</v>
      </c>
      <c r="L9" s="44">
        <v>1</v>
      </c>
      <c r="M9" s="44">
        <v>2</v>
      </c>
      <c r="N9" s="44">
        <v>1</v>
      </c>
      <c r="O9" s="44">
        <v>4</v>
      </c>
      <c r="P9" s="46">
        <f t="shared" si="0"/>
        <v>0.41666666666666669</v>
      </c>
      <c r="Q9" s="46">
        <v>0.38500000000000001</v>
      </c>
      <c r="R9" s="47">
        <f t="shared" si="1"/>
        <v>0.80166666666666675</v>
      </c>
    </row>
    <row r="10" spans="1:18" ht="17.25" x14ac:dyDescent="0.3">
      <c r="A10" s="42" t="s">
        <v>25</v>
      </c>
      <c r="B10" s="44">
        <v>9</v>
      </c>
      <c r="C10" s="45">
        <v>0.35699999999999998</v>
      </c>
      <c r="D10" s="44">
        <v>31</v>
      </c>
      <c r="E10" s="44">
        <v>28</v>
      </c>
      <c r="F10" s="44">
        <v>10</v>
      </c>
      <c r="G10" s="44">
        <v>6</v>
      </c>
      <c r="H10" s="44">
        <v>3</v>
      </c>
      <c r="I10" s="44">
        <v>1</v>
      </c>
      <c r="J10" s="44">
        <v>0</v>
      </c>
      <c r="K10" s="44">
        <v>7</v>
      </c>
      <c r="L10" s="44">
        <v>8</v>
      </c>
      <c r="M10" s="44">
        <v>5</v>
      </c>
      <c r="N10" s="44">
        <v>3</v>
      </c>
      <c r="O10" s="44">
        <v>5</v>
      </c>
      <c r="P10" s="46">
        <f t="shared" si="0"/>
        <v>0.5357142857142857</v>
      </c>
      <c r="Q10" s="46">
        <v>0.41899999999999998</v>
      </c>
      <c r="R10" s="47">
        <f t="shared" si="1"/>
        <v>0.95471428571428563</v>
      </c>
    </row>
    <row r="11" spans="1:18" ht="17.25" x14ac:dyDescent="0.3">
      <c r="A11" s="42" t="s">
        <v>21</v>
      </c>
      <c r="B11" s="44">
        <v>5</v>
      </c>
      <c r="C11" s="45">
        <v>0.36399999999999999</v>
      </c>
      <c r="D11" s="44">
        <v>13</v>
      </c>
      <c r="E11" s="44">
        <v>11</v>
      </c>
      <c r="F11" s="44">
        <v>4</v>
      </c>
      <c r="G11" s="44">
        <v>4</v>
      </c>
      <c r="H11" s="44">
        <v>0</v>
      </c>
      <c r="I11" s="44">
        <v>0</v>
      </c>
      <c r="J11" s="44">
        <v>0</v>
      </c>
      <c r="K11" s="44">
        <v>4</v>
      </c>
      <c r="L11" s="44">
        <v>5</v>
      </c>
      <c r="M11" s="44">
        <v>3</v>
      </c>
      <c r="N11" s="44">
        <v>2</v>
      </c>
      <c r="O11" s="44">
        <v>4</v>
      </c>
      <c r="P11" s="46">
        <f t="shared" si="0"/>
        <v>0.36363636363636365</v>
      </c>
      <c r="Q11" s="46">
        <v>0.46200000000000002</v>
      </c>
      <c r="R11" s="47">
        <f t="shared" si="1"/>
        <v>0.82563636363636372</v>
      </c>
    </row>
    <row r="12" spans="1:18" ht="17.25" x14ac:dyDescent="0.3">
      <c r="A12" s="42" t="s">
        <v>75</v>
      </c>
      <c r="B12" s="44">
        <v>0</v>
      </c>
      <c r="C12" s="45"/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v>0</v>
      </c>
      <c r="L12" s="44">
        <v>0</v>
      </c>
      <c r="M12" s="44">
        <v>0</v>
      </c>
      <c r="N12" s="44">
        <v>0</v>
      </c>
      <c r="O12" s="44">
        <v>0</v>
      </c>
      <c r="P12" s="46">
        <v>0</v>
      </c>
      <c r="Q12" s="46">
        <v>0</v>
      </c>
      <c r="R12" s="47">
        <f t="shared" si="1"/>
        <v>0</v>
      </c>
    </row>
    <row r="13" spans="1:18" ht="17.25" x14ac:dyDescent="0.3">
      <c r="A13" s="42" t="s">
        <v>15</v>
      </c>
      <c r="B13" s="44">
        <v>4</v>
      </c>
      <c r="C13" s="45">
        <v>0.25</v>
      </c>
      <c r="D13" s="44">
        <v>6</v>
      </c>
      <c r="E13" s="44">
        <v>4</v>
      </c>
      <c r="F13" s="44">
        <v>1</v>
      </c>
      <c r="G13" s="44">
        <v>0</v>
      </c>
      <c r="H13" s="44">
        <v>0</v>
      </c>
      <c r="I13" s="44">
        <v>0</v>
      </c>
      <c r="J13" s="44">
        <v>1</v>
      </c>
      <c r="K13" s="44">
        <v>2</v>
      </c>
      <c r="L13" s="44">
        <v>3</v>
      </c>
      <c r="M13" s="44">
        <v>0</v>
      </c>
      <c r="N13" s="44">
        <v>2</v>
      </c>
      <c r="O13" s="44">
        <v>1</v>
      </c>
      <c r="P13" s="46">
        <f t="shared" si="0"/>
        <v>1</v>
      </c>
      <c r="Q13" s="46">
        <v>0.5</v>
      </c>
      <c r="R13" s="47">
        <f t="shared" si="1"/>
        <v>1.5</v>
      </c>
    </row>
    <row r="14" spans="1:18" ht="17.25" x14ac:dyDescent="0.3">
      <c r="A14" s="42" t="s">
        <v>52</v>
      </c>
      <c r="B14" s="44">
        <v>7</v>
      </c>
      <c r="C14" s="45">
        <v>0.28599999999999998</v>
      </c>
      <c r="D14" s="44">
        <v>17</v>
      </c>
      <c r="E14" s="44">
        <v>14</v>
      </c>
      <c r="F14" s="44">
        <v>4</v>
      </c>
      <c r="G14" s="44">
        <v>3</v>
      </c>
      <c r="H14" s="44">
        <v>0</v>
      </c>
      <c r="I14" s="44">
        <v>1</v>
      </c>
      <c r="J14" s="44">
        <v>0</v>
      </c>
      <c r="K14" s="44">
        <v>6</v>
      </c>
      <c r="L14" s="44">
        <v>1</v>
      </c>
      <c r="M14" s="44">
        <v>3</v>
      </c>
      <c r="N14" s="44">
        <v>3</v>
      </c>
      <c r="O14" s="44">
        <v>5</v>
      </c>
      <c r="P14" s="46">
        <f t="shared" si="0"/>
        <v>0.42857142857142855</v>
      </c>
      <c r="Q14" s="46">
        <v>0.41199999999999998</v>
      </c>
      <c r="R14" s="47">
        <f t="shared" si="1"/>
        <v>0.84057142857142852</v>
      </c>
    </row>
    <row r="15" spans="1:18" ht="17.25" x14ac:dyDescent="0.3">
      <c r="A15" s="42" t="s">
        <v>76</v>
      </c>
      <c r="B15" s="44">
        <v>0</v>
      </c>
      <c r="C15" s="45"/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v>0</v>
      </c>
      <c r="L15" s="44">
        <v>0</v>
      </c>
      <c r="M15" s="44">
        <v>0</v>
      </c>
      <c r="N15" s="44">
        <v>0</v>
      </c>
      <c r="O15" s="44">
        <v>0</v>
      </c>
      <c r="P15" s="46">
        <v>0</v>
      </c>
      <c r="Q15" s="46">
        <v>0</v>
      </c>
      <c r="R15" s="47">
        <f t="shared" si="1"/>
        <v>0</v>
      </c>
    </row>
    <row r="16" spans="1:18" ht="17.25" x14ac:dyDescent="0.3">
      <c r="A16" s="42" t="s">
        <v>50</v>
      </c>
      <c r="B16" s="44">
        <v>6</v>
      </c>
      <c r="C16" s="45">
        <v>0.42899999999999999</v>
      </c>
      <c r="D16" s="44">
        <v>9</v>
      </c>
      <c r="E16" s="44">
        <v>7</v>
      </c>
      <c r="F16" s="44">
        <v>3</v>
      </c>
      <c r="G16" s="44">
        <v>2</v>
      </c>
      <c r="H16" s="44">
        <v>1</v>
      </c>
      <c r="I16" s="44">
        <v>0</v>
      </c>
      <c r="J16" s="44">
        <v>0</v>
      </c>
      <c r="K16" s="44">
        <v>1</v>
      </c>
      <c r="L16" s="44">
        <v>3</v>
      </c>
      <c r="M16" s="44">
        <v>2</v>
      </c>
      <c r="N16" s="44">
        <v>2</v>
      </c>
      <c r="O16" s="44">
        <v>1</v>
      </c>
      <c r="P16" s="46">
        <f t="shared" si="0"/>
        <v>0.5714285714285714</v>
      </c>
      <c r="Q16" s="46">
        <v>0.55600000000000005</v>
      </c>
      <c r="R16" s="47">
        <f t="shared" si="1"/>
        <v>1.1274285714285714</v>
      </c>
    </row>
    <row r="17" spans="1:18" ht="17.25" x14ac:dyDescent="0.3">
      <c r="A17" s="42" t="s">
        <v>77</v>
      </c>
      <c r="B17" s="44">
        <v>0</v>
      </c>
      <c r="C17" s="45"/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6">
        <v>0</v>
      </c>
      <c r="Q17" s="46">
        <v>0</v>
      </c>
      <c r="R17" s="47">
        <f t="shared" si="1"/>
        <v>0</v>
      </c>
    </row>
    <row r="18" spans="1:18" ht="17.25" x14ac:dyDescent="0.3">
      <c r="A18" s="42" t="s">
        <v>60</v>
      </c>
      <c r="B18" s="44">
        <v>1</v>
      </c>
      <c r="C18" s="45">
        <v>0</v>
      </c>
      <c r="D18" s="44">
        <v>1</v>
      </c>
      <c r="E18" s="44">
        <v>1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v>0</v>
      </c>
      <c r="L18" s="44">
        <v>0</v>
      </c>
      <c r="M18" s="44">
        <v>0</v>
      </c>
      <c r="N18" s="44">
        <v>0</v>
      </c>
      <c r="O18" s="44">
        <v>1</v>
      </c>
      <c r="P18" s="46">
        <f t="shared" si="0"/>
        <v>0</v>
      </c>
      <c r="Q18" s="46">
        <v>0</v>
      </c>
      <c r="R18" s="47">
        <f t="shared" si="1"/>
        <v>0</v>
      </c>
    </row>
    <row r="19" spans="1:18" ht="17.25" x14ac:dyDescent="0.3">
      <c r="A19" s="42" t="s">
        <v>12</v>
      </c>
      <c r="B19" s="44">
        <v>7</v>
      </c>
      <c r="C19" s="45">
        <v>0.42899999999999999</v>
      </c>
      <c r="D19" s="44">
        <v>18</v>
      </c>
      <c r="E19" s="44">
        <v>14</v>
      </c>
      <c r="F19" s="44">
        <v>6</v>
      </c>
      <c r="G19" s="44">
        <v>6</v>
      </c>
      <c r="H19" s="44">
        <v>0</v>
      </c>
      <c r="I19" s="44">
        <v>0</v>
      </c>
      <c r="J19" s="44">
        <v>0</v>
      </c>
      <c r="K19" s="44">
        <v>7</v>
      </c>
      <c r="L19" s="44">
        <v>7</v>
      </c>
      <c r="M19" s="44">
        <v>3</v>
      </c>
      <c r="N19" s="44">
        <v>4</v>
      </c>
      <c r="O19" s="44">
        <v>2</v>
      </c>
      <c r="P19" s="46">
        <f t="shared" si="0"/>
        <v>0.42857142857142855</v>
      </c>
      <c r="Q19" s="46">
        <v>0.55600000000000005</v>
      </c>
      <c r="R19" s="47">
        <f t="shared" si="1"/>
        <v>0.98457142857142865</v>
      </c>
    </row>
    <row r="20" spans="1:18" ht="17.25" x14ac:dyDescent="0.3">
      <c r="A20" s="42" t="s">
        <v>24</v>
      </c>
      <c r="B20" s="44">
        <v>8</v>
      </c>
      <c r="C20" s="45">
        <v>0.33300000000000002</v>
      </c>
      <c r="D20" s="44">
        <v>18</v>
      </c>
      <c r="E20" s="44">
        <v>15</v>
      </c>
      <c r="F20" s="44">
        <v>5</v>
      </c>
      <c r="G20" s="44">
        <v>3</v>
      </c>
      <c r="H20" s="44">
        <v>2</v>
      </c>
      <c r="I20" s="44">
        <v>0</v>
      </c>
      <c r="J20" s="44">
        <v>0</v>
      </c>
      <c r="K20" s="44">
        <v>4</v>
      </c>
      <c r="L20" s="44">
        <v>8</v>
      </c>
      <c r="M20" s="44">
        <v>6</v>
      </c>
      <c r="N20" s="44">
        <v>3</v>
      </c>
      <c r="O20" s="44">
        <v>2</v>
      </c>
      <c r="P20" s="46">
        <f t="shared" si="0"/>
        <v>0.46666666666666667</v>
      </c>
      <c r="Q20" s="46">
        <v>0.44400000000000001</v>
      </c>
      <c r="R20" s="47">
        <f t="shared" si="1"/>
        <v>0.91066666666666674</v>
      </c>
    </row>
    <row r="21" spans="1:18" ht="17.25" x14ac:dyDescent="0.3">
      <c r="A21" s="42" t="s">
        <v>14</v>
      </c>
      <c r="B21" s="44">
        <v>9</v>
      </c>
      <c r="C21" s="45">
        <v>0.56000000000000005</v>
      </c>
      <c r="D21" s="44">
        <v>27</v>
      </c>
      <c r="E21" s="44">
        <v>25</v>
      </c>
      <c r="F21" s="44">
        <v>14</v>
      </c>
      <c r="G21" s="44">
        <v>13</v>
      </c>
      <c r="H21" s="44">
        <v>1</v>
      </c>
      <c r="I21" s="44">
        <v>0</v>
      </c>
      <c r="J21" s="44">
        <v>0</v>
      </c>
      <c r="K21" s="44">
        <v>5</v>
      </c>
      <c r="L21" s="44">
        <v>9</v>
      </c>
      <c r="M21" s="44">
        <v>4</v>
      </c>
      <c r="N21" s="44">
        <v>2</v>
      </c>
      <c r="O21" s="44">
        <v>2</v>
      </c>
      <c r="P21" s="46">
        <f t="shared" si="0"/>
        <v>0.6</v>
      </c>
      <c r="Q21" s="46">
        <v>0.59299999999999997</v>
      </c>
      <c r="R21" s="47">
        <f t="shared" si="1"/>
        <v>1.1930000000000001</v>
      </c>
    </row>
    <row r="22" spans="1:18" ht="17.25" x14ac:dyDescent="0.3">
      <c r="A22" s="42" t="s">
        <v>47</v>
      </c>
      <c r="B22" s="44">
        <v>3</v>
      </c>
      <c r="C22" s="45">
        <v>0.25</v>
      </c>
      <c r="D22" s="44">
        <v>6</v>
      </c>
      <c r="E22" s="44">
        <v>4</v>
      </c>
      <c r="F22" s="44">
        <v>1</v>
      </c>
      <c r="G22" s="44">
        <v>1</v>
      </c>
      <c r="H22" s="44">
        <v>0</v>
      </c>
      <c r="I22" s="44">
        <v>0</v>
      </c>
      <c r="J22" s="44">
        <v>0</v>
      </c>
      <c r="K22" s="44">
        <v>5</v>
      </c>
      <c r="L22" s="44">
        <v>1</v>
      </c>
      <c r="M22" s="44">
        <v>4</v>
      </c>
      <c r="N22" s="44">
        <v>2</v>
      </c>
      <c r="O22" s="44">
        <v>1</v>
      </c>
      <c r="P22" s="46">
        <f t="shared" si="0"/>
        <v>0.25</v>
      </c>
      <c r="Q22" s="46">
        <v>0.5</v>
      </c>
      <c r="R22" s="47">
        <f t="shared" si="1"/>
        <v>0.75</v>
      </c>
    </row>
    <row r="23" spans="1:18" ht="17.25" x14ac:dyDescent="0.3">
      <c r="A23" s="42" t="s">
        <v>22</v>
      </c>
      <c r="B23" s="44">
        <v>9</v>
      </c>
      <c r="C23" s="45">
        <v>0.5</v>
      </c>
      <c r="D23" s="44">
        <v>24</v>
      </c>
      <c r="E23" s="44">
        <v>22</v>
      </c>
      <c r="F23" s="44">
        <v>11</v>
      </c>
      <c r="G23" s="44">
        <v>6</v>
      </c>
      <c r="H23" s="44">
        <v>4</v>
      </c>
      <c r="I23" s="44">
        <v>1</v>
      </c>
      <c r="J23" s="44">
        <v>0</v>
      </c>
      <c r="K23" s="44">
        <v>9</v>
      </c>
      <c r="L23" s="44">
        <v>6</v>
      </c>
      <c r="M23" s="44">
        <v>3</v>
      </c>
      <c r="N23" s="44">
        <v>2</v>
      </c>
      <c r="O23" s="44">
        <v>3</v>
      </c>
      <c r="P23" s="46">
        <f t="shared" si="0"/>
        <v>0.77272727272727271</v>
      </c>
      <c r="Q23" s="46">
        <v>0.54200000000000004</v>
      </c>
      <c r="R23" s="47">
        <f t="shared" si="1"/>
        <v>1.3147272727272727</v>
      </c>
    </row>
    <row r="24" spans="1:18" ht="17.25" x14ac:dyDescent="0.3">
      <c r="A24" s="42" t="s">
        <v>78</v>
      </c>
      <c r="B24" s="44">
        <v>0</v>
      </c>
      <c r="C24" s="45"/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v>0</v>
      </c>
      <c r="L24" s="44">
        <v>0</v>
      </c>
      <c r="M24" s="44">
        <v>0</v>
      </c>
      <c r="N24" s="44">
        <v>0</v>
      </c>
      <c r="O24" s="44">
        <v>0</v>
      </c>
      <c r="P24" s="46">
        <v>0</v>
      </c>
      <c r="Q24" s="46">
        <v>0</v>
      </c>
      <c r="R24" s="47">
        <f t="shared" si="1"/>
        <v>0</v>
      </c>
    </row>
    <row r="25" spans="1:18" ht="17.25" x14ac:dyDescent="0.3">
      <c r="A25" s="11" t="s">
        <v>10</v>
      </c>
      <c r="B25" s="12"/>
      <c r="C25" s="13">
        <f>+F25/E25</f>
        <v>0.43283582089552236</v>
      </c>
      <c r="D25" s="12">
        <f>SUM(D4:D24)</f>
        <v>245</v>
      </c>
      <c r="E25" s="12">
        <f t="shared" ref="E25:J25" si="2">SUM(E4:E24)</f>
        <v>201</v>
      </c>
      <c r="F25" s="12">
        <f t="shared" si="2"/>
        <v>87</v>
      </c>
      <c r="G25" s="12">
        <f t="shared" si="2"/>
        <v>63</v>
      </c>
      <c r="H25" s="12">
        <f t="shared" si="2"/>
        <v>19</v>
      </c>
      <c r="I25" s="12">
        <f t="shared" si="2"/>
        <v>4</v>
      </c>
      <c r="J25" s="12">
        <f t="shared" si="2"/>
        <v>1</v>
      </c>
      <c r="K25" s="12">
        <f>SUM(K4:K23)</f>
        <v>76</v>
      </c>
      <c r="L25" s="12">
        <f>SUM(L4:L23)</f>
        <v>73</v>
      </c>
      <c r="M25" s="12">
        <f>SUM(M4:M23)</f>
        <v>54</v>
      </c>
      <c r="N25" s="12">
        <f>SUM(N4:N23)</f>
        <v>44</v>
      </c>
      <c r="O25" s="12">
        <f>SUM(O4:O23)</f>
        <v>40</v>
      </c>
      <c r="P25" s="12"/>
      <c r="Q25" s="12"/>
      <c r="R25" s="12"/>
    </row>
    <row r="27" spans="1:18" ht="17.25" x14ac:dyDescent="0.3">
      <c r="A27" s="4" t="s">
        <v>3</v>
      </c>
    </row>
    <row r="28" spans="1:18" ht="17.25" x14ac:dyDescent="0.3">
      <c r="A28" s="10" t="s">
        <v>27</v>
      </c>
      <c r="B28" s="10" t="s">
        <v>46</v>
      </c>
      <c r="C28" s="10" t="s">
        <v>55</v>
      </c>
      <c r="D28" s="10" t="s">
        <v>41</v>
      </c>
      <c r="E28" s="10" t="s">
        <v>48</v>
      </c>
      <c r="F28" s="10" t="s">
        <v>45</v>
      </c>
      <c r="G28" s="10" t="s">
        <v>38</v>
      </c>
      <c r="H28" s="10" t="s">
        <v>5</v>
      </c>
      <c r="I28" s="10" t="s">
        <v>17</v>
      </c>
      <c r="J28" s="10" t="s">
        <v>26</v>
      </c>
      <c r="K28" s="10" t="s">
        <v>30</v>
      </c>
      <c r="L28" s="10" t="s">
        <v>11</v>
      </c>
      <c r="M28" s="10" t="s">
        <v>6</v>
      </c>
      <c r="N28" s="10" t="s">
        <v>42</v>
      </c>
      <c r="O28" s="10" t="s">
        <v>35</v>
      </c>
      <c r="P28" s="10" t="s">
        <v>49</v>
      </c>
    </row>
    <row r="29" spans="1:18" ht="17.25" x14ac:dyDescent="0.3">
      <c r="A29" s="10" t="s">
        <v>9</v>
      </c>
      <c r="B29" s="1">
        <v>1</v>
      </c>
      <c r="C29" s="1">
        <v>0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1</v>
      </c>
      <c r="L29" s="1">
        <v>0</v>
      </c>
      <c r="M29" s="1">
        <v>0</v>
      </c>
      <c r="N29" s="1">
        <v>0</v>
      </c>
      <c r="O29" s="1">
        <v>0</v>
      </c>
      <c r="P29" s="3">
        <v>0</v>
      </c>
    </row>
    <row r="30" spans="1:18" ht="17.25" x14ac:dyDescent="0.3">
      <c r="A30" s="10" t="s">
        <v>59</v>
      </c>
      <c r="B30" s="1">
        <v>2</v>
      </c>
      <c r="C30" s="1">
        <v>0</v>
      </c>
      <c r="D30" s="1">
        <v>0</v>
      </c>
      <c r="E30" s="1">
        <v>0</v>
      </c>
      <c r="F30" s="1">
        <v>2</v>
      </c>
      <c r="G30" s="1">
        <v>0</v>
      </c>
      <c r="H30" s="1">
        <v>0</v>
      </c>
      <c r="I30" s="1">
        <v>0</v>
      </c>
      <c r="J30" s="1">
        <v>0</v>
      </c>
      <c r="K30" s="1">
        <v>2</v>
      </c>
      <c r="L30" s="1">
        <v>0</v>
      </c>
      <c r="M30" s="1">
        <v>0</v>
      </c>
      <c r="N30" s="1">
        <v>1</v>
      </c>
      <c r="O30" s="1">
        <v>0</v>
      </c>
      <c r="P30" s="3">
        <v>0</v>
      </c>
    </row>
    <row r="31" spans="1:18" ht="17.25" x14ac:dyDescent="0.3">
      <c r="A31" s="10" t="s">
        <v>15</v>
      </c>
      <c r="B31" s="1">
        <v>4</v>
      </c>
      <c r="C31" s="1">
        <v>2</v>
      </c>
      <c r="D31" s="1">
        <v>0</v>
      </c>
      <c r="E31" s="1">
        <v>0</v>
      </c>
      <c r="F31" s="1">
        <v>36</v>
      </c>
      <c r="G31" s="1">
        <v>30</v>
      </c>
      <c r="H31" s="1">
        <v>7.1</v>
      </c>
      <c r="I31" s="1">
        <v>10</v>
      </c>
      <c r="J31" s="1">
        <v>0</v>
      </c>
      <c r="K31" s="1">
        <v>6</v>
      </c>
      <c r="L31" s="1">
        <v>0</v>
      </c>
      <c r="M31" s="1">
        <v>5</v>
      </c>
      <c r="N31" s="1">
        <v>7</v>
      </c>
      <c r="O31" s="1">
        <v>3</v>
      </c>
      <c r="P31" s="3">
        <f>+O31*9/H31</f>
        <v>3.802816901408451</v>
      </c>
    </row>
    <row r="32" spans="1:18" ht="17.25" x14ac:dyDescent="0.3">
      <c r="A32" s="10" t="s">
        <v>22</v>
      </c>
      <c r="B32" s="1">
        <v>9</v>
      </c>
      <c r="C32" s="1">
        <v>2</v>
      </c>
      <c r="D32" s="1">
        <v>4</v>
      </c>
      <c r="E32" s="1">
        <v>1</v>
      </c>
      <c r="F32" s="1">
        <v>180</v>
      </c>
      <c r="G32" s="1">
        <v>126</v>
      </c>
      <c r="H32" s="1">
        <v>26</v>
      </c>
      <c r="I32" s="1">
        <v>40</v>
      </c>
      <c r="J32" s="1">
        <v>0</v>
      </c>
      <c r="K32" s="1">
        <v>46</v>
      </c>
      <c r="L32" s="1">
        <v>7</v>
      </c>
      <c r="M32" s="1">
        <v>55</v>
      </c>
      <c r="N32" s="1">
        <v>58</v>
      </c>
      <c r="O32" s="1">
        <v>25</v>
      </c>
      <c r="P32" s="3">
        <f>+O32*9/H32</f>
        <v>8.6538461538461533</v>
      </c>
    </row>
    <row r="33" spans="1:16" ht="17.25" x14ac:dyDescent="0.3">
      <c r="A33" s="10" t="s">
        <v>47</v>
      </c>
      <c r="B33" s="1">
        <v>3</v>
      </c>
      <c r="C33" s="1">
        <v>2</v>
      </c>
      <c r="D33" s="1">
        <v>0</v>
      </c>
      <c r="E33" s="1">
        <v>0</v>
      </c>
      <c r="F33" s="1">
        <v>44</v>
      </c>
      <c r="G33" s="1">
        <v>26</v>
      </c>
      <c r="H33" s="1">
        <v>7</v>
      </c>
      <c r="I33" s="1">
        <v>9</v>
      </c>
      <c r="J33" s="1">
        <v>0</v>
      </c>
      <c r="K33" s="1">
        <v>17</v>
      </c>
      <c r="L33" s="1">
        <v>0</v>
      </c>
      <c r="M33" s="1">
        <v>10</v>
      </c>
      <c r="N33" s="1">
        <v>10</v>
      </c>
      <c r="O33" s="1">
        <v>8</v>
      </c>
      <c r="P33" s="3">
        <f>+O33*9/H33</f>
        <v>10.285714285714286</v>
      </c>
    </row>
    <row r="34" spans="1:16" ht="17.25" x14ac:dyDescent="0.3">
      <c r="A34" s="10" t="s">
        <v>50</v>
      </c>
      <c r="B34" s="1">
        <v>3</v>
      </c>
      <c r="C34" s="1">
        <v>0</v>
      </c>
      <c r="D34" s="1">
        <v>0</v>
      </c>
      <c r="E34" s="1">
        <v>0</v>
      </c>
      <c r="F34" s="1">
        <v>16</v>
      </c>
      <c r="G34" s="1">
        <v>9</v>
      </c>
      <c r="H34" s="1">
        <v>2</v>
      </c>
      <c r="I34" s="1">
        <v>4</v>
      </c>
      <c r="J34" s="1">
        <v>0</v>
      </c>
      <c r="K34" s="1">
        <v>6</v>
      </c>
      <c r="L34" s="1">
        <v>0</v>
      </c>
      <c r="M34" s="1">
        <v>2</v>
      </c>
      <c r="N34" s="1">
        <v>6</v>
      </c>
      <c r="O34" s="1">
        <v>5</v>
      </c>
      <c r="P34" s="3">
        <f>+O34*9/H34</f>
        <v>22.5</v>
      </c>
    </row>
    <row r="35" spans="1:16" ht="17.25" x14ac:dyDescent="0.3">
      <c r="A35" s="11" t="s">
        <v>10</v>
      </c>
      <c r="B35" s="11"/>
      <c r="C35" s="11">
        <f t="shared" ref="C35:O35" si="3">SUM(C29:C34)</f>
        <v>6</v>
      </c>
      <c r="D35" s="11">
        <f t="shared" si="3"/>
        <v>4</v>
      </c>
      <c r="E35" s="11">
        <f t="shared" si="3"/>
        <v>1</v>
      </c>
      <c r="F35" s="11">
        <f t="shared" si="3"/>
        <v>279</v>
      </c>
      <c r="G35" s="11">
        <f t="shared" si="3"/>
        <v>191</v>
      </c>
      <c r="H35" s="15">
        <f t="shared" si="3"/>
        <v>42.1</v>
      </c>
      <c r="I35" s="11">
        <f t="shared" si="3"/>
        <v>63</v>
      </c>
      <c r="J35" s="11">
        <f t="shared" si="3"/>
        <v>0</v>
      </c>
      <c r="K35" s="11">
        <f t="shared" si="3"/>
        <v>78</v>
      </c>
      <c r="L35" s="11">
        <f t="shared" si="3"/>
        <v>7</v>
      </c>
      <c r="M35" s="11">
        <f t="shared" si="3"/>
        <v>72</v>
      </c>
      <c r="N35" s="11">
        <f t="shared" si="3"/>
        <v>82</v>
      </c>
      <c r="O35" s="11">
        <f t="shared" si="3"/>
        <v>41</v>
      </c>
      <c r="P35" s="16">
        <f>+O35*9/H35</f>
        <v>8.764845605700712</v>
      </c>
    </row>
  </sheetData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U35"/>
  <sheetViews>
    <sheetView zoomScale="85" zoomScaleNormal="85" zoomScaleSheetLayoutView="75" workbookViewId="0">
      <selection activeCell="C19" sqref="C19:C21"/>
    </sheetView>
  </sheetViews>
  <sheetFormatPr defaultColWidth="9" defaultRowHeight="16.5" x14ac:dyDescent="0.3"/>
  <cols>
    <col min="1" max="20" width="8.125" customWidth="1"/>
    <col min="21" max="21" width="8" bestFit="1" customWidth="1"/>
  </cols>
  <sheetData>
    <row r="1" spans="1:18" ht="26.25" x14ac:dyDescent="0.3">
      <c r="A1" s="24" t="s">
        <v>62</v>
      </c>
    </row>
    <row r="2" spans="1:18" ht="17.25" x14ac:dyDescent="0.3">
      <c r="A2" s="4" t="s">
        <v>1</v>
      </c>
    </row>
    <row r="3" spans="1:18" ht="18.75" customHeight="1" x14ac:dyDescent="0.3">
      <c r="A3" s="42" t="s">
        <v>27</v>
      </c>
      <c r="B3" s="43" t="s">
        <v>46</v>
      </c>
      <c r="C3" s="43" t="s">
        <v>57</v>
      </c>
      <c r="D3" s="43" t="s">
        <v>19</v>
      </c>
      <c r="E3" s="43" t="s">
        <v>38</v>
      </c>
      <c r="F3" s="43" t="s">
        <v>53</v>
      </c>
      <c r="G3" s="43" t="s">
        <v>79</v>
      </c>
      <c r="H3" s="43" t="s">
        <v>72</v>
      </c>
      <c r="I3" s="43" t="s">
        <v>0</v>
      </c>
      <c r="J3" s="43" t="s">
        <v>82</v>
      </c>
      <c r="K3" s="43" t="s">
        <v>31</v>
      </c>
      <c r="L3" s="43" t="s">
        <v>36</v>
      </c>
      <c r="M3" s="43" t="s">
        <v>40</v>
      </c>
      <c r="N3" s="43" t="s">
        <v>29</v>
      </c>
      <c r="O3" s="43" t="s">
        <v>58</v>
      </c>
      <c r="P3" s="43" t="s">
        <v>43</v>
      </c>
      <c r="Q3" s="43" t="s">
        <v>37</v>
      </c>
      <c r="R3" s="43" t="s">
        <v>83</v>
      </c>
    </row>
    <row r="4" spans="1:18" ht="16.5" customHeight="1" x14ac:dyDescent="0.3">
      <c r="A4" s="42" t="s">
        <v>59</v>
      </c>
      <c r="B4" s="52">
        <v>1</v>
      </c>
      <c r="C4" s="53">
        <v>0</v>
      </c>
      <c r="D4" s="52">
        <v>0</v>
      </c>
      <c r="E4" s="52">
        <v>0</v>
      </c>
      <c r="F4" s="52">
        <v>0</v>
      </c>
      <c r="G4" s="52">
        <v>0</v>
      </c>
      <c r="H4" s="52">
        <v>0</v>
      </c>
      <c r="I4" s="52">
        <v>0</v>
      </c>
      <c r="J4" s="52">
        <v>0</v>
      </c>
      <c r="K4" s="52">
        <v>0</v>
      </c>
      <c r="L4" s="52">
        <v>0</v>
      </c>
      <c r="M4" s="52">
        <v>0</v>
      </c>
      <c r="N4" s="52">
        <v>0</v>
      </c>
      <c r="O4" s="52">
        <v>0</v>
      </c>
      <c r="P4" s="46">
        <v>0</v>
      </c>
      <c r="Q4" s="54">
        <v>0</v>
      </c>
      <c r="R4" s="58">
        <f>+Q4+P4</f>
        <v>0</v>
      </c>
    </row>
    <row r="5" spans="1:18" ht="17.25" x14ac:dyDescent="0.3">
      <c r="A5" s="42" t="s">
        <v>34</v>
      </c>
      <c r="B5" s="52">
        <v>5</v>
      </c>
      <c r="C5" s="53">
        <v>0.5</v>
      </c>
      <c r="D5" s="52">
        <v>12</v>
      </c>
      <c r="E5" s="52">
        <v>8</v>
      </c>
      <c r="F5" s="52">
        <v>4</v>
      </c>
      <c r="G5" s="52">
        <v>4</v>
      </c>
      <c r="H5" s="52">
        <v>0</v>
      </c>
      <c r="I5" s="52">
        <v>0</v>
      </c>
      <c r="J5" s="52">
        <v>0</v>
      </c>
      <c r="K5" s="52">
        <v>3</v>
      </c>
      <c r="L5" s="52">
        <v>5</v>
      </c>
      <c r="M5" s="52">
        <v>1</v>
      </c>
      <c r="N5" s="52">
        <v>4</v>
      </c>
      <c r="O5" s="52">
        <v>3</v>
      </c>
      <c r="P5" s="46">
        <f t="shared" ref="P5:P23" si="0">+(G5*1+H5*2+I5*3+J5*4)/E5</f>
        <v>0.5</v>
      </c>
      <c r="Q5" s="54">
        <v>0.66700000000000004</v>
      </c>
      <c r="R5" s="58">
        <f t="shared" ref="R5:R24" si="1">+Q5+P5</f>
        <v>1.167</v>
      </c>
    </row>
    <row r="6" spans="1:18" ht="17.25" x14ac:dyDescent="0.3">
      <c r="A6" s="42" t="s">
        <v>44</v>
      </c>
      <c r="B6" s="52">
        <v>6</v>
      </c>
      <c r="C6" s="53">
        <v>0.41699999999999998</v>
      </c>
      <c r="D6" s="52">
        <v>15</v>
      </c>
      <c r="E6" s="52">
        <v>12</v>
      </c>
      <c r="F6" s="52">
        <v>5</v>
      </c>
      <c r="G6" s="52">
        <v>3</v>
      </c>
      <c r="H6" s="52">
        <v>1</v>
      </c>
      <c r="I6" s="52">
        <v>1</v>
      </c>
      <c r="J6" s="52">
        <v>0</v>
      </c>
      <c r="K6" s="52">
        <v>8</v>
      </c>
      <c r="L6" s="52">
        <v>7</v>
      </c>
      <c r="M6" s="52">
        <v>3</v>
      </c>
      <c r="N6" s="52">
        <v>3</v>
      </c>
      <c r="O6" s="52">
        <v>2</v>
      </c>
      <c r="P6" s="46">
        <f t="shared" si="0"/>
        <v>0.66666666666666663</v>
      </c>
      <c r="Q6" s="54">
        <v>0.53300000000000003</v>
      </c>
      <c r="R6" s="58">
        <f t="shared" si="1"/>
        <v>1.1996666666666667</v>
      </c>
    </row>
    <row r="7" spans="1:18" ht="17.25" x14ac:dyDescent="0.3">
      <c r="A7" s="42" t="s">
        <v>9</v>
      </c>
      <c r="B7" s="52">
        <v>1</v>
      </c>
      <c r="C7" s="53">
        <v>0</v>
      </c>
      <c r="D7" s="52">
        <v>4</v>
      </c>
      <c r="E7" s="52">
        <v>4</v>
      </c>
      <c r="F7" s="52">
        <v>0</v>
      </c>
      <c r="G7" s="52">
        <v>0</v>
      </c>
      <c r="H7" s="52">
        <v>0</v>
      </c>
      <c r="I7" s="52">
        <v>0</v>
      </c>
      <c r="J7" s="52">
        <v>0</v>
      </c>
      <c r="K7" s="52">
        <v>0</v>
      </c>
      <c r="L7" s="52">
        <v>3</v>
      </c>
      <c r="M7" s="52">
        <v>0</v>
      </c>
      <c r="N7" s="52">
        <v>0</v>
      </c>
      <c r="O7" s="52">
        <v>0</v>
      </c>
      <c r="P7" s="46">
        <f t="shared" si="0"/>
        <v>0</v>
      </c>
      <c r="Q7" s="54">
        <v>0</v>
      </c>
      <c r="R7" s="58">
        <f t="shared" si="1"/>
        <v>0</v>
      </c>
    </row>
    <row r="8" spans="1:18" ht="17.25" x14ac:dyDescent="0.3">
      <c r="A8" s="42" t="s">
        <v>4</v>
      </c>
      <c r="B8" s="52">
        <v>7</v>
      </c>
      <c r="C8" s="53">
        <v>0.45500000000000002</v>
      </c>
      <c r="D8" s="52">
        <v>17</v>
      </c>
      <c r="E8" s="52">
        <v>11</v>
      </c>
      <c r="F8" s="52">
        <v>5</v>
      </c>
      <c r="G8" s="52">
        <v>3</v>
      </c>
      <c r="H8" s="52">
        <v>1</v>
      </c>
      <c r="I8" s="52">
        <v>1</v>
      </c>
      <c r="J8" s="52">
        <v>0</v>
      </c>
      <c r="K8" s="52">
        <v>6</v>
      </c>
      <c r="L8" s="52">
        <v>4</v>
      </c>
      <c r="M8" s="52">
        <v>2</v>
      </c>
      <c r="N8" s="52">
        <v>6</v>
      </c>
      <c r="O8" s="52">
        <v>1</v>
      </c>
      <c r="P8" s="46">
        <f t="shared" si="0"/>
        <v>0.72727272727272729</v>
      </c>
      <c r="Q8" s="54">
        <v>0.64700000000000002</v>
      </c>
      <c r="R8" s="58">
        <f t="shared" si="1"/>
        <v>1.3742727272727273</v>
      </c>
    </row>
    <row r="9" spans="1:18" ht="17.25" x14ac:dyDescent="0.3">
      <c r="A9" s="42" t="s">
        <v>51</v>
      </c>
      <c r="B9" s="52">
        <v>6</v>
      </c>
      <c r="C9" s="53">
        <v>9.0999999999999998E-2</v>
      </c>
      <c r="D9" s="52">
        <v>16</v>
      </c>
      <c r="E9" s="52">
        <v>11</v>
      </c>
      <c r="F9" s="52">
        <v>1</v>
      </c>
      <c r="G9" s="52">
        <v>1</v>
      </c>
      <c r="H9" s="52">
        <v>0</v>
      </c>
      <c r="I9" s="52">
        <v>0</v>
      </c>
      <c r="J9" s="52">
        <v>0</v>
      </c>
      <c r="K9" s="52">
        <v>2</v>
      </c>
      <c r="L9" s="52">
        <v>2</v>
      </c>
      <c r="M9" s="52">
        <v>4</v>
      </c>
      <c r="N9" s="52">
        <v>5</v>
      </c>
      <c r="O9" s="52">
        <v>9</v>
      </c>
      <c r="P9" s="46">
        <f t="shared" si="0"/>
        <v>9.0909090909090912E-2</v>
      </c>
      <c r="Q9" s="54">
        <v>0.375</v>
      </c>
      <c r="R9" s="58">
        <f t="shared" si="1"/>
        <v>0.46590909090909094</v>
      </c>
    </row>
    <row r="10" spans="1:18" ht="17.25" x14ac:dyDescent="0.3">
      <c r="A10" s="42" t="s">
        <v>25</v>
      </c>
      <c r="B10" s="52">
        <v>6</v>
      </c>
      <c r="C10" s="53">
        <v>0.75</v>
      </c>
      <c r="D10" s="52">
        <v>18</v>
      </c>
      <c r="E10" s="52">
        <v>12</v>
      </c>
      <c r="F10" s="52">
        <v>9</v>
      </c>
      <c r="G10" s="52">
        <v>8</v>
      </c>
      <c r="H10" s="52">
        <v>1</v>
      </c>
      <c r="I10" s="52">
        <v>0</v>
      </c>
      <c r="J10" s="52">
        <v>0</v>
      </c>
      <c r="K10" s="52">
        <v>11</v>
      </c>
      <c r="L10" s="52">
        <v>8</v>
      </c>
      <c r="M10" s="52">
        <v>17</v>
      </c>
      <c r="N10" s="52">
        <v>6</v>
      </c>
      <c r="O10" s="52">
        <v>0</v>
      </c>
      <c r="P10" s="46">
        <f t="shared" si="0"/>
        <v>0.83333333333333337</v>
      </c>
      <c r="Q10" s="54">
        <v>0.83299999999999996</v>
      </c>
      <c r="R10" s="58">
        <f t="shared" si="1"/>
        <v>1.6663333333333332</v>
      </c>
    </row>
    <row r="11" spans="1:18" ht="17.25" x14ac:dyDescent="0.3">
      <c r="A11" s="42" t="s">
        <v>21</v>
      </c>
      <c r="B11" s="52">
        <v>6</v>
      </c>
      <c r="C11" s="53">
        <v>0.23100000000000001</v>
      </c>
      <c r="D11" s="52">
        <v>14</v>
      </c>
      <c r="E11" s="52">
        <v>13</v>
      </c>
      <c r="F11" s="52">
        <v>3</v>
      </c>
      <c r="G11" s="52">
        <v>2</v>
      </c>
      <c r="H11" s="52">
        <v>1</v>
      </c>
      <c r="I11" s="52">
        <v>0</v>
      </c>
      <c r="J11" s="52">
        <v>0</v>
      </c>
      <c r="K11" s="52">
        <v>3</v>
      </c>
      <c r="L11" s="52">
        <v>4</v>
      </c>
      <c r="M11" s="52">
        <v>2</v>
      </c>
      <c r="N11" s="52">
        <v>1</v>
      </c>
      <c r="O11" s="52">
        <v>4</v>
      </c>
      <c r="P11" s="46">
        <f t="shared" si="0"/>
        <v>0.30769230769230771</v>
      </c>
      <c r="Q11" s="54">
        <v>0.28599999999999998</v>
      </c>
      <c r="R11" s="58">
        <f t="shared" si="1"/>
        <v>0.59369230769230774</v>
      </c>
    </row>
    <row r="12" spans="1:18" ht="17.25" x14ac:dyDescent="0.3">
      <c r="A12" s="42" t="s">
        <v>8</v>
      </c>
      <c r="B12" s="52">
        <v>0</v>
      </c>
      <c r="C12" s="53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0</v>
      </c>
      <c r="M12" s="52">
        <v>0</v>
      </c>
      <c r="N12" s="52">
        <v>0</v>
      </c>
      <c r="O12" s="52">
        <v>0</v>
      </c>
      <c r="P12" s="46">
        <v>0</v>
      </c>
      <c r="Q12" s="54">
        <v>0</v>
      </c>
      <c r="R12" s="58">
        <f t="shared" si="1"/>
        <v>0</v>
      </c>
    </row>
    <row r="13" spans="1:18" ht="17.25" x14ac:dyDescent="0.3">
      <c r="A13" s="42" t="s">
        <v>15</v>
      </c>
      <c r="B13" s="52">
        <v>6</v>
      </c>
      <c r="C13" s="53">
        <v>0.46200000000000002</v>
      </c>
      <c r="D13" s="52">
        <v>15</v>
      </c>
      <c r="E13" s="52">
        <v>13</v>
      </c>
      <c r="F13" s="52">
        <v>6</v>
      </c>
      <c r="G13" s="52">
        <v>0</v>
      </c>
      <c r="H13" s="52">
        <v>5</v>
      </c>
      <c r="I13" s="52">
        <v>1</v>
      </c>
      <c r="J13" s="52">
        <v>0</v>
      </c>
      <c r="K13" s="52">
        <v>5</v>
      </c>
      <c r="L13" s="52">
        <v>9</v>
      </c>
      <c r="M13" s="52">
        <v>0</v>
      </c>
      <c r="N13" s="52">
        <v>2</v>
      </c>
      <c r="O13" s="52">
        <v>1</v>
      </c>
      <c r="P13" s="46">
        <f t="shared" si="0"/>
        <v>1</v>
      </c>
      <c r="Q13" s="54">
        <v>0.53300000000000003</v>
      </c>
      <c r="R13" s="58">
        <f t="shared" si="1"/>
        <v>1.5329999999999999</v>
      </c>
    </row>
    <row r="14" spans="1:18" ht="17.25" x14ac:dyDescent="0.3">
      <c r="A14" s="42" t="s">
        <v>52</v>
      </c>
      <c r="B14" s="52">
        <v>4</v>
      </c>
      <c r="C14" s="53">
        <v>0</v>
      </c>
      <c r="D14" s="52">
        <v>9</v>
      </c>
      <c r="E14" s="52">
        <v>5</v>
      </c>
      <c r="F14" s="52">
        <v>0</v>
      </c>
      <c r="G14" s="52">
        <v>0</v>
      </c>
      <c r="H14" s="52">
        <v>0</v>
      </c>
      <c r="I14" s="52">
        <v>0</v>
      </c>
      <c r="J14" s="52">
        <v>0</v>
      </c>
      <c r="K14" s="52">
        <v>2</v>
      </c>
      <c r="L14" s="52">
        <v>1</v>
      </c>
      <c r="M14" s="52">
        <v>1</v>
      </c>
      <c r="N14" s="52">
        <v>4</v>
      </c>
      <c r="O14" s="52">
        <v>3</v>
      </c>
      <c r="P14" s="46">
        <f t="shared" si="0"/>
        <v>0</v>
      </c>
      <c r="Q14" s="54">
        <v>0.44400000000000001</v>
      </c>
      <c r="R14" s="58">
        <f t="shared" si="1"/>
        <v>0.44400000000000001</v>
      </c>
    </row>
    <row r="15" spans="1:18" ht="17.25" x14ac:dyDescent="0.3">
      <c r="A15" s="42" t="s">
        <v>23</v>
      </c>
      <c r="B15" s="52">
        <v>1</v>
      </c>
      <c r="C15" s="53">
        <v>0</v>
      </c>
      <c r="D15" s="52">
        <v>4</v>
      </c>
      <c r="E15" s="52">
        <v>3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1</v>
      </c>
      <c r="L15" s="52">
        <v>0</v>
      </c>
      <c r="M15" s="52">
        <v>0</v>
      </c>
      <c r="N15" s="52">
        <v>1</v>
      </c>
      <c r="O15" s="52">
        <v>2</v>
      </c>
      <c r="P15" s="46">
        <f t="shared" si="0"/>
        <v>0</v>
      </c>
      <c r="Q15" s="54">
        <v>0.25</v>
      </c>
      <c r="R15" s="58">
        <f t="shared" si="1"/>
        <v>0.25</v>
      </c>
    </row>
    <row r="16" spans="1:18" ht="17.25" x14ac:dyDescent="0.3">
      <c r="A16" s="42" t="s">
        <v>50</v>
      </c>
      <c r="B16" s="52">
        <v>5</v>
      </c>
      <c r="C16" s="53">
        <v>0.2</v>
      </c>
      <c r="D16" s="52">
        <v>8</v>
      </c>
      <c r="E16" s="52">
        <v>5</v>
      </c>
      <c r="F16" s="52">
        <v>1</v>
      </c>
      <c r="G16" s="52">
        <v>1</v>
      </c>
      <c r="H16" s="52">
        <v>0</v>
      </c>
      <c r="I16" s="52">
        <v>0</v>
      </c>
      <c r="J16" s="52">
        <v>0</v>
      </c>
      <c r="K16" s="52">
        <v>2</v>
      </c>
      <c r="L16" s="52">
        <v>1</v>
      </c>
      <c r="M16" s="52">
        <v>2</v>
      </c>
      <c r="N16" s="52">
        <v>3</v>
      </c>
      <c r="O16" s="52">
        <v>1</v>
      </c>
      <c r="P16" s="46">
        <f t="shared" si="0"/>
        <v>0.2</v>
      </c>
      <c r="Q16" s="54">
        <v>0.5</v>
      </c>
      <c r="R16" s="58">
        <f t="shared" si="1"/>
        <v>0.7</v>
      </c>
    </row>
    <row r="17" spans="1:21" ht="17.25" x14ac:dyDescent="0.3">
      <c r="A17" s="42" t="s">
        <v>33</v>
      </c>
      <c r="B17" s="52">
        <v>0</v>
      </c>
      <c r="C17" s="53">
        <v>0</v>
      </c>
      <c r="D17" s="52">
        <v>0</v>
      </c>
      <c r="E17" s="52">
        <v>0</v>
      </c>
      <c r="F17" s="52">
        <v>0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  <c r="O17" s="52">
        <v>0</v>
      </c>
      <c r="P17" s="46">
        <v>0</v>
      </c>
      <c r="Q17" s="54">
        <v>0</v>
      </c>
      <c r="R17" s="58">
        <f t="shared" si="1"/>
        <v>0</v>
      </c>
    </row>
    <row r="18" spans="1:21" ht="17.25" x14ac:dyDescent="0.3">
      <c r="A18" s="42" t="s">
        <v>60</v>
      </c>
      <c r="B18" s="52">
        <v>5</v>
      </c>
      <c r="C18" s="53">
        <v>0.42899999999999999</v>
      </c>
      <c r="D18" s="52">
        <v>9</v>
      </c>
      <c r="E18" s="52">
        <v>7</v>
      </c>
      <c r="F18" s="52">
        <v>3</v>
      </c>
      <c r="G18" s="52">
        <v>3</v>
      </c>
      <c r="H18" s="52">
        <v>0</v>
      </c>
      <c r="I18" s="52">
        <v>0</v>
      </c>
      <c r="J18" s="52">
        <v>0</v>
      </c>
      <c r="K18" s="52">
        <v>2</v>
      </c>
      <c r="L18" s="52">
        <v>2</v>
      </c>
      <c r="M18" s="52">
        <v>1</v>
      </c>
      <c r="N18" s="52">
        <v>2</v>
      </c>
      <c r="O18" s="52">
        <v>2</v>
      </c>
      <c r="P18" s="46">
        <f t="shared" si="0"/>
        <v>0.42857142857142855</v>
      </c>
      <c r="Q18" s="54">
        <v>0.55600000000000005</v>
      </c>
      <c r="R18" s="58">
        <f t="shared" si="1"/>
        <v>0.98457142857142865</v>
      </c>
    </row>
    <row r="19" spans="1:21" ht="17.25" x14ac:dyDescent="0.3">
      <c r="A19" s="42" t="s">
        <v>12</v>
      </c>
      <c r="B19" s="52">
        <v>1</v>
      </c>
      <c r="C19" s="53">
        <v>0.5</v>
      </c>
      <c r="D19" s="52">
        <v>3</v>
      </c>
      <c r="E19" s="52">
        <v>2</v>
      </c>
      <c r="F19" s="52">
        <v>1</v>
      </c>
      <c r="G19" s="52">
        <v>1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1</v>
      </c>
      <c r="N19" s="52">
        <v>1</v>
      </c>
      <c r="O19" s="52">
        <v>1</v>
      </c>
      <c r="P19" s="46">
        <f t="shared" si="0"/>
        <v>0.5</v>
      </c>
      <c r="Q19" s="54">
        <v>0.66700000000000004</v>
      </c>
      <c r="R19" s="58">
        <f t="shared" si="1"/>
        <v>1.167</v>
      </c>
    </row>
    <row r="20" spans="1:21" ht="17.25" x14ac:dyDescent="0.3">
      <c r="A20" s="42" t="s">
        <v>24</v>
      </c>
      <c r="B20" s="52">
        <v>7</v>
      </c>
      <c r="C20" s="53">
        <v>0.14299999999999999</v>
      </c>
      <c r="D20" s="52">
        <v>14</v>
      </c>
      <c r="E20" s="52">
        <v>7</v>
      </c>
      <c r="F20" s="52">
        <v>1</v>
      </c>
      <c r="G20" s="52">
        <v>1</v>
      </c>
      <c r="H20" s="52">
        <v>0</v>
      </c>
      <c r="I20" s="52">
        <v>0</v>
      </c>
      <c r="J20" s="52">
        <v>0</v>
      </c>
      <c r="K20" s="52">
        <v>4</v>
      </c>
      <c r="L20" s="52">
        <v>2</v>
      </c>
      <c r="M20" s="52">
        <v>4</v>
      </c>
      <c r="N20" s="52">
        <v>7</v>
      </c>
      <c r="O20" s="52">
        <v>5</v>
      </c>
      <c r="P20" s="46">
        <f t="shared" si="0"/>
        <v>0.14285714285714285</v>
      </c>
      <c r="Q20" s="54">
        <v>0.57099999999999995</v>
      </c>
      <c r="R20" s="58">
        <f t="shared" si="1"/>
        <v>0.71385714285714275</v>
      </c>
    </row>
    <row r="21" spans="1:21" ht="17.25" x14ac:dyDescent="0.3">
      <c r="A21" s="42" t="s">
        <v>14</v>
      </c>
      <c r="B21" s="52">
        <v>6</v>
      </c>
      <c r="C21" s="53">
        <v>0.54500000000000004</v>
      </c>
      <c r="D21" s="52">
        <v>15</v>
      </c>
      <c r="E21" s="52">
        <v>11</v>
      </c>
      <c r="F21" s="52">
        <v>6</v>
      </c>
      <c r="G21" s="52">
        <v>4</v>
      </c>
      <c r="H21" s="52">
        <v>2</v>
      </c>
      <c r="I21" s="52">
        <v>0</v>
      </c>
      <c r="J21" s="52">
        <v>0</v>
      </c>
      <c r="K21" s="52">
        <v>7</v>
      </c>
      <c r="L21" s="52">
        <v>3</v>
      </c>
      <c r="M21" s="52">
        <v>5</v>
      </c>
      <c r="N21" s="52">
        <v>4</v>
      </c>
      <c r="O21" s="52">
        <v>2</v>
      </c>
      <c r="P21" s="46">
        <f t="shared" si="0"/>
        <v>0.72727272727272729</v>
      </c>
      <c r="Q21" s="54">
        <v>0.66700000000000004</v>
      </c>
      <c r="R21" s="58">
        <f t="shared" si="1"/>
        <v>1.3942727272727273</v>
      </c>
    </row>
    <row r="22" spans="1:21" ht="17.25" x14ac:dyDescent="0.3">
      <c r="A22" s="42" t="s">
        <v>47</v>
      </c>
      <c r="B22" s="52">
        <v>3</v>
      </c>
      <c r="C22" s="53">
        <v>0.16700000000000001</v>
      </c>
      <c r="D22" s="52">
        <v>6</v>
      </c>
      <c r="E22" s="52">
        <v>6</v>
      </c>
      <c r="F22" s="52">
        <v>1</v>
      </c>
      <c r="G22" s="52">
        <v>1</v>
      </c>
      <c r="H22" s="52">
        <v>0</v>
      </c>
      <c r="I22" s="52">
        <v>0</v>
      </c>
      <c r="J22" s="52">
        <v>0</v>
      </c>
      <c r="K22" s="52">
        <v>1</v>
      </c>
      <c r="L22" s="52">
        <v>1</v>
      </c>
      <c r="M22" s="52">
        <v>0</v>
      </c>
      <c r="N22" s="52">
        <v>0</v>
      </c>
      <c r="O22" s="52">
        <v>3</v>
      </c>
      <c r="P22" s="46">
        <f t="shared" si="0"/>
        <v>0.16666666666666666</v>
      </c>
      <c r="Q22" s="54">
        <v>0.16700000000000001</v>
      </c>
      <c r="R22" s="58">
        <f t="shared" si="1"/>
        <v>0.33366666666666667</v>
      </c>
    </row>
    <row r="23" spans="1:21" ht="17.25" x14ac:dyDescent="0.3">
      <c r="A23" s="42" t="s">
        <v>22</v>
      </c>
      <c r="B23" s="52">
        <v>5</v>
      </c>
      <c r="C23" s="53">
        <v>0.2</v>
      </c>
      <c r="D23" s="52">
        <v>14</v>
      </c>
      <c r="E23" s="52">
        <v>10</v>
      </c>
      <c r="F23" s="52">
        <v>2</v>
      </c>
      <c r="G23" s="52">
        <v>1</v>
      </c>
      <c r="H23" s="52">
        <v>1</v>
      </c>
      <c r="I23" s="52">
        <v>0</v>
      </c>
      <c r="J23" s="52">
        <v>0</v>
      </c>
      <c r="K23" s="52">
        <v>1</v>
      </c>
      <c r="L23" s="52">
        <v>5</v>
      </c>
      <c r="M23" s="52">
        <v>0</v>
      </c>
      <c r="N23" s="52">
        <v>4</v>
      </c>
      <c r="O23" s="52">
        <v>5</v>
      </c>
      <c r="P23" s="46">
        <f t="shared" si="0"/>
        <v>0.3</v>
      </c>
      <c r="Q23" s="54">
        <v>0.42899999999999999</v>
      </c>
      <c r="R23" s="58">
        <f t="shared" si="1"/>
        <v>0.72899999999999998</v>
      </c>
    </row>
    <row r="24" spans="1:21" ht="17.25" x14ac:dyDescent="0.3">
      <c r="A24" s="42" t="s">
        <v>54</v>
      </c>
      <c r="B24" s="52">
        <v>0</v>
      </c>
      <c r="C24" s="53">
        <v>0</v>
      </c>
      <c r="D24" s="52">
        <v>0</v>
      </c>
      <c r="E24" s="52">
        <v>0</v>
      </c>
      <c r="F24" s="52">
        <v>0</v>
      </c>
      <c r="G24" s="52">
        <v>0</v>
      </c>
      <c r="H24" s="52">
        <v>0</v>
      </c>
      <c r="I24" s="52">
        <v>0</v>
      </c>
      <c r="J24" s="52">
        <v>0</v>
      </c>
      <c r="K24" s="52">
        <v>0</v>
      </c>
      <c r="L24" s="52">
        <v>0</v>
      </c>
      <c r="M24" s="52">
        <v>0</v>
      </c>
      <c r="N24" s="52">
        <v>0</v>
      </c>
      <c r="O24" s="52">
        <v>0</v>
      </c>
      <c r="P24" s="46">
        <v>0</v>
      </c>
      <c r="Q24" s="54">
        <v>0</v>
      </c>
      <c r="R24" s="58">
        <f t="shared" si="1"/>
        <v>0</v>
      </c>
    </row>
    <row r="25" spans="1:21" ht="17.25" x14ac:dyDescent="0.3">
      <c r="A25" s="59" t="s">
        <v>10</v>
      </c>
      <c r="B25" s="55"/>
      <c r="C25" s="56">
        <f>+F25/E25</f>
        <v>0.34285714285714286</v>
      </c>
      <c r="D25" s="55">
        <f>SUM(D4:D24)</f>
        <v>193</v>
      </c>
      <c r="E25" s="55">
        <f t="shared" ref="E25:J25" si="2">SUM(E4:E24)</f>
        <v>140</v>
      </c>
      <c r="F25" s="55">
        <f t="shared" si="2"/>
        <v>48</v>
      </c>
      <c r="G25" s="55">
        <f t="shared" si="2"/>
        <v>33</v>
      </c>
      <c r="H25" s="55">
        <f t="shared" si="2"/>
        <v>12</v>
      </c>
      <c r="I25" s="55">
        <f t="shared" si="2"/>
        <v>3</v>
      </c>
      <c r="J25" s="55">
        <f t="shared" si="2"/>
        <v>0</v>
      </c>
      <c r="K25" s="55">
        <f t="shared" ref="K25:O25" si="3">SUM(K4:K24)</f>
        <v>58</v>
      </c>
      <c r="L25" s="55">
        <f t="shared" si="3"/>
        <v>57</v>
      </c>
      <c r="M25" s="55">
        <f t="shared" si="3"/>
        <v>43</v>
      </c>
      <c r="N25" s="55">
        <f t="shared" si="3"/>
        <v>53</v>
      </c>
      <c r="O25" s="55">
        <f t="shared" si="3"/>
        <v>44</v>
      </c>
      <c r="P25" s="56"/>
      <c r="Q25" s="56"/>
      <c r="R25" s="57"/>
    </row>
    <row r="27" spans="1:21" ht="17.25" x14ac:dyDescent="0.3">
      <c r="A27" s="4" t="s">
        <v>3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spans="1:21" ht="17.25" x14ac:dyDescent="0.3">
      <c r="A28" s="9" t="s">
        <v>27</v>
      </c>
      <c r="B28" s="10" t="s">
        <v>46</v>
      </c>
      <c r="C28" s="10" t="s">
        <v>55</v>
      </c>
      <c r="D28" s="10" t="s">
        <v>41</v>
      </c>
      <c r="E28" s="10" t="s">
        <v>48</v>
      </c>
      <c r="F28" s="10" t="s">
        <v>45</v>
      </c>
      <c r="G28" s="10" t="s">
        <v>38</v>
      </c>
      <c r="H28" s="10" t="s">
        <v>5</v>
      </c>
      <c r="I28" s="10" t="s">
        <v>17</v>
      </c>
      <c r="J28" s="10" t="s">
        <v>26</v>
      </c>
      <c r="K28" s="10" t="s">
        <v>30</v>
      </c>
      <c r="L28" s="10" t="s">
        <v>11</v>
      </c>
      <c r="M28" s="10" t="s">
        <v>6</v>
      </c>
      <c r="N28" s="10" t="s">
        <v>42</v>
      </c>
      <c r="O28" s="10" t="s">
        <v>35</v>
      </c>
      <c r="P28" s="10" t="s">
        <v>49</v>
      </c>
    </row>
    <row r="29" spans="1:21" ht="17.25" x14ac:dyDescent="0.3">
      <c r="A29" s="9" t="s">
        <v>59</v>
      </c>
      <c r="B29" s="48">
        <v>4</v>
      </c>
      <c r="C29" s="48">
        <v>1</v>
      </c>
      <c r="D29" s="48">
        <v>1</v>
      </c>
      <c r="E29" s="48">
        <v>0</v>
      </c>
      <c r="F29" s="48">
        <v>38</v>
      </c>
      <c r="G29" s="48">
        <f>+F29-K29-L29</f>
        <v>25</v>
      </c>
      <c r="H29" s="49">
        <v>4.6666600000000003</v>
      </c>
      <c r="I29" s="48">
        <v>8</v>
      </c>
      <c r="J29" s="48">
        <v>0</v>
      </c>
      <c r="K29" s="48">
        <v>11</v>
      </c>
      <c r="L29" s="48">
        <v>2</v>
      </c>
      <c r="M29" s="48">
        <v>3</v>
      </c>
      <c r="N29" s="48">
        <v>14</v>
      </c>
      <c r="O29" s="48">
        <v>10</v>
      </c>
      <c r="P29" s="50">
        <f>+O29*9/H29</f>
        <v>19.285741836774051</v>
      </c>
      <c r="Q29" s="18"/>
    </row>
    <row r="30" spans="1:21" ht="17.25" x14ac:dyDescent="0.3">
      <c r="A30" s="9" t="s">
        <v>51</v>
      </c>
      <c r="B30" s="48">
        <v>4</v>
      </c>
      <c r="C30" s="48">
        <v>0</v>
      </c>
      <c r="D30" s="48">
        <v>1</v>
      </c>
      <c r="E30" s="48">
        <v>0</v>
      </c>
      <c r="F30" s="48">
        <v>28</v>
      </c>
      <c r="G30" s="48">
        <f t="shared" ref="G30:G34" si="4">+F30-K30-L30</f>
        <v>21</v>
      </c>
      <c r="H30" s="49">
        <v>2.3332999999999999</v>
      </c>
      <c r="I30" s="48">
        <v>6</v>
      </c>
      <c r="J30" s="48">
        <v>0</v>
      </c>
      <c r="K30" s="48">
        <v>6</v>
      </c>
      <c r="L30" s="48">
        <v>1</v>
      </c>
      <c r="M30" s="48">
        <v>4</v>
      </c>
      <c r="N30" s="48">
        <v>12</v>
      </c>
      <c r="O30" s="48">
        <v>5</v>
      </c>
      <c r="P30" s="50">
        <f t="shared" ref="P30:P35" si="5">+O30*9/H30</f>
        <v>19.285989799854285</v>
      </c>
    </row>
    <row r="31" spans="1:21" ht="17.25" x14ac:dyDescent="0.3">
      <c r="A31" s="9" t="s">
        <v>15</v>
      </c>
      <c r="B31" s="48">
        <v>5</v>
      </c>
      <c r="C31" s="48">
        <v>1</v>
      </c>
      <c r="D31" s="48">
        <v>0</v>
      </c>
      <c r="E31" s="48">
        <v>1</v>
      </c>
      <c r="F31" s="48">
        <v>41</v>
      </c>
      <c r="G31" s="48">
        <f t="shared" si="4"/>
        <v>33</v>
      </c>
      <c r="H31" s="49">
        <v>7.6665999999999999</v>
      </c>
      <c r="I31" s="48">
        <v>11</v>
      </c>
      <c r="J31" s="48">
        <v>0</v>
      </c>
      <c r="K31" s="48">
        <v>5</v>
      </c>
      <c r="L31" s="48">
        <v>3</v>
      </c>
      <c r="M31" s="48">
        <v>14</v>
      </c>
      <c r="N31" s="48">
        <v>13</v>
      </c>
      <c r="O31" s="48">
        <v>9</v>
      </c>
      <c r="P31" s="50">
        <f t="shared" si="5"/>
        <v>10.565309263558813</v>
      </c>
    </row>
    <row r="32" spans="1:21" ht="17.25" x14ac:dyDescent="0.3">
      <c r="A32" s="9" t="s">
        <v>50</v>
      </c>
      <c r="B32" s="48">
        <v>4</v>
      </c>
      <c r="C32" s="48">
        <v>0</v>
      </c>
      <c r="D32" s="48">
        <v>1</v>
      </c>
      <c r="E32" s="48">
        <v>0</v>
      </c>
      <c r="F32" s="48">
        <v>62</v>
      </c>
      <c r="G32" s="48">
        <f t="shared" si="4"/>
        <v>41</v>
      </c>
      <c r="H32" s="49">
        <v>7.6665999999999999</v>
      </c>
      <c r="I32" s="48">
        <v>18</v>
      </c>
      <c r="J32" s="48">
        <v>2</v>
      </c>
      <c r="K32" s="48">
        <v>18</v>
      </c>
      <c r="L32" s="48">
        <v>3</v>
      </c>
      <c r="M32" s="48">
        <v>12</v>
      </c>
      <c r="N32" s="48">
        <v>26</v>
      </c>
      <c r="O32" s="48">
        <v>18</v>
      </c>
      <c r="P32" s="50">
        <f t="shared" si="5"/>
        <v>21.130618527117626</v>
      </c>
    </row>
    <row r="33" spans="1:16" ht="17.25" x14ac:dyDescent="0.3">
      <c r="A33" s="9" t="s">
        <v>47</v>
      </c>
      <c r="B33" s="48">
        <v>2</v>
      </c>
      <c r="C33" s="48">
        <v>0</v>
      </c>
      <c r="D33" s="48">
        <v>2</v>
      </c>
      <c r="E33" s="48">
        <v>0</v>
      </c>
      <c r="F33" s="48">
        <v>39</v>
      </c>
      <c r="G33" s="48">
        <f t="shared" si="4"/>
        <v>21</v>
      </c>
      <c r="H33" s="49">
        <v>4.3333000000000004</v>
      </c>
      <c r="I33" s="48">
        <v>5</v>
      </c>
      <c r="J33" s="48">
        <v>1</v>
      </c>
      <c r="K33" s="48">
        <v>18</v>
      </c>
      <c r="L33" s="48">
        <v>0</v>
      </c>
      <c r="M33" s="48">
        <v>3</v>
      </c>
      <c r="N33" s="48">
        <v>19</v>
      </c>
      <c r="O33" s="48">
        <v>12</v>
      </c>
      <c r="P33" s="50">
        <f t="shared" si="5"/>
        <v>24.923268640528001</v>
      </c>
    </row>
    <row r="34" spans="1:16" ht="17.25" x14ac:dyDescent="0.3">
      <c r="A34" s="9" t="s">
        <v>22</v>
      </c>
      <c r="B34" s="48">
        <v>4</v>
      </c>
      <c r="C34" s="48">
        <v>1</v>
      </c>
      <c r="D34" s="48">
        <v>0</v>
      </c>
      <c r="E34" s="48">
        <v>2</v>
      </c>
      <c r="F34" s="48">
        <v>36</v>
      </c>
      <c r="G34" s="48">
        <f t="shared" si="4"/>
        <v>29</v>
      </c>
      <c r="H34" s="49">
        <v>7.3333000000000004</v>
      </c>
      <c r="I34" s="48">
        <v>8</v>
      </c>
      <c r="J34" s="48">
        <v>1</v>
      </c>
      <c r="K34" s="48">
        <v>7</v>
      </c>
      <c r="L34" s="48">
        <v>0</v>
      </c>
      <c r="M34" s="48">
        <v>8</v>
      </c>
      <c r="N34" s="48">
        <v>11</v>
      </c>
      <c r="O34" s="48">
        <v>10</v>
      </c>
      <c r="P34" s="50">
        <f t="shared" si="5"/>
        <v>12.272783058104809</v>
      </c>
    </row>
    <row r="35" spans="1:16" ht="17.25" x14ac:dyDescent="0.3">
      <c r="A35" s="60" t="s">
        <v>10</v>
      </c>
      <c r="B35" s="11"/>
      <c r="C35" s="11">
        <f t="shared" ref="C35:O35" si="6">SUM(C29:C34)</f>
        <v>3</v>
      </c>
      <c r="D35" s="11">
        <f t="shared" si="6"/>
        <v>5</v>
      </c>
      <c r="E35" s="11">
        <f t="shared" si="6"/>
        <v>3</v>
      </c>
      <c r="F35" s="11">
        <f t="shared" si="6"/>
        <v>244</v>
      </c>
      <c r="G35" s="11">
        <f t="shared" si="6"/>
        <v>170</v>
      </c>
      <c r="H35" s="15">
        <f t="shared" si="6"/>
        <v>33.999760000000002</v>
      </c>
      <c r="I35" s="11">
        <f t="shared" si="6"/>
        <v>56</v>
      </c>
      <c r="J35" s="11">
        <f t="shared" si="6"/>
        <v>4</v>
      </c>
      <c r="K35" s="11">
        <f t="shared" si="6"/>
        <v>65</v>
      </c>
      <c r="L35" s="11">
        <f t="shared" si="6"/>
        <v>9</v>
      </c>
      <c r="M35" s="11">
        <f t="shared" si="6"/>
        <v>44</v>
      </c>
      <c r="N35" s="11">
        <f t="shared" si="6"/>
        <v>95</v>
      </c>
      <c r="O35" s="11">
        <f t="shared" si="6"/>
        <v>64</v>
      </c>
      <c r="P35" s="16">
        <f t="shared" si="5"/>
        <v>16.941296056207456</v>
      </c>
    </row>
  </sheetData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T35"/>
  <sheetViews>
    <sheetView zoomScale="85" zoomScaleNormal="85" zoomScaleSheetLayoutView="75" workbookViewId="0">
      <selection activeCell="C18" sqref="C18:C20"/>
    </sheetView>
  </sheetViews>
  <sheetFormatPr defaultColWidth="9" defaultRowHeight="16.5" x14ac:dyDescent="0.3"/>
  <cols>
    <col min="1" max="20" width="8.125" customWidth="1"/>
  </cols>
  <sheetData>
    <row r="1" spans="1:20" ht="26.25" x14ac:dyDescent="0.3">
      <c r="A1" s="24" t="s">
        <v>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17.25" x14ac:dyDescent="0.3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7.25" x14ac:dyDescent="0.3">
      <c r="A3" s="14" t="s">
        <v>32</v>
      </c>
      <c r="B3" s="14" t="s">
        <v>13</v>
      </c>
      <c r="C3" s="14" t="s">
        <v>57</v>
      </c>
      <c r="D3" s="14" t="s">
        <v>19</v>
      </c>
      <c r="E3" s="14" t="s">
        <v>38</v>
      </c>
      <c r="F3" s="14" t="s">
        <v>53</v>
      </c>
      <c r="G3" s="14" t="s">
        <v>79</v>
      </c>
      <c r="H3" s="14" t="s">
        <v>72</v>
      </c>
      <c r="I3" s="14" t="s">
        <v>0</v>
      </c>
      <c r="J3" s="14" t="s">
        <v>82</v>
      </c>
      <c r="K3" s="14" t="s">
        <v>31</v>
      </c>
      <c r="L3" s="14" t="s">
        <v>36</v>
      </c>
      <c r="M3" s="14" t="s">
        <v>40</v>
      </c>
      <c r="N3" s="14" t="s">
        <v>29</v>
      </c>
      <c r="O3" s="14" t="s">
        <v>58</v>
      </c>
      <c r="P3" s="14" t="s">
        <v>43</v>
      </c>
      <c r="Q3" s="14" t="s">
        <v>37</v>
      </c>
      <c r="R3" s="43" t="s">
        <v>83</v>
      </c>
    </row>
    <row r="4" spans="1:20" ht="17.25" x14ac:dyDescent="0.3">
      <c r="A4" s="14" t="s">
        <v>59</v>
      </c>
      <c r="B4" s="7">
        <v>2</v>
      </c>
      <c r="C4" s="8">
        <v>0</v>
      </c>
      <c r="D4" s="7">
        <v>0</v>
      </c>
      <c r="E4" s="7">
        <v>0</v>
      </c>
      <c r="F4" s="7">
        <v>0</v>
      </c>
      <c r="G4" s="7">
        <f t="shared" ref="G4:G5" si="0">+F4-(H4+I4+J4)</f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1</v>
      </c>
      <c r="N4" s="7">
        <v>0</v>
      </c>
      <c r="O4" s="7">
        <v>0</v>
      </c>
      <c r="P4" s="46">
        <v>0</v>
      </c>
      <c r="Q4" s="8">
        <v>0</v>
      </c>
      <c r="R4" s="58">
        <f>+Q4+P4</f>
        <v>0</v>
      </c>
    </row>
    <row r="5" spans="1:20" ht="17.25" x14ac:dyDescent="0.3">
      <c r="A5" s="14" t="s">
        <v>34</v>
      </c>
      <c r="B5" s="7">
        <v>4</v>
      </c>
      <c r="C5" s="8">
        <v>0</v>
      </c>
      <c r="D5" s="7">
        <v>7</v>
      </c>
      <c r="E5" s="7">
        <v>3</v>
      </c>
      <c r="F5" s="7">
        <v>0</v>
      </c>
      <c r="G5" s="7">
        <f t="shared" si="0"/>
        <v>0</v>
      </c>
      <c r="H5" s="7">
        <v>0</v>
      </c>
      <c r="I5" s="7">
        <v>0</v>
      </c>
      <c r="J5" s="7">
        <v>0</v>
      </c>
      <c r="K5" s="7">
        <v>1</v>
      </c>
      <c r="L5" s="7">
        <v>0</v>
      </c>
      <c r="M5" s="7">
        <v>0</v>
      </c>
      <c r="N5" s="7">
        <v>4</v>
      </c>
      <c r="O5" s="7">
        <v>0</v>
      </c>
      <c r="P5" s="46">
        <f t="shared" ref="P5:P23" si="1">+(G5*1+H5*2+I5*3+J5*4)/E5</f>
        <v>0</v>
      </c>
      <c r="Q5" s="8">
        <v>0.57099999999999995</v>
      </c>
      <c r="R5" s="58">
        <f t="shared" ref="R5:R24" si="2">+Q5+P5</f>
        <v>0.57099999999999995</v>
      </c>
    </row>
    <row r="6" spans="1:20" ht="17.25" x14ac:dyDescent="0.3">
      <c r="A6" s="14" t="s">
        <v>44</v>
      </c>
      <c r="B6" s="7">
        <v>9</v>
      </c>
      <c r="C6" s="8">
        <v>0.47399999999999998</v>
      </c>
      <c r="D6" s="7">
        <v>24</v>
      </c>
      <c r="E6" s="7">
        <v>19</v>
      </c>
      <c r="F6" s="7">
        <v>9</v>
      </c>
      <c r="G6" s="7">
        <f>+F6-(H6+I6+J6)</f>
        <v>7</v>
      </c>
      <c r="H6" s="7">
        <v>2</v>
      </c>
      <c r="I6" s="7">
        <v>0</v>
      </c>
      <c r="J6" s="7">
        <v>0</v>
      </c>
      <c r="K6" s="7">
        <v>9</v>
      </c>
      <c r="L6" s="7">
        <v>9</v>
      </c>
      <c r="M6" s="7">
        <v>7</v>
      </c>
      <c r="N6" s="7">
        <v>5</v>
      </c>
      <c r="O6" s="7">
        <v>2</v>
      </c>
      <c r="P6" s="46">
        <f t="shared" si="1"/>
        <v>0.57894736842105265</v>
      </c>
      <c r="Q6" s="8">
        <v>0.58299999999999996</v>
      </c>
      <c r="R6" s="58">
        <f t="shared" si="2"/>
        <v>1.1619473684210526</v>
      </c>
    </row>
    <row r="7" spans="1:20" ht="17.25" x14ac:dyDescent="0.3">
      <c r="A7" s="14" t="s">
        <v>9</v>
      </c>
      <c r="B7" s="7">
        <v>0</v>
      </c>
      <c r="C7" s="8">
        <v>0</v>
      </c>
      <c r="D7" s="7">
        <v>0</v>
      </c>
      <c r="E7" s="7">
        <v>0</v>
      </c>
      <c r="F7" s="7">
        <v>0</v>
      </c>
      <c r="G7" s="7">
        <f t="shared" ref="G7:G24" si="3">+F7-(H7+I7+J7)</f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46">
        <v>0</v>
      </c>
      <c r="Q7" s="8">
        <v>0</v>
      </c>
      <c r="R7" s="58">
        <f t="shared" si="2"/>
        <v>0</v>
      </c>
    </row>
    <row r="8" spans="1:20" ht="17.25" x14ac:dyDescent="0.3">
      <c r="A8" s="14" t="s">
        <v>4</v>
      </c>
      <c r="B8" s="7">
        <v>9</v>
      </c>
      <c r="C8" s="8">
        <v>0.25</v>
      </c>
      <c r="D8" s="7">
        <v>26</v>
      </c>
      <c r="E8" s="7">
        <v>20</v>
      </c>
      <c r="F8" s="7">
        <v>5</v>
      </c>
      <c r="G8" s="7">
        <f t="shared" si="3"/>
        <v>3</v>
      </c>
      <c r="H8" s="7">
        <v>0</v>
      </c>
      <c r="I8" s="7">
        <v>2</v>
      </c>
      <c r="J8" s="7">
        <v>0</v>
      </c>
      <c r="K8" s="7">
        <v>7</v>
      </c>
      <c r="L8" s="7">
        <v>7</v>
      </c>
      <c r="M8" s="7">
        <v>4</v>
      </c>
      <c r="N8" s="7">
        <v>6</v>
      </c>
      <c r="O8" s="7">
        <v>5</v>
      </c>
      <c r="P8" s="46">
        <f t="shared" si="1"/>
        <v>0.45</v>
      </c>
      <c r="Q8" s="8">
        <v>0.42299999999999999</v>
      </c>
      <c r="R8" s="58">
        <f t="shared" si="2"/>
        <v>0.873</v>
      </c>
    </row>
    <row r="9" spans="1:20" ht="17.25" x14ac:dyDescent="0.3">
      <c r="A9" s="14" t="s">
        <v>51</v>
      </c>
      <c r="B9" s="7">
        <v>4</v>
      </c>
      <c r="C9" s="8">
        <v>0.2</v>
      </c>
      <c r="D9" s="7">
        <v>6</v>
      </c>
      <c r="E9" s="7">
        <v>5</v>
      </c>
      <c r="F9" s="7">
        <v>1</v>
      </c>
      <c r="G9" s="7">
        <f t="shared" si="3"/>
        <v>1</v>
      </c>
      <c r="H9" s="7">
        <v>0</v>
      </c>
      <c r="I9" s="7">
        <v>0</v>
      </c>
      <c r="J9" s="7">
        <v>0</v>
      </c>
      <c r="K9" s="7">
        <v>2</v>
      </c>
      <c r="L9" s="7">
        <v>0</v>
      </c>
      <c r="M9" s="7">
        <v>1</v>
      </c>
      <c r="N9" s="7">
        <v>1</v>
      </c>
      <c r="O9" s="7">
        <v>1</v>
      </c>
      <c r="P9" s="46">
        <f t="shared" si="1"/>
        <v>0.2</v>
      </c>
      <c r="Q9" s="8">
        <v>0.33300000000000002</v>
      </c>
      <c r="R9" s="58">
        <f t="shared" si="2"/>
        <v>0.53300000000000003</v>
      </c>
    </row>
    <row r="10" spans="1:20" ht="17.25" x14ac:dyDescent="0.3">
      <c r="A10" s="14" t="s">
        <v>25</v>
      </c>
      <c r="B10" s="7">
        <v>9</v>
      </c>
      <c r="C10" s="8">
        <v>0.54200000000000004</v>
      </c>
      <c r="D10" s="7">
        <v>31</v>
      </c>
      <c r="E10" s="7">
        <v>24</v>
      </c>
      <c r="F10" s="7">
        <v>13</v>
      </c>
      <c r="G10" s="7">
        <f t="shared" si="3"/>
        <v>9</v>
      </c>
      <c r="H10" s="7">
        <v>2</v>
      </c>
      <c r="I10" s="7">
        <v>1</v>
      </c>
      <c r="J10" s="7">
        <v>1</v>
      </c>
      <c r="K10" s="7">
        <v>16</v>
      </c>
      <c r="L10" s="7">
        <v>8</v>
      </c>
      <c r="M10" s="7">
        <v>16</v>
      </c>
      <c r="N10" s="7">
        <v>7</v>
      </c>
      <c r="O10" s="7">
        <v>2</v>
      </c>
      <c r="P10" s="46">
        <f t="shared" si="1"/>
        <v>0.83333333333333337</v>
      </c>
      <c r="Q10" s="8">
        <v>0.64500000000000002</v>
      </c>
      <c r="R10" s="58">
        <f t="shared" si="2"/>
        <v>1.4783333333333335</v>
      </c>
    </row>
    <row r="11" spans="1:20" ht="17.25" x14ac:dyDescent="0.3">
      <c r="A11" s="14" t="s">
        <v>21</v>
      </c>
      <c r="B11" s="7">
        <v>4</v>
      </c>
      <c r="C11" s="8">
        <v>0.33300000000000002</v>
      </c>
      <c r="D11" s="7">
        <v>7</v>
      </c>
      <c r="E11" s="7">
        <v>6</v>
      </c>
      <c r="F11" s="7">
        <v>2</v>
      </c>
      <c r="G11" s="7">
        <f t="shared" si="3"/>
        <v>2</v>
      </c>
      <c r="H11" s="7">
        <v>0</v>
      </c>
      <c r="I11" s="7">
        <v>0</v>
      </c>
      <c r="J11" s="7">
        <v>0</v>
      </c>
      <c r="K11" s="7">
        <v>3</v>
      </c>
      <c r="L11" s="7">
        <v>0</v>
      </c>
      <c r="M11" s="7">
        <v>3</v>
      </c>
      <c r="N11" s="7">
        <v>1</v>
      </c>
      <c r="O11" s="7">
        <v>0</v>
      </c>
      <c r="P11" s="46">
        <f t="shared" si="1"/>
        <v>0.33333333333333331</v>
      </c>
      <c r="Q11" s="8">
        <v>0.42899999999999999</v>
      </c>
      <c r="R11" s="58">
        <f t="shared" si="2"/>
        <v>0.76233333333333331</v>
      </c>
    </row>
    <row r="12" spans="1:20" ht="17.25" x14ac:dyDescent="0.3">
      <c r="A12" s="14" t="s">
        <v>8</v>
      </c>
      <c r="B12" s="7">
        <v>2</v>
      </c>
      <c r="C12" s="8">
        <v>0.33300000000000002</v>
      </c>
      <c r="D12" s="7">
        <v>3</v>
      </c>
      <c r="E12" s="7">
        <v>3</v>
      </c>
      <c r="F12" s="7">
        <v>1</v>
      </c>
      <c r="G12" s="7">
        <f t="shared" si="3"/>
        <v>1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1</v>
      </c>
      <c r="N12" s="7">
        <v>0</v>
      </c>
      <c r="O12" s="7">
        <v>0</v>
      </c>
      <c r="P12" s="46">
        <f t="shared" si="1"/>
        <v>0.33333333333333331</v>
      </c>
      <c r="Q12" s="8">
        <v>0.33300000000000002</v>
      </c>
      <c r="R12" s="58">
        <f t="shared" si="2"/>
        <v>0.66633333333333333</v>
      </c>
    </row>
    <row r="13" spans="1:20" ht="17.25" x14ac:dyDescent="0.3">
      <c r="A13" s="14" t="s">
        <v>15</v>
      </c>
      <c r="B13" s="7">
        <v>10</v>
      </c>
      <c r="C13" s="8">
        <v>0.435</v>
      </c>
      <c r="D13" s="7">
        <v>25</v>
      </c>
      <c r="E13" s="7">
        <v>23</v>
      </c>
      <c r="F13" s="7">
        <v>10</v>
      </c>
      <c r="G13" s="7">
        <f t="shared" si="3"/>
        <v>6</v>
      </c>
      <c r="H13" s="7">
        <v>4</v>
      </c>
      <c r="I13" s="7">
        <v>0</v>
      </c>
      <c r="J13" s="7">
        <v>0</v>
      </c>
      <c r="K13" s="7">
        <v>6</v>
      </c>
      <c r="L13" s="7">
        <v>10</v>
      </c>
      <c r="M13" s="7">
        <v>5</v>
      </c>
      <c r="N13" s="7">
        <v>1</v>
      </c>
      <c r="O13" s="7">
        <v>3</v>
      </c>
      <c r="P13" s="46">
        <f t="shared" si="1"/>
        <v>0.60869565217391308</v>
      </c>
      <c r="Q13" s="8">
        <v>0.44</v>
      </c>
      <c r="R13" s="58">
        <f t="shared" si="2"/>
        <v>1.048695652173913</v>
      </c>
    </row>
    <row r="14" spans="1:20" ht="17.25" x14ac:dyDescent="0.3">
      <c r="A14" s="14" t="s">
        <v>52</v>
      </c>
      <c r="B14" s="7">
        <v>3</v>
      </c>
      <c r="C14" s="8">
        <v>0</v>
      </c>
      <c r="D14" s="7">
        <v>7</v>
      </c>
      <c r="E14" s="7">
        <v>5</v>
      </c>
      <c r="F14" s="7">
        <v>0</v>
      </c>
      <c r="G14" s="7">
        <f t="shared" si="3"/>
        <v>0</v>
      </c>
      <c r="H14" s="7">
        <v>0</v>
      </c>
      <c r="I14" s="7">
        <v>0</v>
      </c>
      <c r="J14" s="7">
        <v>0</v>
      </c>
      <c r="K14" s="7">
        <v>2</v>
      </c>
      <c r="L14" s="7">
        <v>0</v>
      </c>
      <c r="M14" s="7">
        <v>1</v>
      </c>
      <c r="N14" s="7">
        <v>2</v>
      </c>
      <c r="O14" s="7">
        <v>3</v>
      </c>
      <c r="P14" s="46">
        <f t="shared" si="1"/>
        <v>0</v>
      </c>
      <c r="Q14" s="8">
        <v>0.28599999999999998</v>
      </c>
      <c r="R14" s="58">
        <f t="shared" si="2"/>
        <v>0.28599999999999998</v>
      </c>
    </row>
    <row r="15" spans="1:20" ht="17.25" x14ac:dyDescent="0.3">
      <c r="A15" s="14" t="s">
        <v>23</v>
      </c>
      <c r="B15" s="7">
        <v>6</v>
      </c>
      <c r="C15" s="8">
        <v>0.222</v>
      </c>
      <c r="D15" s="7">
        <v>13</v>
      </c>
      <c r="E15" s="7">
        <v>9</v>
      </c>
      <c r="F15" s="7">
        <v>2</v>
      </c>
      <c r="G15" s="7">
        <f t="shared" si="3"/>
        <v>2</v>
      </c>
      <c r="H15" s="7">
        <v>0</v>
      </c>
      <c r="I15" s="7">
        <v>0</v>
      </c>
      <c r="J15" s="7">
        <v>0</v>
      </c>
      <c r="K15" s="7">
        <v>1</v>
      </c>
      <c r="L15" s="7">
        <v>3</v>
      </c>
      <c r="M15" s="7">
        <v>1</v>
      </c>
      <c r="N15" s="7">
        <v>3</v>
      </c>
      <c r="O15" s="7">
        <v>5</v>
      </c>
      <c r="P15" s="46">
        <f t="shared" si="1"/>
        <v>0.22222222222222221</v>
      </c>
      <c r="Q15" s="8">
        <v>0.41699999999999998</v>
      </c>
      <c r="R15" s="58">
        <f t="shared" si="2"/>
        <v>0.63922222222222214</v>
      </c>
    </row>
    <row r="16" spans="1:20" ht="17.25" x14ac:dyDescent="0.3">
      <c r="A16" s="14" t="s">
        <v>50</v>
      </c>
      <c r="B16" s="7">
        <v>2</v>
      </c>
      <c r="C16" s="8">
        <v>0</v>
      </c>
      <c r="D16" s="7">
        <v>1</v>
      </c>
      <c r="E16" s="7">
        <v>1</v>
      </c>
      <c r="F16" s="7">
        <v>0</v>
      </c>
      <c r="G16" s="7">
        <f t="shared" si="3"/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46">
        <f t="shared" si="1"/>
        <v>0</v>
      </c>
      <c r="Q16" s="8">
        <v>0</v>
      </c>
      <c r="R16" s="58">
        <f t="shared" si="2"/>
        <v>0</v>
      </c>
    </row>
    <row r="17" spans="1:18" ht="17.25" x14ac:dyDescent="0.3">
      <c r="A17" s="14" t="s">
        <v>33</v>
      </c>
      <c r="B17" s="7">
        <v>2</v>
      </c>
      <c r="C17" s="8">
        <v>0</v>
      </c>
      <c r="D17" s="7">
        <v>5</v>
      </c>
      <c r="E17" s="7">
        <v>3</v>
      </c>
      <c r="F17" s="7">
        <v>0</v>
      </c>
      <c r="G17" s="7">
        <f t="shared" si="3"/>
        <v>0</v>
      </c>
      <c r="H17" s="7">
        <v>0</v>
      </c>
      <c r="I17" s="7">
        <v>0</v>
      </c>
      <c r="J17" s="7">
        <v>0</v>
      </c>
      <c r="K17" s="7">
        <v>2</v>
      </c>
      <c r="L17" s="7">
        <v>0</v>
      </c>
      <c r="M17" s="7">
        <v>2</v>
      </c>
      <c r="N17" s="7">
        <v>2</v>
      </c>
      <c r="O17" s="7">
        <v>1</v>
      </c>
      <c r="P17" s="46">
        <f t="shared" si="1"/>
        <v>0</v>
      </c>
      <c r="Q17" s="8">
        <v>0.4</v>
      </c>
      <c r="R17" s="58">
        <f t="shared" si="2"/>
        <v>0.4</v>
      </c>
    </row>
    <row r="18" spans="1:18" ht="17.25" x14ac:dyDescent="0.3">
      <c r="A18" s="14" t="s">
        <v>60</v>
      </c>
      <c r="B18" s="7">
        <v>7</v>
      </c>
      <c r="C18" s="8">
        <v>0.61099999999999999</v>
      </c>
      <c r="D18" s="7">
        <v>21</v>
      </c>
      <c r="E18" s="7">
        <v>18</v>
      </c>
      <c r="F18" s="7">
        <v>11</v>
      </c>
      <c r="G18" s="7">
        <f t="shared" si="3"/>
        <v>10</v>
      </c>
      <c r="H18" s="7">
        <v>0</v>
      </c>
      <c r="I18" s="7">
        <v>0</v>
      </c>
      <c r="J18" s="7">
        <v>1</v>
      </c>
      <c r="K18" s="7">
        <v>6</v>
      </c>
      <c r="L18" s="7">
        <v>6</v>
      </c>
      <c r="M18" s="7">
        <v>3</v>
      </c>
      <c r="N18" s="7">
        <v>3</v>
      </c>
      <c r="O18" s="7">
        <v>2</v>
      </c>
      <c r="P18" s="46">
        <f t="shared" si="1"/>
        <v>0.77777777777777779</v>
      </c>
      <c r="Q18" s="8">
        <v>0.66700000000000004</v>
      </c>
      <c r="R18" s="58">
        <f t="shared" si="2"/>
        <v>1.4447777777777779</v>
      </c>
    </row>
    <row r="19" spans="1:18" ht="17.25" x14ac:dyDescent="0.3">
      <c r="A19" s="14" t="s">
        <v>12</v>
      </c>
      <c r="B19" s="7">
        <v>6</v>
      </c>
      <c r="C19" s="8">
        <v>0.28599999999999998</v>
      </c>
      <c r="D19" s="7">
        <v>15</v>
      </c>
      <c r="E19" s="7">
        <v>14</v>
      </c>
      <c r="F19" s="7">
        <v>4</v>
      </c>
      <c r="G19" s="7">
        <f t="shared" si="3"/>
        <v>4</v>
      </c>
      <c r="H19" s="7">
        <v>0</v>
      </c>
      <c r="I19" s="7">
        <v>0</v>
      </c>
      <c r="J19" s="7">
        <v>0</v>
      </c>
      <c r="K19" s="7">
        <v>2</v>
      </c>
      <c r="L19" s="7">
        <v>3</v>
      </c>
      <c r="M19" s="7">
        <v>2</v>
      </c>
      <c r="N19" s="7">
        <v>0</v>
      </c>
      <c r="O19" s="7">
        <v>1</v>
      </c>
      <c r="P19" s="46">
        <f t="shared" si="1"/>
        <v>0.2857142857142857</v>
      </c>
      <c r="Q19" s="8">
        <v>0.26700000000000002</v>
      </c>
      <c r="R19" s="58">
        <f t="shared" si="2"/>
        <v>0.55271428571428571</v>
      </c>
    </row>
    <row r="20" spans="1:18" ht="17.25" x14ac:dyDescent="0.3">
      <c r="A20" s="14" t="s">
        <v>24</v>
      </c>
      <c r="B20" s="7">
        <v>5</v>
      </c>
      <c r="C20" s="8">
        <v>0.14299999999999999</v>
      </c>
      <c r="D20" s="7">
        <v>8</v>
      </c>
      <c r="E20" s="7">
        <v>7</v>
      </c>
      <c r="F20" s="7">
        <v>1</v>
      </c>
      <c r="G20" s="7">
        <f t="shared" si="3"/>
        <v>1</v>
      </c>
      <c r="H20" s="7">
        <v>0</v>
      </c>
      <c r="I20" s="7">
        <v>0</v>
      </c>
      <c r="J20" s="7">
        <v>0</v>
      </c>
      <c r="K20" s="7">
        <v>1</v>
      </c>
      <c r="L20" s="7">
        <v>4</v>
      </c>
      <c r="M20" s="7">
        <v>2</v>
      </c>
      <c r="N20" s="7">
        <v>1</v>
      </c>
      <c r="O20" s="7">
        <v>3</v>
      </c>
      <c r="P20" s="46">
        <f t="shared" si="1"/>
        <v>0.14285714285714285</v>
      </c>
      <c r="Q20" s="8">
        <v>0.25</v>
      </c>
      <c r="R20" s="58">
        <f t="shared" si="2"/>
        <v>0.39285714285714285</v>
      </c>
    </row>
    <row r="21" spans="1:18" ht="17.25" x14ac:dyDescent="0.3">
      <c r="A21" s="14" t="s">
        <v>14</v>
      </c>
      <c r="B21" s="7">
        <v>10</v>
      </c>
      <c r="C21" s="8">
        <v>0.30399999999999999</v>
      </c>
      <c r="D21" s="7">
        <v>25</v>
      </c>
      <c r="E21" s="7">
        <v>23</v>
      </c>
      <c r="F21" s="7">
        <v>7</v>
      </c>
      <c r="G21" s="7">
        <f t="shared" si="3"/>
        <v>5</v>
      </c>
      <c r="H21" s="7">
        <v>1</v>
      </c>
      <c r="I21" s="7">
        <v>0</v>
      </c>
      <c r="J21" s="7">
        <v>1</v>
      </c>
      <c r="K21" s="7">
        <v>9</v>
      </c>
      <c r="L21" s="7">
        <v>5</v>
      </c>
      <c r="M21" s="7">
        <v>3</v>
      </c>
      <c r="N21" s="7">
        <v>2</v>
      </c>
      <c r="O21" s="7">
        <v>3</v>
      </c>
      <c r="P21" s="46">
        <f t="shared" si="1"/>
        <v>0.47826086956521741</v>
      </c>
      <c r="Q21" s="8">
        <v>0.36</v>
      </c>
      <c r="R21" s="58">
        <f t="shared" si="2"/>
        <v>0.83826086956521739</v>
      </c>
    </row>
    <row r="22" spans="1:18" ht="17.25" x14ac:dyDescent="0.3">
      <c r="A22" s="14" t="s">
        <v>47</v>
      </c>
      <c r="B22" s="7">
        <v>6</v>
      </c>
      <c r="C22" s="8">
        <v>0.57099999999999995</v>
      </c>
      <c r="D22" s="7">
        <v>9</v>
      </c>
      <c r="E22" s="7">
        <v>7</v>
      </c>
      <c r="F22" s="7">
        <v>4</v>
      </c>
      <c r="G22" s="7">
        <f t="shared" si="3"/>
        <v>4</v>
      </c>
      <c r="H22" s="7">
        <v>0</v>
      </c>
      <c r="I22" s="7">
        <v>0</v>
      </c>
      <c r="J22" s="7">
        <v>0</v>
      </c>
      <c r="K22" s="7">
        <v>3</v>
      </c>
      <c r="L22" s="7">
        <v>0</v>
      </c>
      <c r="M22" s="7">
        <v>4</v>
      </c>
      <c r="N22" s="7">
        <v>2</v>
      </c>
      <c r="O22" s="7">
        <v>0</v>
      </c>
      <c r="P22" s="46">
        <f t="shared" si="1"/>
        <v>0.5714285714285714</v>
      </c>
      <c r="Q22" s="8">
        <v>0.66700000000000004</v>
      </c>
      <c r="R22" s="58">
        <f t="shared" si="2"/>
        <v>1.2384285714285714</v>
      </c>
    </row>
    <row r="23" spans="1:18" ht="17.25" x14ac:dyDescent="0.3">
      <c r="A23" s="14" t="s">
        <v>22</v>
      </c>
      <c r="B23" s="7">
        <v>5</v>
      </c>
      <c r="C23" s="8">
        <v>0.4</v>
      </c>
      <c r="D23" s="7">
        <v>14</v>
      </c>
      <c r="E23" s="7">
        <v>10</v>
      </c>
      <c r="F23" s="7">
        <v>4</v>
      </c>
      <c r="G23" s="7">
        <f t="shared" si="3"/>
        <v>4</v>
      </c>
      <c r="H23" s="7">
        <v>0</v>
      </c>
      <c r="I23" s="7">
        <v>0</v>
      </c>
      <c r="J23" s="7">
        <v>0</v>
      </c>
      <c r="K23" s="7">
        <v>4</v>
      </c>
      <c r="L23" s="7">
        <v>0</v>
      </c>
      <c r="M23" s="7">
        <v>4</v>
      </c>
      <c r="N23" s="7">
        <v>4</v>
      </c>
      <c r="O23" s="7">
        <v>2</v>
      </c>
      <c r="P23" s="46">
        <f t="shared" si="1"/>
        <v>0.4</v>
      </c>
      <c r="Q23" s="8">
        <v>0.57099999999999995</v>
      </c>
      <c r="R23" s="58">
        <f t="shared" si="2"/>
        <v>0.97099999999999997</v>
      </c>
    </row>
    <row r="24" spans="1:18" ht="17.25" x14ac:dyDescent="0.3">
      <c r="A24" s="14" t="s">
        <v>54</v>
      </c>
      <c r="B24" s="7">
        <v>5</v>
      </c>
      <c r="C24" s="8">
        <v>0</v>
      </c>
      <c r="D24" s="7">
        <v>9</v>
      </c>
      <c r="E24" s="7">
        <v>7</v>
      </c>
      <c r="F24" s="7">
        <v>0</v>
      </c>
      <c r="G24" s="7">
        <f t="shared" si="3"/>
        <v>0</v>
      </c>
      <c r="H24" s="7">
        <v>0</v>
      </c>
      <c r="I24" s="7">
        <v>0</v>
      </c>
      <c r="J24" s="7">
        <v>0</v>
      </c>
      <c r="K24" s="7">
        <v>1</v>
      </c>
      <c r="L24" s="7">
        <v>0</v>
      </c>
      <c r="M24" s="7">
        <v>0</v>
      </c>
      <c r="N24" s="7">
        <v>2</v>
      </c>
      <c r="O24" s="7">
        <v>1</v>
      </c>
      <c r="P24" s="8">
        <v>0</v>
      </c>
      <c r="Q24" s="8">
        <v>0.222</v>
      </c>
      <c r="R24" s="58">
        <f t="shared" si="2"/>
        <v>0.222</v>
      </c>
    </row>
    <row r="25" spans="1:18" ht="17.25" x14ac:dyDescent="0.3">
      <c r="A25" s="11" t="s">
        <v>10</v>
      </c>
      <c r="B25" s="11"/>
      <c r="C25" s="17">
        <f>+F25/E25</f>
        <v>0.35748792270531399</v>
      </c>
      <c r="D25" s="11">
        <f t="shared" ref="D25:O25" si="4">SUM(D4:D24)</f>
        <v>256</v>
      </c>
      <c r="E25" s="11">
        <f t="shared" si="4"/>
        <v>207</v>
      </c>
      <c r="F25" s="11">
        <f t="shared" si="4"/>
        <v>74</v>
      </c>
      <c r="G25" s="11">
        <f t="shared" si="4"/>
        <v>59</v>
      </c>
      <c r="H25" s="11">
        <f t="shared" si="4"/>
        <v>9</v>
      </c>
      <c r="I25" s="11">
        <f t="shared" si="4"/>
        <v>3</v>
      </c>
      <c r="J25" s="11">
        <f t="shared" si="4"/>
        <v>3</v>
      </c>
      <c r="K25" s="11">
        <f t="shared" si="4"/>
        <v>75</v>
      </c>
      <c r="L25" s="11">
        <f t="shared" si="4"/>
        <v>55</v>
      </c>
      <c r="M25" s="11">
        <f t="shared" si="4"/>
        <v>60</v>
      </c>
      <c r="N25" s="11">
        <f t="shared" si="4"/>
        <v>46</v>
      </c>
      <c r="O25" s="11">
        <f t="shared" si="4"/>
        <v>34</v>
      </c>
      <c r="P25" s="17"/>
      <c r="Q25" s="17"/>
      <c r="R25" s="57"/>
    </row>
    <row r="27" spans="1:18" ht="17.25" x14ac:dyDescent="0.3">
      <c r="A27" s="4" t="s">
        <v>3</v>
      </c>
    </row>
    <row r="28" spans="1:18" ht="17.25" x14ac:dyDescent="0.3">
      <c r="A28" s="14" t="s">
        <v>32</v>
      </c>
      <c r="B28" s="14" t="s">
        <v>13</v>
      </c>
      <c r="C28" s="14" t="s">
        <v>55</v>
      </c>
      <c r="D28" s="14" t="s">
        <v>41</v>
      </c>
      <c r="E28" s="14" t="s">
        <v>48</v>
      </c>
      <c r="F28" s="14" t="s">
        <v>45</v>
      </c>
      <c r="G28" s="14" t="s">
        <v>38</v>
      </c>
      <c r="H28" s="14" t="s">
        <v>5</v>
      </c>
      <c r="I28" s="14" t="s">
        <v>17</v>
      </c>
      <c r="J28" s="14" t="s">
        <v>26</v>
      </c>
      <c r="K28" s="14" t="s">
        <v>18</v>
      </c>
      <c r="L28" s="14" t="s">
        <v>39</v>
      </c>
      <c r="M28" s="14" t="s">
        <v>58</v>
      </c>
      <c r="N28" s="14" t="s">
        <v>42</v>
      </c>
      <c r="O28" s="14" t="s">
        <v>16</v>
      </c>
      <c r="P28" s="14" t="s">
        <v>49</v>
      </c>
    </row>
    <row r="29" spans="1:18" ht="17.25" x14ac:dyDescent="0.3">
      <c r="A29" s="14" t="s">
        <v>59</v>
      </c>
      <c r="B29" s="7">
        <v>3</v>
      </c>
      <c r="C29" s="7">
        <v>0</v>
      </c>
      <c r="D29" s="7">
        <v>0</v>
      </c>
      <c r="E29" s="7">
        <v>0</v>
      </c>
      <c r="F29" s="7">
        <v>12</v>
      </c>
      <c r="G29" s="7">
        <f>+F29-K29-L29</f>
        <v>7</v>
      </c>
      <c r="H29" s="20">
        <v>0.66666666600000002</v>
      </c>
      <c r="I29" s="7">
        <v>2</v>
      </c>
      <c r="J29" s="7">
        <v>0</v>
      </c>
      <c r="K29" s="7">
        <v>5</v>
      </c>
      <c r="L29" s="7">
        <v>0</v>
      </c>
      <c r="M29" s="7">
        <v>1</v>
      </c>
      <c r="N29" s="7">
        <v>4</v>
      </c>
      <c r="O29" s="7">
        <v>1</v>
      </c>
      <c r="P29" s="19">
        <f>+O29*9/H29</f>
        <v>13.500000013499999</v>
      </c>
    </row>
    <row r="30" spans="1:18" ht="17.25" x14ac:dyDescent="0.3">
      <c r="A30" s="14" t="s">
        <v>51</v>
      </c>
      <c r="B30" s="7">
        <v>5</v>
      </c>
      <c r="C30" s="7">
        <v>1</v>
      </c>
      <c r="D30" s="7">
        <v>1</v>
      </c>
      <c r="E30" s="7">
        <v>0</v>
      </c>
      <c r="F30" s="7">
        <v>85</v>
      </c>
      <c r="G30" s="7">
        <f t="shared" ref="G30:G34" si="5">+F30-K30-L30</f>
        <v>64</v>
      </c>
      <c r="H30" s="20">
        <v>10.33333333</v>
      </c>
      <c r="I30" s="7">
        <v>27</v>
      </c>
      <c r="J30" s="7">
        <v>3</v>
      </c>
      <c r="K30" s="7">
        <v>17</v>
      </c>
      <c r="L30" s="7">
        <v>4</v>
      </c>
      <c r="M30" s="7">
        <v>7</v>
      </c>
      <c r="N30" s="7">
        <v>36</v>
      </c>
      <c r="O30" s="7">
        <v>27</v>
      </c>
      <c r="P30" s="19">
        <f t="shared" ref="P30:P35" si="6">+O30*9/H30</f>
        <v>23.516129039843911</v>
      </c>
    </row>
    <row r="31" spans="1:18" ht="17.25" x14ac:dyDescent="0.3">
      <c r="A31" s="14" t="s">
        <v>15</v>
      </c>
      <c r="B31" s="7">
        <v>6</v>
      </c>
      <c r="C31" s="7">
        <v>0</v>
      </c>
      <c r="D31" s="7">
        <v>2</v>
      </c>
      <c r="E31" s="7">
        <v>0</v>
      </c>
      <c r="F31" s="7">
        <v>54</v>
      </c>
      <c r="G31" s="7">
        <f t="shared" si="5"/>
        <v>49</v>
      </c>
      <c r="H31" s="20">
        <v>9.3333333333299997</v>
      </c>
      <c r="I31" s="7">
        <v>13</v>
      </c>
      <c r="J31" s="7">
        <v>0</v>
      </c>
      <c r="K31" s="7">
        <v>5</v>
      </c>
      <c r="L31" s="7">
        <v>0</v>
      </c>
      <c r="M31" s="7">
        <v>17</v>
      </c>
      <c r="N31" s="7">
        <v>12</v>
      </c>
      <c r="O31" s="7">
        <v>4</v>
      </c>
      <c r="P31" s="19">
        <f t="shared" si="6"/>
        <v>3.8571428571442348</v>
      </c>
    </row>
    <row r="32" spans="1:18" ht="17.25" x14ac:dyDescent="0.3">
      <c r="A32" s="14" t="s">
        <v>50</v>
      </c>
      <c r="B32" s="7">
        <v>3</v>
      </c>
      <c r="C32" s="7">
        <v>0</v>
      </c>
      <c r="D32" s="7">
        <v>1</v>
      </c>
      <c r="E32" s="7">
        <v>0</v>
      </c>
      <c r="F32" s="7">
        <v>33</v>
      </c>
      <c r="G32" s="7">
        <f t="shared" si="5"/>
        <v>25</v>
      </c>
      <c r="H32" s="20">
        <v>4.6666666666000003</v>
      </c>
      <c r="I32" s="7">
        <v>7</v>
      </c>
      <c r="J32" s="7">
        <v>0</v>
      </c>
      <c r="K32" s="7">
        <v>8</v>
      </c>
      <c r="L32" s="7">
        <v>0</v>
      </c>
      <c r="M32" s="7">
        <v>2</v>
      </c>
      <c r="N32" s="7">
        <v>11</v>
      </c>
      <c r="O32" s="7">
        <v>5</v>
      </c>
      <c r="P32" s="19">
        <f t="shared" si="6"/>
        <v>9.642857142994897</v>
      </c>
    </row>
    <row r="33" spans="1:16" ht="17.25" x14ac:dyDescent="0.3">
      <c r="A33" s="14" t="s">
        <v>47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f t="shared" si="5"/>
        <v>0</v>
      </c>
      <c r="H33" s="20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19">
        <v>0</v>
      </c>
    </row>
    <row r="34" spans="1:16" ht="17.25" x14ac:dyDescent="0.3">
      <c r="A34" s="14" t="s">
        <v>22</v>
      </c>
      <c r="B34" s="7">
        <v>6</v>
      </c>
      <c r="C34" s="7">
        <v>2</v>
      </c>
      <c r="D34" s="7">
        <v>2</v>
      </c>
      <c r="E34" s="7">
        <v>0</v>
      </c>
      <c r="F34" s="7">
        <v>97</v>
      </c>
      <c r="G34" s="7">
        <f t="shared" si="5"/>
        <v>74</v>
      </c>
      <c r="H34" s="20">
        <v>14.33333333</v>
      </c>
      <c r="I34" s="7">
        <v>27</v>
      </c>
      <c r="J34" s="7">
        <v>0</v>
      </c>
      <c r="K34" s="7">
        <v>17</v>
      </c>
      <c r="L34" s="7">
        <v>6</v>
      </c>
      <c r="M34" s="7">
        <v>16</v>
      </c>
      <c r="N34" s="7">
        <v>32</v>
      </c>
      <c r="O34" s="7">
        <v>27</v>
      </c>
      <c r="P34" s="19">
        <f t="shared" si="6"/>
        <v>16.953488376035693</v>
      </c>
    </row>
    <row r="35" spans="1:16" ht="17.25" x14ac:dyDescent="0.3">
      <c r="A35" s="11" t="s">
        <v>10</v>
      </c>
      <c r="B35" s="11"/>
      <c r="C35" s="11">
        <f t="shared" ref="C35:O35" si="7">SUM(C29:C34)</f>
        <v>3</v>
      </c>
      <c r="D35" s="11">
        <f t="shared" si="7"/>
        <v>6</v>
      </c>
      <c r="E35" s="11">
        <f t="shared" si="7"/>
        <v>0</v>
      </c>
      <c r="F35" s="11">
        <f t="shared" si="7"/>
        <v>281</v>
      </c>
      <c r="G35" s="11">
        <f t="shared" si="7"/>
        <v>219</v>
      </c>
      <c r="H35" s="15">
        <f t="shared" si="7"/>
        <v>39.333333325929999</v>
      </c>
      <c r="I35" s="11">
        <f t="shared" si="7"/>
        <v>76</v>
      </c>
      <c r="J35" s="11">
        <f t="shared" si="7"/>
        <v>3</v>
      </c>
      <c r="K35" s="11">
        <f t="shared" si="7"/>
        <v>52</v>
      </c>
      <c r="L35" s="11">
        <f t="shared" si="7"/>
        <v>10</v>
      </c>
      <c r="M35" s="11">
        <f t="shared" si="7"/>
        <v>43</v>
      </c>
      <c r="N35" s="11">
        <f t="shared" si="7"/>
        <v>95</v>
      </c>
      <c r="O35" s="11">
        <f t="shared" si="7"/>
        <v>64</v>
      </c>
      <c r="P35" s="21">
        <f t="shared" si="6"/>
        <v>14.644067799366482</v>
      </c>
    </row>
  </sheetData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R36"/>
  <sheetViews>
    <sheetView zoomScale="85" zoomScaleNormal="85" zoomScaleSheetLayoutView="75" workbookViewId="0">
      <selection activeCell="C15" sqref="C15"/>
    </sheetView>
  </sheetViews>
  <sheetFormatPr defaultColWidth="9" defaultRowHeight="16.5" x14ac:dyDescent="0.3"/>
  <cols>
    <col min="1" max="20" width="8.125" customWidth="1"/>
  </cols>
  <sheetData>
    <row r="1" spans="1:18" ht="26.25" x14ac:dyDescent="0.3">
      <c r="A1" s="24" t="s">
        <v>64</v>
      </c>
    </row>
    <row r="2" spans="1:18" ht="17.25" x14ac:dyDescent="0.3">
      <c r="A2" s="4" t="s">
        <v>1</v>
      </c>
    </row>
    <row r="3" spans="1:18" ht="17.25" x14ac:dyDescent="0.3">
      <c r="A3" s="10" t="s">
        <v>32</v>
      </c>
      <c r="B3" s="10" t="s">
        <v>13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79</v>
      </c>
      <c r="H3" s="10" t="s">
        <v>72</v>
      </c>
      <c r="I3" s="10" t="s">
        <v>0</v>
      </c>
      <c r="J3" s="10" t="s">
        <v>82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43</v>
      </c>
      <c r="Q3" s="10" t="s">
        <v>37</v>
      </c>
      <c r="R3" s="43" t="s">
        <v>83</v>
      </c>
    </row>
    <row r="4" spans="1:18" ht="17.25" x14ac:dyDescent="0.3">
      <c r="A4" s="10" t="s">
        <v>59</v>
      </c>
      <c r="B4" s="1">
        <v>1</v>
      </c>
      <c r="C4" s="2">
        <v>0</v>
      </c>
      <c r="D4" s="1">
        <v>0</v>
      </c>
      <c r="E4" s="1">
        <v>0</v>
      </c>
      <c r="F4" s="1">
        <v>0</v>
      </c>
      <c r="G4" s="1">
        <f>+F4-(H4+I4+J4)</f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46">
        <v>0</v>
      </c>
      <c r="Q4" s="2">
        <v>0</v>
      </c>
      <c r="R4" s="58">
        <f>+Q4+P4</f>
        <v>0</v>
      </c>
    </row>
    <row r="5" spans="1:18" ht="17.25" x14ac:dyDescent="0.3">
      <c r="A5" s="10" t="s">
        <v>34</v>
      </c>
      <c r="B5" s="1">
        <v>4</v>
      </c>
      <c r="C5" s="2">
        <f t="shared" ref="C5:C9" si="0">+F5/E5</f>
        <v>0</v>
      </c>
      <c r="D5" s="1">
        <v>4</v>
      </c>
      <c r="E5" s="1">
        <v>3</v>
      </c>
      <c r="F5" s="1">
        <v>0</v>
      </c>
      <c r="G5" s="1">
        <f t="shared" ref="G5:G24" si="1">+F5-(H5+I5+J5)</f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</v>
      </c>
      <c r="P5" s="46">
        <f t="shared" ref="P5:P23" si="2">+(G5*1+H5*2+I5*3+J5*4)/E5</f>
        <v>0</v>
      </c>
      <c r="Q5" s="2">
        <v>0</v>
      </c>
      <c r="R5" s="58">
        <f t="shared" ref="R5:R24" si="3">+Q5+P5</f>
        <v>0</v>
      </c>
    </row>
    <row r="6" spans="1:18" ht="17.25" x14ac:dyDescent="0.3">
      <c r="A6" s="10" t="s">
        <v>44</v>
      </c>
      <c r="B6" s="1">
        <v>5</v>
      </c>
      <c r="C6" s="2">
        <f t="shared" si="0"/>
        <v>0.44444444444444442</v>
      </c>
      <c r="D6" s="1">
        <v>11</v>
      </c>
      <c r="E6" s="1">
        <v>9</v>
      </c>
      <c r="F6" s="1">
        <v>4</v>
      </c>
      <c r="G6" s="1">
        <f t="shared" si="1"/>
        <v>4</v>
      </c>
      <c r="H6" s="1">
        <v>0</v>
      </c>
      <c r="I6" s="1">
        <v>0</v>
      </c>
      <c r="J6" s="1">
        <v>0</v>
      </c>
      <c r="K6" s="1">
        <v>4</v>
      </c>
      <c r="L6" s="1">
        <v>3</v>
      </c>
      <c r="M6" s="1">
        <v>3</v>
      </c>
      <c r="N6" s="1">
        <v>0</v>
      </c>
      <c r="O6" s="1">
        <v>0</v>
      </c>
      <c r="P6" s="46">
        <f t="shared" si="2"/>
        <v>0.44444444444444442</v>
      </c>
      <c r="Q6" s="2">
        <v>0.5</v>
      </c>
      <c r="R6" s="58">
        <f t="shared" si="3"/>
        <v>0.94444444444444442</v>
      </c>
    </row>
    <row r="7" spans="1:18" ht="17.25" x14ac:dyDescent="0.3">
      <c r="A7" s="10" t="s">
        <v>9</v>
      </c>
      <c r="B7" s="1">
        <v>0</v>
      </c>
      <c r="C7" s="2">
        <v>0</v>
      </c>
      <c r="D7" s="1">
        <v>0</v>
      </c>
      <c r="E7" s="1">
        <v>0</v>
      </c>
      <c r="F7" s="1">
        <v>0</v>
      </c>
      <c r="G7" s="1">
        <f t="shared" si="1"/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46">
        <v>0</v>
      </c>
      <c r="Q7" s="2">
        <v>0</v>
      </c>
      <c r="R7" s="58">
        <f t="shared" si="3"/>
        <v>0</v>
      </c>
    </row>
    <row r="8" spans="1:18" ht="17.25" x14ac:dyDescent="0.3">
      <c r="A8" s="10" t="s">
        <v>4</v>
      </c>
      <c r="B8" s="1">
        <v>5</v>
      </c>
      <c r="C8" s="2">
        <f t="shared" si="0"/>
        <v>0.33333333333333331</v>
      </c>
      <c r="D8" s="1">
        <v>10</v>
      </c>
      <c r="E8" s="1">
        <v>9</v>
      </c>
      <c r="F8" s="1">
        <v>3</v>
      </c>
      <c r="G8" s="1">
        <f t="shared" si="1"/>
        <v>2</v>
      </c>
      <c r="H8" s="1">
        <v>1</v>
      </c>
      <c r="I8" s="1">
        <v>0</v>
      </c>
      <c r="J8" s="1">
        <v>0</v>
      </c>
      <c r="K8" s="1">
        <v>1</v>
      </c>
      <c r="L8" s="1">
        <v>4</v>
      </c>
      <c r="M8" s="1">
        <v>1</v>
      </c>
      <c r="N8" s="1">
        <v>0</v>
      </c>
      <c r="O8" s="1">
        <v>4</v>
      </c>
      <c r="P8" s="46">
        <f t="shared" si="2"/>
        <v>0.44444444444444442</v>
      </c>
      <c r="Q8" s="2">
        <v>0.36399999999999999</v>
      </c>
      <c r="R8" s="58">
        <f t="shared" si="3"/>
        <v>0.80844444444444441</v>
      </c>
    </row>
    <row r="9" spans="1:18" ht="17.25" x14ac:dyDescent="0.3">
      <c r="A9" s="10" t="s">
        <v>51</v>
      </c>
      <c r="B9" s="1">
        <v>2</v>
      </c>
      <c r="C9" s="2">
        <f t="shared" si="0"/>
        <v>0.33333333333333331</v>
      </c>
      <c r="D9" s="1">
        <v>3</v>
      </c>
      <c r="E9" s="1">
        <v>3</v>
      </c>
      <c r="F9" s="1">
        <v>1</v>
      </c>
      <c r="G9" s="1">
        <f t="shared" si="1"/>
        <v>1</v>
      </c>
      <c r="H9" s="1">
        <v>0</v>
      </c>
      <c r="I9" s="1">
        <v>0</v>
      </c>
      <c r="J9" s="1">
        <v>0</v>
      </c>
      <c r="K9" s="1">
        <v>1</v>
      </c>
      <c r="L9" s="1">
        <v>1</v>
      </c>
      <c r="M9" s="1">
        <v>0</v>
      </c>
      <c r="N9" s="1">
        <v>0</v>
      </c>
      <c r="O9" s="1">
        <v>1</v>
      </c>
      <c r="P9" s="46">
        <f t="shared" si="2"/>
        <v>0.33333333333333331</v>
      </c>
      <c r="Q9" s="2">
        <v>0.4</v>
      </c>
      <c r="R9" s="58">
        <f t="shared" si="3"/>
        <v>0.73333333333333339</v>
      </c>
    </row>
    <row r="10" spans="1:18" ht="17.25" x14ac:dyDescent="0.3">
      <c r="A10" s="10" t="s">
        <v>25</v>
      </c>
      <c r="B10" s="1">
        <v>5</v>
      </c>
      <c r="C10" s="2">
        <f>+F10/E10</f>
        <v>0.58333333333333337</v>
      </c>
      <c r="D10" s="1">
        <v>14</v>
      </c>
      <c r="E10" s="1">
        <v>12</v>
      </c>
      <c r="F10" s="1">
        <v>7</v>
      </c>
      <c r="G10" s="1">
        <f t="shared" si="1"/>
        <v>5</v>
      </c>
      <c r="H10" s="1">
        <v>1</v>
      </c>
      <c r="I10" s="1">
        <v>1</v>
      </c>
      <c r="J10" s="1">
        <v>0</v>
      </c>
      <c r="K10" s="1">
        <v>6</v>
      </c>
      <c r="L10" s="1">
        <v>3</v>
      </c>
      <c r="M10" s="1">
        <v>9</v>
      </c>
      <c r="N10" s="1">
        <v>0</v>
      </c>
      <c r="O10" s="1">
        <v>1</v>
      </c>
      <c r="P10" s="46">
        <f t="shared" si="2"/>
        <v>0.83333333333333337</v>
      </c>
      <c r="Q10" s="2">
        <v>0.56299999999999994</v>
      </c>
      <c r="R10" s="58">
        <f t="shared" si="3"/>
        <v>1.3963333333333332</v>
      </c>
    </row>
    <row r="11" spans="1:18" ht="17.25" x14ac:dyDescent="0.3">
      <c r="A11" s="10" t="s">
        <v>21</v>
      </c>
      <c r="B11" s="1">
        <v>1</v>
      </c>
      <c r="C11" s="2">
        <f t="shared" ref="C11:C24" si="4">+F11/E11</f>
        <v>0</v>
      </c>
      <c r="D11" s="1">
        <v>2</v>
      </c>
      <c r="E11" s="1">
        <v>2</v>
      </c>
      <c r="F11" s="1">
        <v>0</v>
      </c>
      <c r="G11" s="1">
        <f t="shared" si="1"/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46">
        <f t="shared" si="2"/>
        <v>0</v>
      </c>
      <c r="Q11" s="2">
        <v>0</v>
      </c>
      <c r="R11" s="58">
        <f t="shared" si="3"/>
        <v>0</v>
      </c>
    </row>
    <row r="12" spans="1:18" ht="17.25" x14ac:dyDescent="0.3">
      <c r="A12" s="10" t="s">
        <v>8</v>
      </c>
      <c r="B12" s="1">
        <v>3</v>
      </c>
      <c r="C12" s="2">
        <f t="shared" si="4"/>
        <v>0</v>
      </c>
      <c r="D12" s="1">
        <v>6</v>
      </c>
      <c r="E12" s="1">
        <v>3</v>
      </c>
      <c r="F12" s="1">
        <v>0</v>
      </c>
      <c r="G12" s="1">
        <f t="shared" si="1"/>
        <v>0</v>
      </c>
      <c r="H12" s="1">
        <v>0</v>
      </c>
      <c r="I12" s="1">
        <v>0</v>
      </c>
      <c r="J12" s="1">
        <v>0</v>
      </c>
      <c r="K12" s="1">
        <v>1</v>
      </c>
      <c r="L12" s="1">
        <v>1</v>
      </c>
      <c r="M12" s="1">
        <v>0</v>
      </c>
      <c r="N12" s="1">
        <v>0</v>
      </c>
      <c r="O12" s="1">
        <v>1</v>
      </c>
      <c r="P12" s="46">
        <f t="shared" si="2"/>
        <v>0</v>
      </c>
      <c r="Q12" s="2">
        <v>0.16700000000000001</v>
      </c>
      <c r="R12" s="58">
        <f t="shared" si="3"/>
        <v>0.16700000000000001</v>
      </c>
    </row>
    <row r="13" spans="1:18" ht="17.25" x14ac:dyDescent="0.3">
      <c r="A13" s="10" t="s">
        <v>15</v>
      </c>
      <c r="B13" s="1">
        <v>4</v>
      </c>
      <c r="C13" s="2">
        <f t="shared" si="4"/>
        <v>0.83333333333333337</v>
      </c>
      <c r="D13" s="1">
        <v>12</v>
      </c>
      <c r="E13" s="1">
        <v>12</v>
      </c>
      <c r="F13" s="1">
        <v>10</v>
      </c>
      <c r="G13" s="1">
        <f t="shared" si="1"/>
        <v>6</v>
      </c>
      <c r="H13" s="1">
        <v>4</v>
      </c>
      <c r="I13" s="1">
        <v>0</v>
      </c>
      <c r="J13" s="1">
        <v>0</v>
      </c>
      <c r="K13" s="1">
        <v>5</v>
      </c>
      <c r="L13" s="1">
        <v>1</v>
      </c>
      <c r="M13" s="1">
        <v>3</v>
      </c>
      <c r="N13" s="1">
        <v>0</v>
      </c>
      <c r="O13" s="1">
        <v>0</v>
      </c>
      <c r="P13" s="46">
        <f t="shared" si="2"/>
        <v>1.1666666666666667</v>
      </c>
      <c r="Q13" s="2">
        <v>0.84599999999999997</v>
      </c>
      <c r="R13" s="58">
        <f t="shared" si="3"/>
        <v>2.0126666666666666</v>
      </c>
    </row>
    <row r="14" spans="1:18" ht="17.25" x14ac:dyDescent="0.3">
      <c r="A14" s="10" t="s">
        <v>52</v>
      </c>
      <c r="B14" s="1">
        <v>0</v>
      </c>
      <c r="C14" s="2">
        <v>0</v>
      </c>
      <c r="D14" s="1">
        <v>0</v>
      </c>
      <c r="E14" s="1">
        <v>0</v>
      </c>
      <c r="F14" s="1">
        <v>0</v>
      </c>
      <c r="G14" s="1">
        <f t="shared" si="1"/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46">
        <v>0</v>
      </c>
      <c r="Q14" s="2">
        <v>0</v>
      </c>
      <c r="R14" s="58">
        <f t="shared" si="3"/>
        <v>0</v>
      </c>
    </row>
    <row r="15" spans="1:18" ht="17.25" x14ac:dyDescent="0.3">
      <c r="A15" s="10" t="s">
        <v>23</v>
      </c>
      <c r="B15" s="1">
        <v>1</v>
      </c>
      <c r="C15" s="2">
        <f t="shared" si="4"/>
        <v>0</v>
      </c>
      <c r="D15" s="1">
        <v>3</v>
      </c>
      <c r="E15" s="1">
        <v>1</v>
      </c>
      <c r="F15" s="1">
        <v>0</v>
      </c>
      <c r="G15" s="1">
        <f t="shared" si="1"/>
        <v>0</v>
      </c>
      <c r="H15" s="1">
        <v>0</v>
      </c>
      <c r="I15" s="1">
        <v>0</v>
      </c>
      <c r="J15" s="1">
        <v>0</v>
      </c>
      <c r="K15" s="1">
        <v>1</v>
      </c>
      <c r="L15" s="1">
        <v>1</v>
      </c>
      <c r="M15" s="1">
        <v>0</v>
      </c>
      <c r="N15" s="1">
        <v>0</v>
      </c>
      <c r="O15" s="1">
        <v>0</v>
      </c>
      <c r="P15" s="46">
        <f t="shared" si="2"/>
        <v>0</v>
      </c>
      <c r="Q15" s="2">
        <v>0</v>
      </c>
      <c r="R15" s="58">
        <f t="shared" si="3"/>
        <v>0</v>
      </c>
    </row>
    <row r="16" spans="1:18" ht="17.25" x14ac:dyDescent="0.3">
      <c r="A16" s="10" t="s">
        <v>50</v>
      </c>
      <c r="B16" s="1">
        <v>2</v>
      </c>
      <c r="C16" s="2">
        <f t="shared" si="4"/>
        <v>0.66666666666666663</v>
      </c>
      <c r="D16" s="1">
        <v>3</v>
      </c>
      <c r="E16" s="1">
        <v>3</v>
      </c>
      <c r="F16" s="1">
        <v>2</v>
      </c>
      <c r="G16" s="1">
        <f t="shared" si="1"/>
        <v>1</v>
      </c>
      <c r="H16" s="1">
        <v>1</v>
      </c>
      <c r="I16" s="1">
        <v>0</v>
      </c>
      <c r="J16" s="1">
        <v>0</v>
      </c>
      <c r="K16" s="1">
        <v>1</v>
      </c>
      <c r="L16" s="1">
        <v>2</v>
      </c>
      <c r="M16" s="1">
        <v>1</v>
      </c>
      <c r="N16" s="1">
        <v>0</v>
      </c>
      <c r="O16" s="1">
        <v>1</v>
      </c>
      <c r="P16" s="46">
        <f t="shared" si="2"/>
        <v>1</v>
      </c>
      <c r="Q16" s="2">
        <v>0.66700000000000004</v>
      </c>
      <c r="R16" s="58">
        <f t="shared" si="3"/>
        <v>1.667</v>
      </c>
    </row>
    <row r="17" spans="1:18" ht="17.25" x14ac:dyDescent="0.3">
      <c r="A17" s="10" t="s">
        <v>33</v>
      </c>
      <c r="B17" s="1">
        <v>2</v>
      </c>
      <c r="C17" s="2">
        <f t="shared" si="4"/>
        <v>0.42857142857142855</v>
      </c>
      <c r="D17" s="1">
        <v>7</v>
      </c>
      <c r="E17" s="1">
        <v>7</v>
      </c>
      <c r="F17" s="1">
        <v>3</v>
      </c>
      <c r="G17" s="1">
        <f t="shared" si="1"/>
        <v>2</v>
      </c>
      <c r="H17" s="1">
        <v>1</v>
      </c>
      <c r="I17" s="1">
        <v>0</v>
      </c>
      <c r="J17" s="1">
        <v>0</v>
      </c>
      <c r="K17" s="1">
        <v>1</v>
      </c>
      <c r="L17" s="1">
        <v>2</v>
      </c>
      <c r="M17" s="1">
        <v>0</v>
      </c>
      <c r="N17" s="1">
        <v>0</v>
      </c>
      <c r="O17" s="1">
        <v>3</v>
      </c>
      <c r="P17" s="46">
        <f t="shared" si="2"/>
        <v>0.5714285714285714</v>
      </c>
      <c r="Q17" s="2">
        <v>0</v>
      </c>
      <c r="R17" s="58">
        <f t="shared" si="3"/>
        <v>0.5714285714285714</v>
      </c>
    </row>
    <row r="18" spans="1:18" ht="17.25" x14ac:dyDescent="0.3">
      <c r="A18" s="10" t="s">
        <v>60</v>
      </c>
      <c r="B18" s="1">
        <v>3</v>
      </c>
      <c r="C18" s="2">
        <f t="shared" si="4"/>
        <v>0.4</v>
      </c>
      <c r="D18" s="1">
        <v>6</v>
      </c>
      <c r="E18" s="1">
        <v>5</v>
      </c>
      <c r="F18" s="1">
        <v>2</v>
      </c>
      <c r="G18" s="1">
        <f t="shared" si="1"/>
        <v>1</v>
      </c>
      <c r="H18" s="1">
        <v>0</v>
      </c>
      <c r="I18" s="1">
        <v>1</v>
      </c>
      <c r="J18" s="1">
        <v>0</v>
      </c>
      <c r="K18" s="1">
        <v>2</v>
      </c>
      <c r="L18" s="1">
        <v>1</v>
      </c>
      <c r="M18" s="1">
        <v>2</v>
      </c>
      <c r="N18" s="1">
        <v>0</v>
      </c>
      <c r="O18" s="1">
        <v>1</v>
      </c>
      <c r="P18" s="46">
        <f t="shared" si="2"/>
        <v>0.8</v>
      </c>
      <c r="Q18" s="2">
        <v>0.38500000000000001</v>
      </c>
      <c r="R18" s="58">
        <f t="shared" si="3"/>
        <v>1.1850000000000001</v>
      </c>
    </row>
    <row r="19" spans="1:18" ht="17.25" x14ac:dyDescent="0.3">
      <c r="A19" s="10" t="s">
        <v>12</v>
      </c>
      <c r="B19" s="1">
        <v>2</v>
      </c>
      <c r="C19" s="2">
        <f t="shared" si="4"/>
        <v>0.5</v>
      </c>
      <c r="D19" s="1">
        <v>4</v>
      </c>
      <c r="E19" s="1">
        <v>4</v>
      </c>
      <c r="F19" s="1">
        <v>2</v>
      </c>
      <c r="G19" s="1">
        <f t="shared" si="1"/>
        <v>2</v>
      </c>
      <c r="H19" s="1">
        <v>0</v>
      </c>
      <c r="I19" s="1">
        <v>0</v>
      </c>
      <c r="J19" s="1">
        <v>0</v>
      </c>
      <c r="K19" s="1">
        <v>2</v>
      </c>
      <c r="L19" s="1">
        <v>1</v>
      </c>
      <c r="M19" s="1">
        <v>1</v>
      </c>
      <c r="N19" s="1">
        <v>0</v>
      </c>
      <c r="O19" s="1">
        <v>0</v>
      </c>
      <c r="P19" s="46">
        <f t="shared" si="2"/>
        <v>0.5</v>
      </c>
      <c r="Q19" s="2">
        <v>0.5</v>
      </c>
      <c r="R19" s="58">
        <f t="shared" si="3"/>
        <v>1</v>
      </c>
    </row>
    <row r="20" spans="1:18" ht="17.25" x14ac:dyDescent="0.3">
      <c r="A20" s="10" t="s">
        <v>24</v>
      </c>
      <c r="B20" s="1">
        <v>4</v>
      </c>
      <c r="C20" s="2">
        <f t="shared" si="4"/>
        <v>0</v>
      </c>
      <c r="D20" s="1">
        <v>7</v>
      </c>
      <c r="E20" s="1">
        <v>7</v>
      </c>
      <c r="F20" s="1">
        <v>0</v>
      </c>
      <c r="G20" s="1">
        <f t="shared" si="1"/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7</v>
      </c>
      <c r="P20" s="46">
        <f t="shared" si="2"/>
        <v>0</v>
      </c>
      <c r="Q20" s="2">
        <v>0</v>
      </c>
      <c r="R20" s="58">
        <f t="shared" si="3"/>
        <v>0</v>
      </c>
    </row>
    <row r="21" spans="1:18" ht="17.25" x14ac:dyDescent="0.3">
      <c r="A21" s="10" t="s">
        <v>14</v>
      </c>
      <c r="B21" s="1">
        <v>3</v>
      </c>
      <c r="C21" s="2">
        <f t="shared" si="4"/>
        <v>0</v>
      </c>
      <c r="D21" s="1">
        <v>4</v>
      </c>
      <c r="E21" s="1">
        <v>4</v>
      </c>
      <c r="F21" s="1">
        <v>0</v>
      </c>
      <c r="G21" s="1">
        <f t="shared" si="1"/>
        <v>0</v>
      </c>
      <c r="H21" s="1">
        <v>0</v>
      </c>
      <c r="I21" s="1">
        <v>0</v>
      </c>
      <c r="J21" s="1">
        <v>0</v>
      </c>
      <c r="K21" s="1">
        <v>1</v>
      </c>
      <c r="L21" s="1">
        <v>0</v>
      </c>
      <c r="M21" s="1">
        <v>1</v>
      </c>
      <c r="N21" s="1">
        <v>0</v>
      </c>
      <c r="O21" s="1">
        <v>3</v>
      </c>
      <c r="P21" s="46">
        <f t="shared" si="2"/>
        <v>0</v>
      </c>
      <c r="Q21" s="2">
        <v>0.2</v>
      </c>
      <c r="R21" s="58">
        <f t="shared" si="3"/>
        <v>0.2</v>
      </c>
    </row>
    <row r="22" spans="1:18" ht="17.25" x14ac:dyDescent="0.3">
      <c r="A22" s="10" t="s">
        <v>47</v>
      </c>
      <c r="B22" s="1">
        <v>1</v>
      </c>
      <c r="C22" s="2">
        <f t="shared" si="4"/>
        <v>0</v>
      </c>
      <c r="D22" s="1">
        <v>3</v>
      </c>
      <c r="E22" s="1">
        <v>2</v>
      </c>
      <c r="F22" s="1">
        <v>0</v>
      </c>
      <c r="G22" s="1">
        <f t="shared" si="1"/>
        <v>0</v>
      </c>
      <c r="H22" s="1">
        <v>0</v>
      </c>
      <c r="I22" s="1">
        <v>0</v>
      </c>
      <c r="J22" s="1">
        <v>0</v>
      </c>
      <c r="K22" s="1">
        <v>1</v>
      </c>
      <c r="L22" s="1">
        <v>0</v>
      </c>
      <c r="M22" s="1">
        <v>2</v>
      </c>
      <c r="N22" s="1">
        <v>0</v>
      </c>
      <c r="O22" s="1">
        <v>1</v>
      </c>
      <c r="P22" s="46">
        <f t="shared" si="2"/>
        <v>0</v>
      </c>
      <c r="Q22" s="2">
        <v>0</v>
      </c>
      <c r="R22" s="58">
        <f t="shared" si="3"/>
        <v>0</v>
      </c>
    </row>
    <row r="23" spans="1:18" ht="17.25" x14ac:dyDescent="0.3">
      <c r="A23" s="10" t="s">
        <v>22</v>
      </c>
      <c r="B23" s="1">
        <v>4</v>
      </c>
      <c r="C23" s="2">
        <f t="shared" si="4"/>
        <v>0.2</v>
      </c>
      <c r="D23" s="1">
        <v>10</v>
      </c>
      <c r="E23" s="1">
        <v>10</v>
      </c>
      <c r="F23" s="1">
        <v>2</v>
      </c>
      <c r="G23" s="1">
        <f t="shared" si="1"/>
        <v>1</v>
      </c>
      <c r="H23" s="1">
        <v>1</v>
      </c>
      <c r="I23" s="1">
        <v>0</v>
      </c>
      <c r="J23" s="1">
        <v>0</v>
      </c>
      <c r="K23" s="1">
        <v>1</v>
      </c>
      <c r="L23" s="1">
        <v>2</v>
      </c>
      <c r="M23" s="1">
        <v>1</v>
      </c>
      <c r="N23" s="1">
        <v>0</v>
      </c>
      <c r="O23" s="1">
        <v>2</v>
      </c>
      <c r="P23" s="46">
        <f t="shared" si="2"/>
        <v>0.3</v>
      </c>
      <c r="Q23" s="2">
        <v>0.2</v>
      </c>
      <c r="R23" s="58">
        <f t="shared" si="3"/>
        <v>0.5</v>
      </c>
    </row>
    <row r="24" spans="1:18" ht="17.25" x14ac:dyDescent="0.3">
      <c r="A24" s="10" t="s">
        <v>54</v>
      </c>
      <c r="B24" s="1">
        <v>2</v>
      </c>
      <c r="C24" s="2">
        <f t="shared" si="4"/>
        <v>0.25</v>
      </c>
      <c r="D24" s="1">
        <v>7</v>
      </c>
      <c r="E24" s="1">
        <v>4</v>
      </c>
      <c r="F24" s="1">
        <v>1</v>
      </c>
      <c r="G24" s="1">
        <f t="shared" si="1"/>
        <v>1</v>
      </c>
      <c r="H24" s="1">
        <v>0</v>
      </c>
      <c r="I24" s="1">
        <v>0</v>
      </c>
      <c r="J24" s="1">
        <v>0</v>
      </c>
      <c r="K24" s="1">
        <v>2</v>
      </c>
      <c r="L24" s="1">
        <v>0</v>
      </c>
      <c r="M24" s="1">
        <v>2</v>
      </c>
      <c r="N24" s="1">
        <v>0</v>
      </c>
      <c r="O24" s="1">
        <v>2</v>
      </c>
      <c r="P24" s="2">
        <v>0.2</v>
      </c>
      <c r="Q24" s="2">
        <v>0.2</v>
      </c>
      <c r="R24" s="58">
        <f t="shared" si="3"/>
        <v>0.4</v>
      </c>
    </row>
    <row r="25" spans="1:18" ht="17.25" x14ac:dyDescent="0.3">
      <c r="A25" s="11" t="s">
        <v>10</v>
      </c>
      <c r="B25" s="11"/>
      <c r="C25" s="17">
        <f>+F25/E25</f>
        <v>0.37</v>
      </c>
      <c r="D25" s="11">
        <f t="shared" ref="D25:O25" si="5">SUM(D4:D24)</f>
        <v>116</v>
      </c>
      <c r="E25" s="11">
        <f t="shared" si="5"/>
        <v>100</v>
      </c>
      <c r="F25" s="11">
        <f t="shared" si="5"/>
        <v>37</v>
      </c>
      <c r="G25" s="11">
        <f t="shared" si="5"/>
        <v>26</v>
      </c>
      <c r="H25" s="11">
        <f t="shared" si="5"/>
        <v>9</v>
      </c>
      <c r="I25" s="11">
        <f t="shared" si="5"/>
        <v>2</v>
      </c>
      <c r="J25" s="11">
        <f t="shared" si="5"/>
        <v>0</v>
      </c>
      <c r="K25" s="11">
        <f t="shared" si="5"/>
        <v>30</v>
      </c>
      <c r="L25" s="11">
        <f t="shared" si="5"/>
        <v>22</v>
      </c>
      <c r="M25" s="11">
        <f t="shared" si="5"/>
        <v>26</v>
      </c>
      <c r="N25" s="11">
        <f t="shared" si="5"/>
        <v>0</v>
      </c>
      <c r="O25" s="11">
        <f t="shared" si="5"/>
        <v>28</v>
      </c>
      <c r="P25" s="17"/>
      <c r="Q25" s="17"/>
      <c r="R25" s="57"/>
    </row>
    <row r="26" spans="1:18" ht="17.25" x14ac:dyDescent="0.3">
      <c r="A26" s="22"/>
      <c r="B26" s="22"/>
      <c r="C26" s="23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3"/>
      <c r="Q26" s="23"/>
    </row>
    <row r="27" spans="1:18" ht="17.25" x14ac:dyDescent="0.3">
      <c r="A27" s="4" t="s">
        <v>3</v>
      </c>
    </row>
    <row r="28" spans="1:18" ht="17.25" x14ac:dyDescent="0.3">
      <c r="A28" s="10" t="s">
        <v>32</v>
      </c>
      <c r="B28" s="10" t="s">
        <v>13</v>
      </c>
      <c r="C28" s="10" t="s">
        <v>55</v>
      </c>
      <c r="D28" s="10" t="s">
        <v>41</v>
      </c>
      <c r="E28" s="10" t="s">
        <v>20</v>
      </c>
      <c r="F28" s="10" t="s">
        <v>45</v>
      </c>
      <c r="G28" s="10" t="s">
        <v>38</v>
      </c>
      <c r="H28" s="10" t="s">
        <v>5</v>
      </c>
      <c r="I28" s="10" t="s">
        <v>17</v>
      </c>
      <c r="J28" s="10" t="s">
        <v>26</v>
      </c>
      <c r="K28" s="10" t="s">
        <v>30</v>
      </c>
      <c r="L28" s="10" t="s">
        <v>11</v>
      </c>
      <c r="M28" s="10" t="s">
        <v>58</v>
      </c>
      <c r="N28" s="10" t="s">
        <v>42</v>
      </c>
      <c r="O28" s="10" t="s">
        <v>16</v>
      </c>
      <c r="P28" s="10" t="s">
        <v>49</v>
      </c>
    </row>
    <row r="29" spans="1:18" ht="17.25" x14ac:dyDescent="0.3">
      <c r="A29" s="10" t="s">
        <v>59</v>
      </c>
      <c r="B29" s="1">
        <v>3</v>
      </c>
      <c r="C29" s="1">
        <v>0</v>
      </c>
      <c r="D29" s="1">
        <v>1</v>
      </c>
      <c r="E29" s="1">
        <v>0</v>
      </c>
      <c r="F29" s="1">
        <v>21</v>
      </c>
      <c r="G29" s="1">
        <f>+F29-K29-L29</f>
        <v>8</v>
      </c>
      <c r="H29" s="6">
        <v>1</v>
      </c>
      <c r="I29" s="1">
        <v>5</v>
      </c>
      <c r="J29" s="1">
        <v>0</v>
      </c>
      <c r="K29" s="1">
        <v>11</v>
      </c>
      <c r="L29" s="1">
        <v>2</v>
      </c>
      <c r="M29" s="1">
        <v>0</v>
      </c>
      <c r="N29" s="1">
        <v>15</v>
      </c>
      <c r="O29" s="1">
        <v>8</v>
      </c>
      <c r="P29" s="3">
        <f>+O29*9/H29</f>
        <v>72</v>
      </c>
    </row>
    <row r="30" spans="1:18" ht="17.25" x14ac:dyDescent="0.3">
      <c r="A30" s="10" t="s">
        <v>51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f t="shared" ref="G30:G35" si="6">+F30-K30-L30</f>
        <v>0</v>
      </c>
      <c r="H30" s="6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3">
        <v>0</v>
      </c>
    </row>
    <row r="31" spans="1:18" ht="17.25" x14ac:dyDescent="0.3">
      <c r="A31" s="10" t="s">
        <v>15</v>
      </c>
      <c r="B31" s="1">
        <v>4</v>
      </c>
      <c r="C31" s="1">
        <v>0</v>
      </c>
      <c r="D31" s="1">
        <v>1</v>
      </c>
      <c r="E31" s="1">
        <v>0</v>
      </c>
      <c r="F31" s="1">
        <v>20</v>
      </c>
      <c r="G31" s="1">
        <f t="shared" si="6"/>
        <v>15</v>
      </c>
      <c r="H31" s="6">
        <v>3</v>
      </c>
      <c r="I31" s="1">
        <v>5</v>
      </c>
      <c r="J31" s="1">
        <v>0</v>
      </c>
      <c r="K31" s="1">
        <v>4</v>
      </c>
      <c r="L31" s="1">
        <v>1</v>
      </c>
      <c r="M31" s="1">
        <v>3</v>
      </c>
      <c r="N31" s="1">
        <v>4</v>
      </c>
      <c r="O31" s="1">
        <v>3</v>
      </c>
      <c r="P31" s="3">
        <f>+O31*9/H31</f>
        <v>9</v>
      </c>
    </row>
    <row r="32" spans="1:18" ht="17.25" x14ac:dyDescent="0.3">
      <c r="A32" s="10" t="s">
        <v>50</v>
      </c>
      <c r="B32" s="1">
        <v>2</v>
      </c>
      <c r="C32" s="1">
        <v>0</v>
      </c>
      <c r="D32" s="1">
        <v>1</v>
      </c>
      <c r="E32" s="1">
        <v>0</v>
      </c>
      <c r="F32" s="1">
        <v>32</v>
      </c>
      <c r="G32" s="1">
        <f t="shared" si="6"/>
        <v>26</v>
      </c>
      <c r="H32" s="6">
        <v>4</v>
      </c>
      <c r="I32" s="1">
        <v>12</v>
      </c>
      <c r="J32" s="1">
        <v>0</v>
      </c>
      <c r="K32" s="1">
        <v>6</v>
      </c>
      <c r="L32" s="1">
        <v>0</v>
      </c>
      <c r="M32" s="1">
        <v>5</v>
      </c>
      <c r="N32" s="1">
        <v>15</v>
      </c>
      <c r="O32" s="1">
        <v>13</v>
      </c>
      <c r="P32" s="3">
        <f t="shared" ref="P32:P36" si="7">+O32*9/H32</f>
        <v>29.25</v>
      </c>
    </row>
    <row r="33" spans="1:16" ht="17.25" x14ac:dyDescent="0.3">
      <c r="A33" s="10" t="s">
        <v>33</v>
      </c>
      <c r="B33" s="1">
        <v>1</v>
      </c>
      <c r="C33" s="1">
        <v>0</v>
      </c>
      <c r="D33" s="1">
        <v>0</v>
      </c>
      <c r="E33" s="1">
        <v>0</v>
      </c>
      <c r="F33" s="1">
        <v>3</v>
      </c>
      <c r="G33" s="1">
        <f t="shared" si="6"/>
        <v>2</v>
      </c>
      <c r="H33" s="6">
        <v>0.3333333</v>
      </c>
      <c r="I33" s="1">
        <v>1</v>
      </c>
      <c r="J33" s="1">
        <v>0</v>
      </c>
      <c r="K33" s="1">
        <v>1</v>
      </c>
      <c r="L33" s="1">
        <v>0</v>
      </c>
      <c r="M33" s="1">
        <v>1</v>
      </c>
      <c r="N33" s="1">
        <v>0</v>
      </c>
      <c r="O33" s="1">
        <v>0</v>
      </c>
      <c r="P33" s="3">
        <f t="shared" si="7"/>
        <v>0</v>
      </c>
    </row>
    <row r="34" spans="1:16" ht="17.25" x14ac:dyDescent="0.3">
      <c r="A34" s="10" t="s">
        <v>47</v>
      </c>
      <c r="B34" s="1">
        <v>1</v>
      </c>
      <c r="C34" s="1">
        <v>0</v>
      </c>
      <c r="D34" s="1">
        <v>0</v>
      </c>
      <c r="E34" s="1">
        <v>0</v>
      </c>
      <c r="F34" s="1">
        <v>14</v>
      </c>
      <c r="G34" s="1">
        <f t="shared" si="6"/>
        <v>6</v>
      </c>
      <c r="H34" s="6">
        <v>1.6666666666000001</v>
      </c>
      <c r="I34" s="1">
        <v>2</v>
      </c>
      <c r="J34" s="1">
        <v>0</v>
      </c>
      <c r="K34" s="1">
        <v>8</v>
      </c>
      <c r="L34" s="1">
        <v>0</v>
      </c>
      <c r="M34" s="1">
        <v>0</v>
      </c>
      <c r="N34" s="1">
        <v>6</v>
      </c>
      <c r="O34" s="1">
        <v>1</v>
      </c>
      <c r="P34" s="3">
        <f t="shared" si="7"/>
        <v>5.400000000216</v>
      </c>
    </row>
    <row r="35" spans="1:16" ht="17.25" x14ac:dyDescent="0.3">
      <c r="A35" s="10" t="s">
        <v>22</v>
      </c>
      <c r="B35" s="1">
        <v>5</v>
      </c>
      <c r="C35" s="1">
        <v>0</v>
      </c>
      <c r="D35" s="1">
        <v>2</v>
      </c>
      <c r="E35" s="1">
        <v>0</v>
      </c>
      <c r="F35" s="1">
        <v>77</v>
      </c>
      <c r="G35" s="1">
        <f t="shared" si="6"/>
        <v>55</v>
      </c>
      <c r="H35" s="6">
        <v>7.3333333329999997</v>
      </c>
      <c r="I35" s="1">
        <v>27</v>
      </c>
      <c r="J35" s="1">
        <v>0</v>
      </c>
      <c r="K35" s="1">
        <v>20</v>
      </c>
      <c r="L35" s="1">
        <v>2</v>
      </c>
      <c r="M35" s="1">
        <v>7</v>
      </c>
      <c r="N35" s="1">
        <v>40</v>
      </c>
      <c r="O35" s="1">
        <v>33</v>
      </c>
      <c r="P35" s="3">
        <f t="shared" si="7"/>
        <v>40.50000000184091</v>
      </c>
    </row>
    <row r="36" spans="1:16" ht="17.25" x14ac:dyDescent="0.3">
      <c r="A36" s="11" t="s">
        <v>10</v>
      </c>
      <c r="B36" s="11"/>
      <c r="C36" s="11">
        <f t="shared" ref="C36:O36" si="8">SUM(C29:C35)</f>
        <v>0</v>
      </c>
      <c r="D36" s="11">
        <f t="shared" si="8"/>
        <v>5</v>
      </c>
      <c r="E36" s="11">
        <f t="shared" si="8"/>
        <v>0</v>
      </c>
      <c r="F36" s="11">
        <f t="shared" si="8"/>
        <v>167</v>
      </c>
      <c r="G36" s="11">
        <f t="shared" si="8"/>
        <v>112</v>
      </c>
      <c r="H36" s="15">
        <f t="shared" si="8"/>
        <v>17.3333332996</v>
      </c>
      <c r="I36" s="11">
        <f t="shared" si="8"/>
        <v>52</v>
      </c>
      <c r="J36" s="11">
        <f t="shared" si="8"/>
        <v>0</v>
      </c>
      <c r="K36" s="11">
        <f t="shared" si="8"/>
        <v>50</v>
      </c>
      <c r="L36" s="11">
        <f t="shared" si="8"/>
        <v>5</v>
      </c>
      <c r="M36" s="11">
        <f t="shared" si="8"/>
        <v>16</v>
      </c>
      <c r="N36" s="11">
        <f t="shared" si="8"/>
        <v>80</v>
      </c>
      <c r="O36" s="11">
        <f t="shared" si="8"/>
        <v>58</v>
      </c>
      <c r="P36" s="16">
        <f t="shared" si="7"/>
        <v>30.115384673993788</v>
      </c>
    </row>
  </sheetData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36623-3EC7-4CC4-B40F-A467D4671D82}">
  <sheetPr>
    <tabColor rgb="FF7030A0"/>
  </sheetPr>
  <dimension ref="A1:AC45"/>
  <sheetViews>
    <sheetView showGridLines="0" tabSelected="1" zoomScale="70" zoomScaleNormal="70" zoomScaleSheetLayoutView="75" workbookViewId="0"/>
  </sheetViews>
  <sheetFormatPr defaultColWidth="9" defaultRowHeight="16.5" x14ac:dyDescent="0.3"/>
  <cols>
    <col min="1" max="14" width="8.75" customWidth="1"/>
    <col min="15" max="18" width="8.875" customWidth="1"/>
    <col min="19" max="19" width="10.875" customWidth="1"/>
    <col min="20" max="21" width="9" customWidth="1"/>
    <col min="23" max="23" width="11.375" customWidth="1"/>
    <col min="24" max="24" width="2.625" customWidth="1"/>
    <col min="30" max="30" width="9" customWidth="1"/>
  </cols>
  <sheetData>
    <row r="1" spans="1:29" ht="26.25" x14ac:dyDescent="0.3">
      <c r="A1" s="24" t="s">
        <v>145</v>
      </c>
    </row>
    <row r="2" spans="1:29" ht="17.25" x14ac:dyDescent="0.3">
      <c r="A2" s="4" t="s">
        <v>137</v>
      </c>
    </row>
    <row r="3" spans="1:29" ht="34.5" x14ac:dyDescent="0.3">
      <c r="A3" s="10" t="s">
        <v>32</v>
      </c>
      <c r="B3" s="43" t="s">
        <v>46</v>
      </c>
      <c r="C3" s="43" t="s">
        <v>57</v>
      </c>
      <c r="D3" s="43" t="s">
        <v>19</v>
      </c>
      <c r="E3" s="43" t="s">
        <v>38</v>
      </c>
      <c r="F3" s="43" t="s">
        <v>53</v>
      </c>
      <c r="G3" s="43" t="s">
        <v>79</v>
      </c>
      <c r="H3" s="43" t="s">
        <v>72</v>
      </c>
      <c r="I3" s="43" t="s">
        <v>0</v>
      </c>
      <c r="J3" s="43" t="s">
        <v>82</v>
      </c>
      <c r="K3" s="43" t="s">
        <v>31</v>
      </c>
      <c r="L3" s="43" t="s">
        <v>36</v>
      </c>
      <c r="M3" s="43" t="s">
        <v>40</v>
      </c>
      <c r="N3" s="43" t="s">
        <v>29</v>
      </c>
      <c r="O3" s="43" t="s">
        <v>58</v>
      </c>
      <c r="P3" s="10" t="s">
        <v>96</v>
      </c>
      <c r="Q3" s="43" t="s">
        <v>43</v>
      </c>
      <c r="R3" s="43" t="s">
        <v>37</v>
      </c>
      <c r="S3" s="43" t="s">
        <v>83</v>
      </c>
      <c r="T3" s="10" t="s">
        <v>95</v>
      </c>
      <c r="U3" s="10" t="s">
        <v>115</v>
      </c>
      <c r="V3" s="10" t="s">
        <v>86</v>
      </c>
      <c r="W3" s="10" t="s">
        <v>116</v>
      </c>
      <c r="Y3" s="10" t="s">
        <v>146</v>
      </c>
      <c r="Z3" s="10" t="s">
        <v>89</v>
      </c>
      <c r="AA3" s="10" t="s">
        <v>151</v>
      </c>
      <c r="AB3" s="10" t="s">
        <v>88</v>
      </c>
      <c r="AC3" s="10" t="s">
        <v>147</v>
      </c>
    </row>
    <row r="4" spans="1:29" ht="19.5" customHeight="1" x14ac:dyDescent="0.3">
      <c r="A4" s="43" t="s">
        <v>25</v>
      </c>
      <c r="B4" s="52">
        <f>+'25 上코모도(6-BB)(''25)'!B11+'24 下코모도(6-A)(''25)'!B11+'24 下코모도(6-C)(''25)'!B11</f>
        <v>16</v>
      </c>
      <c r="C4" s="111">
        <f>+F4/E4</f>
        <v>0.60869565217391308</v>
      </c>
      <c r="D4" s="52">
        <f>+'25 上코모도(6-BB)(''25)'!D11+'24 下코모도(6-A)(''25)'!D11+'24 下코모도(6-C)(''25)'!D11</f>
        <v>56</v>
      </c>
      <c r="E4" s="52">
        <f>+'25 上코모도(6-BB)(''25)'!E11+'24 下코모도(6-A)(''25)'!E11+'24 下코모도(6-C)(''25)'!E11</f>
        <v>46</v>
      </c>
      <c r="F4" s="52">
        <f>+'25 上코모도(6-BB)(''25)'!F11+'24 下코모도(6-A)(''25)'!F11+'24 下코모도(6-C)(''25)'!F11</f>
        <v>28</v>
      </c>
      <c r="G4" s="52">
        <f>+'25 上코모도(6-BB)(''25)'!G11+'24 下코모도(6-A)(''25)'!G11+'24 下코모도(6-C)(''25)'!G11</f>
        <v>20</v>
      </c>
      <c r="H4" s="52">
        <f>+'25 上코모도(6-BB)(''25)'!H11+'24 下코모도(6-A)(''25)'!H11+'24 下코모도(6-C)(''25)'!H11</f>
        <v>4</v>
      </c>
      <c r="I4" s="52">
        <f>+'25 上코모도(6-BB)(''25)'!I11+'24 下코모도(6-A)(''25)'!I11+'24 下코모도(6-C)(''25)'!I11</f>
        <v>2</v>
      </c>
      <c r="J4" s="52">
        <f>+'25 上코모도(6-BB)(''25)'!J11+'24 下코모도(6-A)(''25)'!J11+'24 下코모도(6-C)(''25)'!J11</f>
        <v>2</v>
      </c>
      <c r="K4" s="52">
        <f>+'25 上코모도(6-BB)(''25)'!K11+'24 下코모도(6-A)(''25)'!K11+'24 下코모도(6-C)(''25)'!K11</f>
        <v>35</v>
      </c>
      <c r="L4" s="52">
        <f>+'25 上코모도(6-BB)(''25)'!L11+'24 下코모도(6-A)(''25)'!L11+'24 下코모도(6-C)(''25)'!L11</f>
        <v>22</v>
      </c>
      <c r="M4" s="52">
        <f>+'25 上코모도(6-BB)(''25)'!M11+'24 下코모도(6-A)(''25)'!M11+'24 下코모도(6-C)(''25)'!M11</f>
        <v>29</v>
      </c>
      <c r="N4" s="52">
        <f>+'25 上코모도(6-BB)(''25)'!N11+'24 下코모도(6-A)(''25)'!N11+'24 下코모도(6-C)(''25)'!N11</f>
        <v>7</v>
      </c>
      <c r="O4" s="52">
        <f>+'25 上코모도(6-BB)(''25)'!O11+'24 下코모도(6-A)(''25)'!O11+'24 下코모도(6-C)(''25)'!O11</f>
        <v>4</v>
      </c>
      <c r="P4" s="97">
        <f>+O4/D4</f>
        <v>7.1428571428571425E-2</v>
      </c>
      <c r="Q4" s="46">
        <f>+(G4*1+H4*2+I4*3+J4*4)/E4</f>
        <v>0.91304347826086951</v>
      </c>
      <c r="R4" s="46">
        <f>+(F4+N4)/D4</f>
        <v>0.625</v>
      </c>
      <c r="S4" s="58">
        <f>+R4+Q4</f>
        <v>1.5380434782608696</v>
      </c>
      <c r="T4" s="78">
        <f>O4/(D4-(F4+N4))</f>
        <v>0.19047619047619047</v>
      </c>
      <c r="U4" s="98">
        <f>RANK(R4,$R$4:$R$26)</f>
        <v>2</v>
      </c>
      <c r="V4" s="99">
        <f>RANK(S4,$S$4:$S$26)</f>
        <v>1</v>
      </c>
      <c r="W4" s="112">
        <f>RANK(C4,$C$4:$C$26)</f>
        <v>1</v>
      </c>
      <c r="X4" s="96"/>
      <c r="Y4" s="25">
        <f>+'24 下코모도(6-A)(''25)'!Y11+'24 下코모도(6-C)(''25)'!Y11</f>
        <v>0</v>
      </c>
      <c r="Z4" s="25">
        <f>+'24 下코모도(6-A)(''25)'!Z11+'24 下코모도(6-C)(''25)'!Z11</f>
        <v>2</v>
      </c>
      <c r="AA4" s="25">
        <f>+'24 下코모도(6-A)(''25)'!AA11+'24 下코모도(6-C)(''25)'!AA11</f>
        <v>0</v>
      </c>
      <c r="AB4" s="25">
        <f>+'24 下코모도(6-A)(''25)'!AB11+'24 下코모도(6-C)(''25)'!AB11</f>
        <v>0</v>
      </c>
      <c r="AC4" s="25">
        <f>+'24 下코모도(6-A)(''25)'!AC11+'24 下코모도(6-C)(''25)'!AC11</f>
        <v>0</v>
      </c>
    </row>
    <row r="5" spans="1:29" ht="19.5" customHeight="1" x14ac:dyDescent="0.3">
      <c r="A5" s="43" t="s">
        <v>44</v>
      </c>
      <c r="B5" s="52">
        <f>+'25 上코모도(6-BB)(''25)'!B6+'24 下코모도(6-A)(''25)'!B6+'24 下코모도(6-C)(''25)'!B6</f>
        <v>17</v>
      </c>
      <c r="C5" s="111">
        <f>+F5/E5</f>
        <v>0.52083333333333337</v>
      </c>
      <c r="D5" s="52">
        <f>+'25 上코모도(6-BB)(''25)'!D6+'24 下코모도(6-A)(''25)'!D6+'24 下코모도(6-C)(''25)'!D6</f>
        <v>58</v>
      </c>
      <c r="E5" s="52">
        <f>+'25 上코모도(6-BB)(''25)'!E6+'24 下코모도(6-A)(''25)'!E6+'24 下코모도(6-C)(''25)'!E6</f>
        <v>48</v>
      </c>
      <c r="F5" s="52">
        <f>+'25 上코모도(6-BB)(''25)'!F6+'24 下코모도(6-A)(''25)'!F6+'24 下코모도(6-C)(''25)'!F6</f>
        <v>25</v>
      </c>
      <c r="G5" s="52">
        <f>+'25 上코모도(6-BB)(''25)'!G6+'24 下코모도(6-A)(''25)'!G6+'24 下코모도(6-C)(''25)'!G6</f>
        <v>11</v>
      </c>
      <c r="H5" s="52">
        <f>+'25 上코모도(6-BB)(''25)'!H6+'24 下코모도(6-A)(''25)'!H6+'24 下코모도(6-C)(''25)'!H6</f>
        <v>11</v>
      </c>
      <c r="I5" s="52">
        <f>+'25 上코모도(6-BB)(''25)'!I6+'24 下코모도(6-A)(''25)'!I6+'24 下코모도(6-C)(''25)'!I6</f>
        <v>2</v>
      </c>
      <c r="J5" s="52">
        <f>+'25 上코모도(6-BB)(''25)'!J6+'24 下코모도(6-A)(''25)'!J6+'24 下코모도(6-C)(''25)'!J6</f>
        <v>1</v>
      </c>
      <c r="K5" s="52">
        <f>+'25 上코모도(6-BB)(''25)'!K6+'24 下코모도(6-A)(''25)'!K6+'24 下코모도(6-C)(''25)'!K6</f>
        <v>26</v>
      </c>
      <c r="L5" s="52">
        <f>+'25 上코모도(6-BB)(''25)'!L6+'24 下코모도(6-A)(''25)'!L6+'24 下코모도(6-C)(''25)'!L6</f>
        <v>24</v>
      </c>
      <c r="M5" s="52">
        <f>+'25 上코모도(6-BB)(''25)'!M6+'24 下코모도(6-A)(''25)'!M6+'24 下코모도(6-C)(''25)'!M6</f>
        <v>17</v>
      </c>
      <c r="N5" s="52">
        <f>+'25 上코모도(6-BB)(''25)'!N6+'24 下코모도(6-A)(''25)'!N6+'24 下코모도(6-C)(''25)'!N6</f>
        <v>7</v>
      </c>
      <c r="O5" s="52">
        <f>+'25 上코모도(6-BB)(''25)'!O6+'24 下코모도(6-A)(''25)'!O6+'24 下코모도(6-C)(''25)'!O6</f>
        <v>3</v>
      </c>
      <c r="P5" s="97">
        <f>+O5/D5</f>
        <v>5.1724137931034482E-2</v>
      </c>
      <c r="Q5" s="46">
        <f>+(G5*1+H5*2+I5*3+J5*4)/E5</f>
        <v>0.89583333333333337</v>
      </c>
      <c r="R5" s="46">
        <f>+(F5+N5)/D5</f>
        <v>0.55172413793103448</v>
      </c>
      <c r="S5" s="58">
        <f>+R5+Q5</f>
        <v>1.4475574712643677</v>
      </c>
      <c r="T5" s="78">
        <f>O5/(D5-(F5+N5))</f>
        <v>0.11538461538461539</v>
      </c>
      <c r="U5" s="98">
        <f>RANK(R5,$R$4:$R$26)</f>
        <v>5</v>
      </c>
      <c r="V5" s="99">
        <f>RANK(S5,$S$4:$S$26)</f>
        <v>2</v>
      </c>
      <c r="W5" s="112">
        <f>RANK(C5,$C$4:$C$26)</f>
        <v>2</v>
      </c>
      <c r="X5" s="96"/>
      <c r="Y5" s="25">
        <f>+'24 下코모도(6-A)(''25)'!Y6+'24 下코모도(6-C)(''25)'!Y6</f>
        <v>0</v>
      </c>
      <c r="Z5" s="25">
        <f>+'24 下코모도(6-A)(''25)'!Z6+'24 下코모도(6-C)(''25)'!Z6</f>
        <v>2</v>
      </c>
      <c r="AA5" s="25">
        <f>+'24 下코모도(6-A)(''25)'!AA6+'24 下코모도(6-C)(''25)'!AA6</f>
        <v>0</v>
      </c>
      <c r="AB5" s="25">
        <f>+'24 下코모도(6-A)(''25)'!AB6+'24 下코모도(6-C)(''25)'!AB6</f>
        <v>0</v>
      </c>
      <c r="AC5" s="25">
        <f>+'24 下코모도(6-A)(''25)'!AC6+'24 下코모도(6-C)(''25)'!AC6</f>
        <v>0</v>
      </c>
    </row>
    <row r="6" spans="1:29" ht="19.5" customHeight="1" x14ac:dyDescent="0.3">
      <c r="A6" s="43" t="s">
        <v>134</v>
      </c>
      <c r="B6" s="52">
        <f>+'25 上코모도(6-BB)(''25)'!B14+'24 下코모도(6-A)(''25)'!B14+'24 下코모도(6-C)(''25)'!B14</f>
        <v>14</v>
      </c>
      <c r="C6" s="111">
        <f>+F6/E6</f>
        <v>0.47368421052631576</v>
      </c>
      <c r="D6" s="52">
        <f>+'25 上코모도(6-BB)(''25)'!D14+'24 下코모도(6-A)(''25)'!D14+'24 下코모도(6-C)(''25)'!D14</f>
        <v>42</v>
      </c>
      <c r="E6" s="52">
        <f>+'25 上코모도(6-BB)(''25)'!E14+'24 下코모도(6-A)(''25)'!E14+'24 下코모도(6-C)(''25)'!E14</f>
        <v>38</v>
      </c>
      <c r="F6" s="52">
        <f>+'25 上코모도(6-BB)(''25)'!F14+'24 下코모도(6-A)(''25)'!F14+'24 下코모도(6-C)(''25)'!F14</f>
        <v>18</v>
      </c>
      <c r="G6" s="52">
        <f>+'25 上코모도(6-BB)(''25)'!G14+'24 下코모도(6-A)(''25)'!G14+'24 下코모도(6-C)(''25)'!G14</f>
        <v>9</v>
      </c>
      <c r="H6" s="52">
        <f>+'25 上코모도(6-BB)(''25)'!H14+'24 下코모도(6-A)(''25)'!H14+'24 下코모도(6-C)(''25)'!H14</f>
        <v>8</v>
      </c>
      <c r="I6" s="52">
        <f>+'25 上코모도(6-BB)(''25)'!I14+'24 下코모도(6-A)(''25)'!I14+'24 下코모도(6-C)(''25)'!I14</f>
        <v>1</v>
      </c>
      <c r="J6" s="52">
        <f>+'25 上코모도(6-BB)(''25)'!J14+'24 下코모도(6-A)(''25)'!J14+'24 下코모도(6-C)(''25)'!J14</f>
        <v>0</v>
      </c>
      <c r="K6" s="52">
        <f>+'25 上코모도(6-BB)(''25)'!K14+'24 下코모도(6-A)(''25)'!K14+'24 下코모도(6-C)(''25)'!K14</f>
        <v>18</v>
      </c>
      <c r="L6" s="52">
        <f>+'25 上코모도(6-BB)(''25)'!L14+'24 下코모도(6-A)(''25)'!L14+'24 下코모도(6-C)(''25)'!L14</f>
        <v>18</v>
      </c>
      <c r="M6" s="52">
        <f>+'25 上코모도(6-BB)(''25)'!M14+'24 下코모도(6-A)(''25)'!M14+'24 下코모도(6-C)(''25)'!M14</f>
        <v>11</v>
      </c>
      <c r="N6" s="52">
        <f>+'25 上코모도(6-BB)(''25)'!N14+'24 下코모도(6-A)(''25)'!N14+'24 下코모도(6-C)(''25)'!N14</f>
        <v>4</v>
      </c>
      <c r="O6" s="52">
        <f>+'25 上코모도(6-BB)(''25)'!O14+'24 下코모도(6-A)(''25)'!O14+'24 下코모도(6-C)(''25)'!O14</f>
        <v>3</v>
      </c>
      <c r="P6" s="97">
        <f>+O6/D6</f>
        <v>7.1428571428571425E-2</v>
      </c>
      <c r="Q6" s="46">
        <f>+(G6*1+H6*2+I6*3+J6*4)/E6</f>
        <v>0.73684210526315785</v>
      </c>
      <c r="R6" s="46">
        <f>+(F6+N6)/D6</f>
        <v>0.52380952380952384</v>
      </c>
      <c r="S6" s="58">
        <f>+R6+Q6</f>
        <v>1.2606516290726817</v>
      </c>
      <c r="T6" s="78">
        <f>O6/(D6-(F6+N6))</f>
        <v>0.15</v>
      </c>
      <c r="U6" s="98">
        <f>RANK(R6,$R$4:$R$26)</f>
        <v>10</v>
      </c>
      <c r="V6" s="99">
        <f>RANK(S6,$S$4:$S$26)</f>
        <v>4</v>
      </c>
      <c r="W6" s="112">
        <f>RANK(C6,$C$4:$C$26)</f>
        <v>3</v>
      </c>
      <c r="X6" s="96"/>
      <c r="Y6" s="25">
        <f>+'24 下코모도(6-A)(''25)'!Y14+'24 下코모도(6-C)(''25)'!Y14</f>
        <v>2</v>
      </c>
      <c r="Z6" s="25">
        <f>+'24 下코모도(6-A)(''25)'!Z14+'24 下코모도(6-C)(''25)'!Z14</f>
        <v>1</v>
      </c>
      <c r="AA6" s="25">
        <f>+'24 下코모도(6-A)(''25)'!AA14+'24 下코모도(6-C)(''25)'!AA14</f>
        <v>0</v>
      </c>
      <c r="AB6" s="25">
        <f>+'24 下코모도(6-A)(''25)'!AB14+'24 下코모도(6-C)(''25)'!AB14</f>
        <v>0</v>
      </c>
      <c r="AC6" s="25">
        <f>+'24 下코모도(6-A)(''25)'!AC14+'24 下코모도(6-C)(''25)'!AC14</f>
        <v>0</v>
      </c>
    </row>
    <row r="7" spans="1:29" ht="19.5" customHeight="1" x14ac:dyDescent="0.3">
      <c r="A7" s="43" t="s">
        <v>59</v>
      </c>
      <c r="B7" s="52">
        <f>+'25 上코모도(6-BB)(''25)'!B4+'24 下코모도(6-A)(''25)'!B4+'24 下코모도(6-C)(''25)'!B4</f>
        <v>11</v>
      </c>
      <c r="C7" s="111">
        <f>+F7/E7</f>
        <v>0.47058823529411764</v>
      </c>
      <c r="D7" s="52">
        <f>+'25 上코모도(6-BB)(''25)'!D4+'24 下코모도(6-A)(''25)'!D4+'24 下코모도(6-C)(''25)'!D4</f>
        <v>20</v>
      </c>
      <c r="E7" s="52">
        <f>+'25 上코모도(6-BB)(''25)'!E4+'24 下코모도(6-A)(''25)'!E4+'24 下코모도(6-C)(''25)'!E4</f>
        <v>17</v>
      </c>
      <c r="F7" s="52">
        <f>+'25 上코모도(6-BB)(''25)'!F4+'24 下코모도(6-A)(''25)'!F4+'24 下코모도(6-C)(''25)'!F4</f>
        <v>8</v>
      </c>
      <c r="G7" s="52">
        <f>+'25 上코모도(6-BB)(''25)'!G4+'24 下코모도(6-A)(''25)'!G4+'24 下코모도(6-C)(''25)'!G4</f>
        <v>6</v>
      </c>
      <c r="H7" s="52">
        <f>+'25 上코모도(6-BB)(''25)'!H4+'24 下코모도(6-A)(''25)'!H4+'24 下코모도(6-C)(''25)'!H4</f>
        <v>1</v>
      </c>
      <c r="I7" s="52">
        <f>+'25 上코모도(6-BB)(''25)'!I4+'24 下코모도(6-A)(''25)'!I4+'24 下코모도(6-C)(''25)'!I4</f>
        <v>1</v>
      </c>
      <c r="J7" s="52">
        <f>+'25 上코모도(6-BB)(''25)'!J4+'24 下코모도(6-A)(''25)'!J4+'24 下코모도(6-C)(''25)'!J4</f>
        <v>0</v>
      </c>
      <c r="K7" s="52">
        <f>+'25 上코모도(6-BB)(''25)'!K4+'24 下코모도(6-A)(''25)'!K4+'24 下코모도(6-C)(''25)'!K4</f>
        <v>7</v>
      </c>
      <c r="L7" s="52">
        <f>+'25 上코모도(6-BB)(''25)'!L4+'24 下코모도(6-A)(''25)'!L4+'24 下코모도(6-C)(''25)'!L4</f>
        <v>5</v>
      </c>
      <c r="M7" s="52">
        <f>+'25 上코모도(6-BB)(''25)'!M4+'24 下코모도(6-A)(''25)'!M4+'24 下코모도(6-C)(''25)'!M4</f>
        <v>8</v>
      </c>
      <c r="N7" s="52">
        <f>+'25 上코모도(6-BB)(''25)'!N4+'24 下코모도(6-A)(''25)'!N4+'24 下코모도(6-C)(''25)'!N4</f>
        <v>3</v>
      </c>
      <c r="O7" s="52">
        <f>+'25 上코모도(6-BB)(''25)'!O4+'24 下코모도(6-A)(''25)'!O4+'24 下코모도(6-C)(''25)'!O4</f>
        <v>6</v>
      </c>
      <c r="P7" s="100">
        <f>+O7/D7</f>
        <v>0.3</v>
      </c>
      <c r="Q7" s="46">
        <f>+(G7*1+H7*2+I7*3+J7*4)/E7</f>
        <v>0.6470588235294118</v>
      </c>
      <c r="R7" s="46">
        <f>+(F7+N7)/D7</f>
        <v>0.55000000000000004</v>
      </c>
      <c r="S7" s="58">
        <f>+R7+Q7</f>
        <v>1.197058823529412</v>
      </c>
      <c r="T7" s="85">
        <f>O7/(D7-(F7+N7))</f>
        <v>0.66666666666666663</v>
      </c>
      <c r="U7" s="98">
        <f>RANK(R7,$R$4:$R$26)</f>
        <v>6</v>
      </c>
      <c r="V7" s="99">
        <f>RANK(S7,$S$4:$S$26)</f>
        <v>6</v>
      </c>
      <c r="W7" s="112">
        <f>RANK(C7,$C$4:$C$26)</f>
        <v>4</v>
      </c>
      <c r="X7" s="96"/>
      <c r="Y7" s="25">
        <f>+'24 下코모도(6-A)(''25)'!Y4+'24 下코모도(6-C)(''25)'!Y4</f>
        <v>2</v>
      </c>
      <c r="Z7" s="25">
        <f>+'24 下코모도(6-A)(''25)'!Z4+'24 下코모도(6-C)(''25)'!Z4</f>
        <v>1</v>
      </c>
      <c r="AA7" s="25">
        <f>+'24 下코모도(6-A)(''25)'!AA4+'24 下코모도(6-C)(''25)'!AA4</f>
        <v>0</v>
      </c>
      <c r="AB7" s="25">
        <f>+'24 下코모도(6-A)(''25)'!AB4+'24 下코모도(6-C)(''25)'!AB4</f>
        <v>0</v>
      </c>
      <c r="AC7" s="25">
        <f>+'24 下코모도(6-A)(''25)'!AC4+'24 下코모도(6-C)(''25)'!AC4</f>
        <v>0</v>
      </c>
    </row>
    <row r="8" spans="1:29" ht="19.5" customHeight="1" x14ac:dyDescent="0.3">
      <c r="A8" s="43" t="s">
        <v>51</v>
      </c>
      <c r="B8" s="52">
        <f>+'25 上코모도(6-BB)(''25)'!B9+'24 下코모도(6-A)(''25)'!B9+'24 下코모도(6-C)(''25)'!B9</f>
        <v>9</v>
      </c>
      <c r="C8" s="111">
        <f>+F8/E8</f>
        <v>0.46153846153846156</v>
      </c>
      <c r="D8" s="52">
        <f>+'25 上코모도(6-BB)(''25)'!D9+'24 下코모도(6-A)(''25)'!D9+'24 下코모도(6-C)(''25)'!D9</f>
        <v>16</v>
      </c>
      <c r="E8" s="52">
        <f>+'25 上코모도(6-BB)(''25)'!E9+'24 下코모도(6-A)(''25)'!E9+'24 下코모도(6-C)(''25)'!E9</f>
        <v>13</v>
      </c>
      <c r="F8" s="52">
        <f>+'25 上코모도(6-BB)(''25)'!F9+'24 下코모도(6-A)(''25)'!F9+'24 下코모도(6-C)(''25)'!F9</f>
        <v>6</v>
      </c>
      <c r="G8" s="52">
        <f>+'25 上코모도(6-BB)(''25)'!G9+'24 下코모도(6-A)(''25)'!G9+'24 下코모도(6-C)(''25)'!G9</f>
        <v>6</v>
      </c>
      <c r="H8" s="52">
        <f>+'25 上코모도(6-BB)(''25)'!H9+'24 下코모도(6-A)(''25)'!H9+'24 下코모도(6-C)(''25)'!H9</f>
        <v>0</v>
      </c>
      <c r="I8" s="52">
        <f>+'25 上코모도(6-BB)(''25)'!I9+'24 下코모도(6-A)(''25)'!I9+'24 下코모도(6-C)(''25)'!I9</f>
        <v>0</v>
      </c>
      <c r="J8" s="52">
        <f>+'25 上코모도(6-BB)(''25)'!J9+'24 下코모도(6-A)(''25)'!J9+'24 下코모도(6-C)(''25)'!J9</f>
        <v>0</v>
      </c>
      <c r="K8" s="52">
        <f>+'25 上코모도(6-BB)(''25)'!K9+'24 下코모도(6-A)(''25)'!K9+'24 下코모도(6-C)(''25)'!K9</f>
        <v>6</v>
      </c>
      <c r="L8" s="52">
        <f>+'25 上코모도(6-BB)(''25)'!L9+'24 下코모도(6-A)(''25)'!L9+'24 下코모도(6-C)(''25)'!L9</f>
        <v>3</v>
      </c>
      <c r="M8" s="52">
        <f>+'25 上코모도(6-BB)(''25)'!M9+'24 下코모도(6-A)(''25)'!M9+'24 下코모도(6-C)(''25)'!M9</f>
        <v>2</v>
      </c>
      <c r="N8" s="52">
        <f>+'25 上코모도(6-BB)(''25)'!N9+'24 下코모도(6-A)(''25)'!N9+'24 下코모도(6-C)(''25)'!N9</f>
        <v>2</v>
      </c>
      <c r="O8" s="52">
        <f>+'25 上코모도(6-BB)(''25)'!O9+'24 下코모도(6-A)(''25)'!O9+'24 下코모도(6-C)(''25)'!O9</f>
        <v>2</v>
      </c>
      <c r="P8" s="97">
        <f>+O8/D8</f>
        <v>0.125</v>
      </c>
      <c r="Q8" s="46">
        <f>+(G8*1+H8*2+I8*3+J8*4)/E8</f>
        <v>0.46153846153846156</v>
      </c>
      <c r="R8" s="46">
        <f>+(F8+N8)/D8</f>
        <v>0.5</v>
      </c>
      <c r="S8" s="58">
        <f>+R8+Q8</f>
        <v>0.96153846153846156</v>
      </c>
      <c r="T8" s="78">
        <f>O8/(D8-(F8+N8))</f>
        <v>0.25</v>
      </c>
      <c r="U8" s="98">
        <f>RANK(R8,$R$4:$R$26)</f>
        <v>11</v>
      </c>
      <c r="V8" s="99">
        <f>RANK(S8,$S$4:$S$26)</f>
        <v>12</v>
      </c>
      <c r="W8" s="112">
        <f>RANK(C8,$C$4:$C$26)</f>
        <v>5</v>
      </c>
      <c r="X8" s="96"/>
      <c r="Y8" s="25">
        <f>+'24 下코모도(6-A)(''25)'!Y9+'24 下코모도(6-C)(''25)'!Y9</f>
        <v>1</v>
      </c>
      <c r="Z8" s="25">
        <f>+'24 下코모도(6-A)(''25)'!Z9+'24 下코모도(6-C)(''25)'!Z9</f>
        <v>1</v>
      </c>
      <c r="AA8" s="25">
        <f>+'24 下코모도(6-A)(''25)'!AA9+'24 下코모도(6-C)(''25)'!AA9</f>
        <v>0</v>
      </c>
      <c r="AB8" s="25">
        <f>+'24 下코모도(6-A)(''25)'!AB9+'24 下코모도(6-C)(''25)'!AB9</f>
        <v>0</v>
      </c>
      <c r="AC8" s="25">
        <f>+'24 下코모도(6-A)(''25)'!AC9+'24 下코모도(6-C)(''25)'!AC9</f>
        <v>0</v>
      </c>
    </row>
    <row r="9" spans="1:29" ht="19.5" customHeight="1" x14ac:dyDescent="0.3">
      <c r="A9" s="43" t="s">
        <v>33</v>
      </c>
      <c r="B9" s="52">
        <f>+'25 上코모도(6-BB)(''25)'!B17+'24 下코모도(6-A)(''25)'!B17+'24 下코모도(6-C)(''25)'!B17</f>
        <v>13</v>
      </c>
      <c r="C9" s="111">
        <f>+F9/E9</f>
        <v>0.43478260869565216</v>
      </c>
      <c r="D9" s="52">
        <f>+'25 上코모도(6-BB)(''25)'!D17+'24 下코모도(6-A)(''25)'!D17+'24 下코모도(6-C)(''25)'!D17</f>
        <v>30</v>
      </c>
      <c r="E9" s="52">
        <f>+'25 上코모도(6-BB)(''25)'!E17+'24 下코모도(6-A)(''25)'!E17+'24 下코모도(6-C)(''25)'!E17</f>
        <v>23</v>
      </c>
      <c r="F9" s="52">
        <f>+'25 上코모도(6-BB)(''25)'!F17+'24 下코모도(6-A)(''25)'!F17+'24 下코모도(6-C)(''25)'!F17</f>
        <v>10</v>
      </c>
      <c r="G9" s="52">
        <f>+'25 上코모도(6-BB)(''25)'!G17+'24 下코모도(6-A)(''25)'!G17+'24 下코모도(6-C)(''25)'!G17</f>
        <v>7</v>
      </c>
      <c r="H9" s="52">
        <f>+'25 上코모도(6-BB)(''25)'!H17+'24 下코모도(6-A)(''25)'!H17+'24 下코모도(6-C)(''25)'!H17</f>
        <v>3</v>
      </c>
      <c r="I9" s="52">
        <f>+'25 上코모도(6-BB)(''25)'!I17+'24 下코모도(6-A)(''25)'!I17+'24 下코모도(6-C)(''25)'!I17</f>
        <v>0</v>
      </c>
      <c r="J9" s="52">
        <f>+'25 上코모도(6-BB)(''25)'!J17+'24 下코모도(6-A)(''25)'!J17+'24 下코모도(6-C)(''25)'!J17</f>
        <v>0</v>
      </c>
      <c r="K9" s="52">
        <f>+'25 上코모도(6-BB)(''25)'!K17+'24 下코모도(6-A)(''25)'!K17+'24 下코모도(6-C)(''25)'!K17</f>
        <v>10</v>
      </c>
      <c r="L9" s="52">
        <f>+'25 上코모도(6-BB)(''25)'!L17+'24 下코모도(6-A)(''25)'!L17+'24 下코모도(6-C)(''25)'!L17</f>
        <v>7</v>
      </c>
      <c r="M9" s="52">
        <f>+'25 上코모도(6-BB)(''25)'!M17+'24 下코모도(6-A)(''25)'!M17+'24 下코모도(6-C)(''25)'!M17</f>
        <v>16</v>
      </c>
      <c r="N9" s="52">
        <f>+'25 上코모도(6-BB)(''25)'!N17+'24 下코모도(6-A)(''25)'!N17+'24 下코모도(6-C)(''25)'!N17</f>
        <v>6</v>
      </c>
      <c r="O9" s="52">
        <f>+'25 上코모도(6-BB)(''25)'!O17+'24 下코모도(6-A)(''25)'!O17+'24 下코모도(6-C)(''25)'!O17</f>
        <v>7</v>
      </c>
      <c r="P9" s="97">
        <f>+O9/D9</f>
        <v>0.23333333333333334</v>
      </c>
      <c r="Q9" s="46">
        <f>+(G9*1+H9*2+I9*3+J9*4)/E9</f>
        <v>0.56521739130434778</v>
      </c>
      <c r="R9" s="46">
        <f>+(F9+N9)/D9</f>
        <v>0.53333333333333333</v>
      </c>
      <c r="S9" s="58">
        <f>+R9+Q9</f>
        <v>1.0985507246376811</v>
      </c>
      <c r="T9" s="78">
        <f>O9/(D9-(F9+N9))</f>
        <v>0.5</v>
      </c>
      <c r="U9" s="98">
        <f>RANK(R9,$R$4:$R$26)</f>
        <v>7</v>
      </c>
      <c r="V9" s="99">
        <f>RANK(S9,$S$4:$S$26)</f>
        <v>8</v>
      </c>
      <c r="W9" s="112">
        <f>RANK(C9,$C$4:$C$26)</f>
        <v>6</v>
      </c>
      <c r="X9" s="96"/>
      <c r="Y9" s="25">
        <f>+'24 下코모도(6-A)(''25)'!Y17+'24 下코모도(6-C)(''25)'!Y17</f>
        <v>1</v>
      </c>
      <c r="Z9" s="25">
        <f>+'24 下코모도(6-A)(''25)'!Z17+'24 下코모도(6-C)(''25)'!Z17</f>
        <v>2</v>
      </c>
      <c r="AA9" s="25">
        <f>+'24 下코모도(6-A)(''25)'!AA17+'24 下코모도(6-C)(''25)'!AA17</f>
        <v>0</v>
      </c>
      <c r="AB9" s="25">
        <f>+'24 下코모도(6-A)(''25)'!AB17+'24 下코모도(6-C)(''25)'!AB17</f>
        <v>0</v>
      </c>
      <c r="AC9" s="25">
        <f>+'24 下코모도(6-A)(''25)'!AC17+'24 下코모도(6-C)(''25)'!AC17</f>
        <v>0</v>
      </c>
    </row>
    <row r="10" spans="1:29" ht="19.5" customHeight="1" x14ac:dyDescent="0.3">
      <c r="A10" s="43" t="s">
        <v>22</v>
      </c>
      <c r="B10" s="52">
        <f>+'25 上코모도(6-BB)(''25)'!B24+'24 下코모도(6-A)(''25)'!B24+'24 下코모도(6-C)(''25)'!B24</f>
        <v>22</v>
      </c>
      <c r="C10" s="111">
        <f>+F10/E10</f>
        <v>0.43137254901960786</v>
      </c>
      <c r="D10" s="52">
        <f>+'25 上코모도(6-BB)(''25)'!D24+'24 下코모도(6-A)(''25)'!D24+'24 下코모도(6-C)(''25)'!D24</f>
        <v>62</v>
      </c>
      <c r="E10" s="52">
        <f>+'25 上코모도(6-BB)(''25)'!E24+'24 下코모도(6-A)(''25)'!E24+'24 下코모도(6-C)(''25)'!E24</f>
        <v>51</v>
      </c>
      <c r="F10" s="52">
        <f>+'25 上코모도(6-BB)(''25)'!F24+'24 下코모도(6-A)(''25)'!F24+'24 下코모도(6-C)(''25)'!F24</f>
        <v>22</v>
      </c>
      <c r="G10" s="52">
        <f>+'25 上코모도(6-BB)(''25)'!G24+'24 下코모도(6-A)(''25)'!G24+'24 下코모도(6-C)(''25)'!G24</f>
        <v>17</v>
      </c>
      <c r="H10" s="52">
        <f>+'25 上코모도(6-BB)(''25)'!H24+'24 下코모도(6-A)(''25)'!H24+'24 下코모도(6-C)(''25)'!H24</f>
        <v>5</v>
      </c>
      <c r="I10" s="52">
        <f>+'25 上코모도(6-BB)(''25)'!I24+'24 下코모도(6-A)(''25)'!I24+'24 下코모도(6-C)(''25)'!I24</f>
        <v>0</v>
      </c>
      <c r="J10" s="52">
        <f>+'25 上코모도(6-BB)(''25)'!J24+'24 下코모도(6-A)(''25)'!J24+'24 下코모도(6-C)(''25)'!J24</f>
        <v>0</v>
      </c>
      <c r="K10" s="52">
        <f>+'25 上코모도(6-BB)(''25)'!K24+'24 下코모도(6-A)(''25)'!K24+'24 下코모도(6-C)(''25)'!K24</f>
        <v>15</v>
      </c>
      <c r="L10" s="52">
        <f>+'25 上코모도(6-BB)(''25)'!L24+'24 下코모도(6-A)(''25)'!L24+'24 下코모도(6-C)(''25)'!L24</f>
        <v>19</v>
      </c>
      <c r="M10" s="52">
        <f>+'25 上코모도(6-BB)(''25)'!M24+'24 下코모도(6-A)(''25)'!M24+'24 下코모도(6-C)(''25)'!M24</f>
        <v>18</v>
      </c>
      <c r="N10" s="52">
        <f>+'25 上코모도(6-BB)(''25)'!N24+'24 下코모도(6-A)(''25)'!N24+'24 下코모도(6-C)(''25)'!N24</f>
        <v>11</v>
      </c>
      <c r="O10" s="52">
        <f>+'25 上코모도(6-BB)(''25)'!O24+'24 下코모도(6-A)(''25)'!O24+'24 下코모도(6-C)(''25)'!O24</f>
        <v>3</v>
      </c>
      <c r="P10" s="97">
        <f>+O10/D10</f>
        <v>4.8387096774193547E-2</v>
      </c>
      <c r="Q10" s="46">
        <f>+(G10*1+H10*2+I10*3+J10*4)/E10</f>
        <v>0.52941176470588236</v>
      </c>
      <c r="R10" s="46">
        <f>+(F10+N10)/D10</f>
        <v>0.532258064516129</v>
      </c>
      <c r="S10" s="58">
        <f>+R10+Q10</f>
        <v>1.0616698292220113</v>
      </c>
      <c r="T10" s="78">
        <f>O10/(D10-(F10+N10))</f>
        <v>0.10344827586206896</v>
      </c>
      <c r="U10" s="98">
        <f>RANK(R10,$R$4:$R$26)</f>
        <v>9</v>
      </c>
      <c r="V10" s="99">
        <f>RANK(S10,$S$4:$S$26)</f>
        <v>9</v>
      </c>
      <c r="W10" s="112">
        <f>RANK(C10,$C$4:$C$26)</f>
        <v>7</v>
      </c>
      <c r="X10" s="96"/>
      <c r="Y10" s="25">
        <f>+'24 下코모도(6-A)(''25)'!Y24+'24 下코모도(6-C)(''25)'!Y24</f>
        <v>6</v>
      </c>
      <c r="Z10" s="25">
        <f>+'24 下코모도(6-A)(''25)'!Z24+'24 下코모도(6-C)(''25)'!Z24</f>
        <v>2</v>
      </c>
      <c r="AA10" s="25">
        <f>+'24 下코모도(6-A)(''25)'!AA24+'24 下코모도(6-C)(''25)'!AA24</f>
        <v>0</v>
      </c>
      <c r="AB10" s="25">
        <f>+'24 下코모도(6-A)(''25)'!AB24+'24 下코모도(6-C)(''25)'!AB24</f>
        <v>0</v>
      </c>
      <c r="AC10" s="25">
        <f>+'24 下코모도(6-A)(''25)'!AC24+'24 下코모도(6-C)(''25)'!AC24</f>
        <v>0</v>
      </c>
    </row>
    <row r="11" spans="1:29" ht="19.5" customHeight="1" x14ac:dyDescent="0.3">
      <c r="A11" s="43" t="s">
        <v>4</v>
      </c>
      <c r="B11" s="52">
        <f>+'25 上코모도(6-BB)(''25)'!B8+'24 下코모도(6-A)(''25)'!B8+'24 下코모도(6-C)(''25)'!B8</f>
        <v>18</v>
      </c>
      <c r="C11" s="111">
        <f>+F11/E11</f>
        <v>0.42857142857142855</v>
      </c>
      <c r="D11" s="52">
        <f>+'25 上코모도(6-BB)(''25)'!D8+'24 下코모도(6-A)(''25)'!D8+'24 下코모도(6-C)(''25)'!D8</f>
        <v>37</v>
      </c>
      <c r="E11" s="52">
        <f>+'25 上코모도(6-BB)(''25)'!E8+'24 下코모도(6-A)(''25)'!E8+'24 下코모도(6-C)(''25)'!E8</f>
        <v>21</v>
      </c>
      <c r="F11" s="52">
        <f>+'25 上코모도(6-BB)(''25)'!F8+'24 下코모도(6-A)(''25)'!F8+'24 下코모도(6-C)(''25)'!F8</f>
        <v>9</v>
      </c>
      <c r="G11" s="52">
        <f>+'25 上코모도(6-BB)(''25)'!G8+'24 下코모도(6-A)(''25)'!G8+'24 下코모도(6-C)(''25)'!G8</f>
        <v>9</v>
      </c>
      <c r="H11" s="52">
        <f>+'25 上코모도(6-BB)(''25)'!H8+'24 下코모도(6-A)(''25)'!H8+'24 下코모도(6-C)(''25)'!H8</f>
        <v>1</v>
      </c>
      <c r="I11" s="52">
        <f>+'25 上코모도(6-BB)(''25)'!I8+'24 下코모도(6-A)(''25)'!I8+'24 下코모도(6-C)(''25)'!I8</f>
        <v>1</v>
      </c>
      <c r="J11" s="52">
        <f>+'25 上코모도(6-BB)(''25)'!J8+'24 下코모도(6-A)(''25)'!J8+'24 下코모도(6-C)(''25)'!J8</f>
        <v>0</v>
      </c>
      <c r="K11" s="52">
        <f>+'25 上코모도(6-BB)(''25)'!K8+'24 下코모도(6-A)(''25)'!K8+'24 下코모도(6-C)(''25)'!K8</f>
        <v>16</v>
      </c>
      <c r="L11" s="52">
        <f>+'25 上코모도(6-BB)(''25)'!L8+'24 下코모도(6-A)(''25)'!L8+'24 下코모도(6-C)(''25)'!L8</f>
        <v>8</v>
      </c>
      <c r="M11" s="52">
        <f>+'25 上코모도(6-BB)(''25)'!M8+'24 下코모도(6-A)(''25)'!M8+'24 下코모도(6-C)(''25)'!M8</f>
        <v>16</v>
      </c>
      <c r="N11" s="52">
        <f>+'25 上코모도(6-BB)(''25)'!N8+'24 下코모도(6-A)(''25)'!N8+'24 下코모도(6-C)(''25)'!N8</f>
        <v>15</v>
      </c>
      <c r="O11" s="52">
        <f>+'25 上코모도(6-BB)(''25)'!O8+'24 下코모도(6-A)(''25)'!O8+'24 下코모도(6-C)(''25)'!O8</f>
        <v>5</v>
      </c>
      <c r="P11" s="97">
        <f>+O11/D11</f>
        <v>0.13513513513513514</v>
      </c>
      <c r="Q11" s="46">
        <f>+(G11*1+H11*2+I11*3+J11*4)/E11</f>
        <v>0.66666666666666663</v>
      </c>
      <c r="R11" s="46">
        <f>+(F11+N11)/D11</f>
        <v>0.64864864864864868</v>
      </c>
      <c r="S11" s="58">
        <f>+R11+Q11</f>
        <v>1.3153153153153152</v>
      </c>
      <c r="T11" s="85">
        <f>O11/(D11-(F11+N11))</f>
        <v>0.38461538461538464</v>
      </c>
      <c r="U11" s="98">
        <f>RANK(R11,$R$4:$R$26)</f>
        <v>1</v>
      </c>
      <c r="V11" s="99">
        <f>RANK(S11,$S$4:$S$26)</f>
        <v>3</v>
      </c>
      <c r="W11" s="112">
        <f>RANK(C11,$C$4:$C$26)</f>
        <v>8</v>
      </c>
      <c r="X11" s="96"/>
      <c r="Y11" s="25">
        <f>+'24 下코모도(6-A)(''25)'!Y8+'24 下코모도(6-C)(''25)'!Y8</f>
        <v>7</v>
      </c>
      <c r="Z11" s="25">
        <f>+'24 下코모도(6-A)(''25)'!Z8+'24 下코모도(6-C)(''25)'!Z8</f>
        <v>1</v>
      </c>
      <c r="AA11" s="25">
        <f>+'24 下코모도(6-A)(''25)'!AA8+'24 下코모도(6-C)(''25)'!AA8</f>
        <v>0</v>
      </c>
      <c r="AB11" s="25">
        <f>+'24 下코모도(6-A)(''25)'!AB8+'24 下코모도(6-C)(''25)'!AB8</f>
        <v>0</v>
      </c>
      <c r="AC11" s="25">
        <f>+'24 下코모도(6-A)(''25)'!AC8+'24 下코모도(6-C)(''25)'!AC8</f>
        <v>0</v>
      </c>
    </row>
    <row r="12" spans="1:29" ht="19.5" customHeight="1" x14ac:dyDescent="0.3">
      <c r="A12" s="43" t="s">
        <v>21</v>
      </c>
      <c r="B12" s="52">
        <f>+'25 上코모도(6-BB)(''25)'!B12+'24 下코모도(6-A)(''25)'!B12+'24 下코모도(6-C)(''25)'!B12</f>
        <v>16</v>
      </c>
      <c r="C12" s="111">
        <f>+F12/E12</f>
        <v>0.42499999999999999</v>
      </c>
      <c r="D12" s="52">
        <f>+'25 上코모도(6-BB)(''25)'!D12+'24 下코모도(6-A)(''25)'!D12+'24 下코모도(6-C)(''25)'!D12</f>
        <v>52</v>
      </c>
      <c r="E12" s="52">
        <f>+'25 上코모도(6-BB)(''25)'!E12+'24 下코모도(6-A)(''25)'!E12+'24 下코모도(6-C)(''25)'!E12</f>
        <v>40</v>
      </c>
      <c r="F12" s="52">
        <f>+'25 上코모도(6-BB)(''25)'!F12+'24 下코모도(6-A)(''25)'!F12+'24 下코모도(6-C)(''25)'!F12</f>
        <v>17</v>
      </c>
      <c r="G12" s="52">
        <f>+'25 上코모도(6-BB)(''25)'!G12+'24 下코모도(6-A)(''25)'!G12+'24 下코모도(6-C)(''25)'!G12</f>
        <v>16</v>
      </c>
      <c r="H12" s="52">
        <f>+'25 上코모도(6-BB)(''25)'!H12+'24 下코모도(6-A)(''25)'!H12+'24 下코모도(6-C)(''25)'!H12</f>
        <v>1</v>
      </c>
      <c r="I12" s="52">
        <f>+'25 上코모도(6-BB)(''25)'!I12+'24 下코모도(6-A)(''25)'!I12+'24 下코모도(6-C)(''25)'!I12</f>
        <v>0</v>
      </c>
      <c r="J12" s="52">
        <f>+'25 上코모도(6-BB)(''25)'!J12+'24 下코모도(6-A)(''25)'!J12+'24 下코모도(6-C)(''25)'!J12</f>
        <v>0</v>
      </c>
      <c r="K12" s="52">
        <f>+'25 上코모도(6-BB)(''25)'!K12+'24 下코모도(6-A)(''25)'!K12+'24 下코모도(6-C)(''25)'!K12</f>
        <v>21</v>
      </c>
      <c r="L12" s="52">
        <f>+'25 上코모도(6-BB)(''25)'!L12+'24 下코모도(6-A)(''25)'!L12+'24 下코모도(6-C)(''25)'!L12</f>
        <v>10</v>
      </c>
      <c r="M12" s="52">
        <f>+'25 上코모도(6-BB)(''25)'!M12+'24 下코모도(6-A)(''25)'!M12+'24 下코모도(6-C)(''25)'!M12</f>
        <v>13</v>
      </c>
      <c r="N12" s="52">
        <f>+'25 上코모도(6-BB)(''25)'!N12+'24 下코모도(6-A)(''25)'!N12+'24 下코모도(6-C)(''25)'!N12</f>
        <v>12</v>
      </c>
      <c r="O12" s="52">
        <f>+'25 上코모도(6-BB)(''25)'!O12+'24 下코모도(6-A)(''25)'!O12+'24 下코모도(6-C)(''25)'!O12</f>
        <v>8</v>
      </c>
      <c r="P12" s="97">
        <f>+O12/D12</f>
        <v>0.15384615384615385</v>
      </c>
      <c r="Q12" s="46">
        <f>+(G12*1+H12*2+I12*3+J12*4)/E12</f>
        <v>0.45</v>
      </c>
      <c r="R12" s="46">
        <f>+(F12+N12)/D12</f>
        <v>0.55769230769230771</v>
      </c>
      <c r="S12" s="58">
        <f>+R12+Q12</f>
        <v>1.0076923076923077</v>
      </c>
      <c r="T12" s="78">
        <f>O12/(D12-(F12+N12))</f>
        <v>0.34782608695652173</v>
      </c>
      <c r="U12" s="98">
        <f>RANK(R12,$R$4:$R$26)</f>
        <v>4</v>
      </c>
      <c r="V12" s="99">
        <f>RANK(S12,$S$4:$S$26)</f>
        <v>10</v>
      </c>
      <c r="W12" s="112">
        <f>RANK(C12,$C$4:$C$26)</f>
        <v>9</v>
      </c>
      <c r="X12" s="96"/>
      <c r="Y12" s="25">
        <f>+'24 下코모도(6-A)(''25)'!Y12+'24 下코모도(6-C)(''25)'!Y12</f>
        <v>7</v>
      </c>
      <c r="Z12" s="25">
        <f>+'24 下코모도(6-A)(''25)'!Z12+'24 下코모도(6-C)(''25)'!Z12</f>
        <v>0</v>
      </c>
      <c r="AA12" s="25">
        <f>+'24 下코모도(6-A)(''25)'!AA12+'24 下코모도(6-C)(''25)'!AA12</f>
        <v>0</v>
      </c>
      <c r="AB12" s="25">
        <f>+'24 下코모도(6-A)(''25)'!AB12+'24 下코모도(6-C)(''25)'!AB12</f>
        <v>0</v>
      </c>
      <c r="AC12" s="25">
        <f>+'24 下코모도(6-A)(''25)'!AC12+'24 下코모도(6-C)(''25)'!AC12</f>
        <v>0</v>
      </c>
    </row>
    <row r="13" spans="1:29" ht="19.5" customHeight="1" x14ac:dyDescent="0.3">
      <c r="A13" s="43" t="s">
        <v>24</v>
      </c>
      <c r="B13" s="52">
        <f>+'25 上코모도(6-BB)(''25)'!B21+'24 下코모도(6-A)(''25)'!B21+'24 下코모도(6-C)(''25)'!B21</f>
        <v>8</v>
      </c>
      <c r="C13" s="111">
        <f>+F13/E13</f>
        <v>0.41666666666666669</v>
      </c>
      <c r="D13" s="52">
        <f>+'25 上코모도(6-BB)(''25)'!D21+'24 下코모도(6-A)(''25)'!D21+'24 下코모도(6-C)(''25)'!D21</f>
        <v>15</v>
      </c>
      <c r="E13" s="52">
        <f>+'25 上코모도(6-BB)(''25)'!E21+'24 下코모도(6-A)(''25)'!E21+'24 下코모도(6-C)(''25)'!E21</f>
        <v>12</v>
      </c>
      <c r="F13" s="52">
        <f>+'25 上코모도(6-BB)(''25)'!F21+'24 下코모도(6-A)(''25)'!F21+'24 下코모도(6-C)(''25)'!F21</f>
        <v>5</v>
      </c>
      <c r="G13" s="52">
        <f>+'25 上코모도(6-BB)(''25)'!G21+'24 下코모도(6-A)(''25)'!G21+'24 下코모도(6-C)(''25)'!G21</f>
        <v>3</v>
      </c>
      <c r="H13" s="52">
        <f>+'25 上코모도(6-BB)(''25)'!H21+'24 下코모도(6-A)(''25)'!H21+'24 下코모도(6-C)(''25)'!H21</f>
        <v>1</v>
      </c>
      <c r="I13" s="52">
        <f>+'25 上코모도(6-BB)(''25)'!I21+'24 下코모도(6-A)(''25)'!I21+'24 下코모도(6-C)(''25)'!I21</f>
        <v>1</v>
      </c>
      <c r="J13" s="52">
        <f>+'25 上코모도(6-BB)(''25)'!J21+'24 下코모도(6-A)(''25)'!J21+'24 下코모도(6-C)(''25)'!J21</f>
        <v>0</v>
      </c>
      <c r="K13" s="52">
        <f>+'25 上코모도(6-BB)(''25)'!K21+'24 下코모도(6-A)(''25)'!K21+'24 下코모도(6-C)(''25)'!K21</f>
        <v>5</v>
      </c>
      <c r="L13" s="52">
        <f>+'25 上코모도(6-BB)(''25)'!L21+'24 下코모도(6-A)(''25)'!L21+'24 下코모도(6-C)(''25)'!L21</f>
        <v>6</v>
      </c>
      <c r="M13" s="52">
        <f>+'25 上코모도(6-BB)(''25)'!M21+'24 下코모도(6-A)(''25)'!M21+'24 下코모도(6-C)(''25)'!M21</f>
        <v>4</v>
      </c>
      <c r="N13" s="52">
        <f>+'25 上코모도(6-BB)(''25)'!N21+'24 下코모도(6-A)(''25)'!N21+'24 下코모도(6-C)(''25)'!N21</f>
        <v>3</v>
      </c>
      <c r="O13" s="52">
        <f>+'25 上코모도(6-BB)(''25)'!O21+'24 下코모도(6-A)(''25)'!O21+'24 下코모도(6-C)(''25)'!O21</f>
        <v>2</v>
      </c>
      <c r="P13" s="97">
        <f>+O13/D13</f>
        <v>0.13333333333333333</v>
      </c>
      <c r="Q13" s="46">
        <f>+(G13*1+H13*2+I13*3+J13*4)/E13</f>
        <v>0.66666666666666663</v>
      </c>
      <c r="R13" s="46">
        <f>+(F13+N13)/D13</f>
        <v>0.53333333333333333</v>
      </c>
      <c r="S13" s="58">
        <f>+R13+Q13</f>
        <v>1.2</v>
      </c>
      <c r="T13" s="78">
        <f>O13/(D13-(F13+N13))</f>
        <v>0.2857142857142857</v>
      </c>
      <c r="U13" s="98">
        <f>RANK(R13,$R$4:$R$26)</f>
        <v>7</v>
      </c>
      <c r="V13" s="99">
        <f>RANK(S13,$S$4:$S$26)</f>
        <v>5</v>
      </c>
      <c r="W13" s="112">
        <f>RANK(C13,$C$4:$C$26)</f>
        <v>10</v>
      </c>
      <c r="X13" s="96"/>
      <c r="Y13" s="25">
        <f>+'24 下코모도(6-A)(''25)'!Y21+'24 下코모도(6-C)(''25)'!Y21</f>
        <v>1</v>
      </c>
      <c r="Z13" s="25">
        <f>+'24 下코모도(6-A)(''25)'!Z21+'24 下코모도(6-C)(''25)'!Z21</f>
        <v>1</v>
      </c>
      <c r="AA13" s="25">
        <f>+'24 下코모도(6-A)(''25)'!AA21+'24 下코모도(6-C)(''25)'!AA21</f>
        <v>0</v>
      </c>
      <c r="AB13" s="25">
        <f>+'24 下코모도(6-A)(''25)'!AB21+'24 下코모도(6-C)(''25)'!AB21</f>
        <v>0</v>
      </c>
      <c r="AC13" s="25">
        <f>+'24 下코모도(6-A)(''25)'!AC21+'24 下코모도(6-C)(''25)'!AC21</f>
        <v>0</v>
      </c>
    </row>
    <row r="14" spans="1:29" ht="19.5" customHeight="1" x14ac:dyDescent="0.3">
      <c r="A14" s="43" t="s">
        <v>156</v>
      </c>
      <c r="B14" s="52">
        <f>+'25 上코모도(6-BB)(''25)'!B20+'24 下코모도(6-A)(''25)'!B20+'24 下코모도(6-C)(''25)'!B20</f>
        <v>7</v>
      </c>
      <c r="C14" s="111">
        <f>+F14/E14</f>
        <v>0.41176470588235292</v>
      </c>
      <c r="D14" s="52">
        <f>+'25 上코모도(6-BB)(''25)'!D20+'24 下코모도(6-A)(''25)'!D20+'24 下코모도(6-C)(''25)'!D20</f>
        <v>20</v>
      </c>
      <c r="E14" s="52">
        <f>+'25 上코모도(6-BB)(''25)'!E20+'24 下코모도(6-A)(''25)'!E20+'24 下코모도(6-C)(''25)'!E20</f>
        <v>17</v>
      </c>
      <c r="F14" s="52">
        <f>+'25 上코모도(6-BB)(''25)'!F20+'24 下코모도(6-A)(''25)'!F20+'24 下코모도(6-C)(''25)'!F20</f>
        <v>7</v>
      </c>
      <c r="G14" s="52">
        <f>+'25 上코모도(6-BB)(''25)'!G20+'24 下코모도(6-A)(''25)'!G20+'24 下코모도(6-C)(''25)'!G20</f>
        <v>6</v>
      </c>
      <c r="H14" s="52">
        <f>+'25 上코모도(6-BB)(''25)'!H20+'24 下코모도(6-A)(''25)'!H20+'24 下코모도(6-C)(''25)'!H20</f>
        <v>1</v>
      </c>
      <c r="I14" s="52">
        <f>+'25 上코모도(6-BB)(''25)'!I20+'24 下코모도(6-A)(''25)'!I20+'24 下코모도(6-C)(''25)'!I20</f>
        <v>0</v>
      </c>
      <c r="J14" s="52">
        <f>+'25 上코모도(6-BB)(''25)'!J20+'24 下코모도(6-A)(''25)'!J20+'24 下코모도(6-C)(''25)'!J20</f>
        <v>0</v>
      </c>
      <c r="K14" s="52">
        <f>+'25 上코모도(6-BB)(''25)'!K20+'24 下코모도(6-A)(''25)'!K20+'24 下코모도(6-C)(''25)'!K20</f>
        <v>5</v>
      </c>
      <c r="L14" s="52">
        <f>+'25 上코모도(6-BB)(''25)'!L20+'24 下코모도(6-A)(''25)'!L20+'24 下코모도(6-C)(''25)'!L20</f>
        <v>9</v>
      </c>
      <c r="M14" s="52">
        <f>+'25 上코모도(6-BB)(''25)'!M20+'24 下코모도(6-A)(''25)'!M20+'24 下코모도(6-C)(''25)'!M20</f>
        <v>3</v>
      </c>
      <c r="N14" s="52">
        <f>+'25 上코모도(6-BB)(''25)'!N20+'24 下코모도(6-A)(''25)'!N20+'24 下코모도(6-C)(''25)'!N20</f>
        <v>3</v>
      </c>
      <c r="O14" s="52">
        <f>+'25 上코모도(6-BB)(''25)'!O20+'24 下코모도(6-A)(''25)'!O20+'24 下코모도(6-C)(''25)'!O20</f>
        <v>1</v>
      </c>
      <c r="P14" s="97">
        <f>+O14/D14</f>
        <v>0.05</v>
      </c>
      <c r="Q14" s="46">
        <f>+(G14*1+H14*2+I14*3+J14*4)/E14</f>
        <v>0.47058823529411764</v>
      </c>
      <c r="R14" s="46">
        <f>+(F14+N14)/D14</f>
        <v>0.5</v>
      </c>
      <c r="S14" s="58">
        <f>+R14+Q14</f>
        <v>0.97058823529411764</v>
      </c>
      <c r="T14" s="78">
        <f>O14/(D14-(F14+N14))</f>
        <v>0.1</v>
      </c>
      <c r="U14" s="98">
        <f>RANK(R14,$R$4:$R$26)</f>
        <v>11</v>
      </c>
      <c r="V14" s="99">
        <f>RANK(S14,$S$4:$S$26)</f>
        <v>11</v>
      </c>
      <c r="W14" s="112">
        <f>RANK(C14,$C$4:$C$26)</f>
        <v>11</v>
      </c>
      <c r="X14" s="96"/>
      <c r="Y14" s="25"/>
      <c r="Z14" s="25"/>
      <c r="AA14" s="25"/>
      <c r="AB14" s="25"/>
      <c r="AC14" s="25"/>
    </row>
    <row r="15" spans="1:29" ht="19.5" customHeight="1" x14ac:dyDescent="0.3">
      <c r="A15" s="43" t="s">
        <v>8</v>
      </c>
      <c r="B15" s="52">
        <f>+'25 上코모도(6-BB)(''25)'!B13+'24 下코모도(6-A)(''25)'!B13+'24 下코모도(6-C)(''25)'!B13</f>
        <v>12</v>
      </c>
      <c r="C15" s="111">
        <f>+F15/E15</f>
        <v>0.4</v>
      </c>
      <c r="D15" s="52">
        <f>+'25 上코모도(6-BB)(''25)'!D13+'24 下코모도(6-A)(''25)'!D13+'24 下코모도(6-C)(''25)'!D13</f>
        <v>29</v>
      </c>
      <c r="E15" s="52">
        <f>+'25 上코모도(6-BB)(''25)'!E13+'24 下코모도(6-A)(''25)'!E13+'24 下코모도(6-C)(''25)'!E13</f>
        <v>25</v>
      </c>
      <c r="F15" s="52">
        <f>+'25 上코모도(6-BB)(''25)'!F13+'24 下코모도(6-A)(''25)'!F13+'24 下코모도(6-C)(''25)'!F13</f>
        <v>10</v>
      </c>
      <c r="G15" s="52">
        <f>+'25 上코모도(6-BB)(''25)'!G13+'24 下코모도(6-A)(''25)'!G13+'24 下코모도(6-C)(''25)'!G13</f>
        <v>10</v>
      </c>
      <c r="H15" s="52">
        <f>+'25 上코모도(6-BB)(''25)'!H13+'24 下코모도(6-A)(''25)'!H13+'24 下코모도(6-C)(''25)'!H13</f>
        <v>0</v>
      </c>
      <c r="I15" s="52">
        <f>+'25 上코모도(6-BB)(''25)'!I13+'24 下코모도(6-A)(''25)'!I13+'24 下코모도(6-C)(''25)'!I13</f>
        <v>0</v>
      </c>
      <c r="J15" s="52">
        <f>+'25 上코모도(6-BB)(''25)'!J13+'24 下코모도(6-A)(''25)'!J13+'24 下코모도(6-C)(''25)'!J13</f>
        <v>0</v>
      </c>
      <c r="K15" s="52">
        <f>+'25 上코모도(6-BB)(''25)'!K13+'24 下코모도(6-A)(''25)'!K13+'24 下코모도(6-C)(''25)'!K13</f>
        <v>9</v>
      </c>
      <c r="L15" s="52">
        <f>+'25 上코모도(6-BB)(''25)'!L13+'24 下코모도(6-A)(''25)'!L13+'24 下코모도(6-C)(''25)'!L13</f>
        <v>7</v>
      </c>
      <c r="M15" s="52">
        <f>+'25 上코모도(6-BB)(''25)'!M13+'24 下코모도(6-A)(''25)'!M13+'24 下코모도(6-C)(''25)'!M13</f>
        <v>4</v>
      </c>
      <c r="N15" s="52">
        <f>+'25 上코모도(6-BB)(''25)'!N13+'24 下코모도(6-A)(''25)'!N13+'24 下코모도(6-C)(''25)'!N13</f>
        <v>3</v>
      </c>
      <c r="O15" s="52">
        <f>+'25 上코모도(6-BB)(''25)'!O13+'24 下코모도(6-A)(''25)'!O13+'24 下코모도(6-C)(''25)'!O13</f>
        <v>1</v>
      </c>
      <c r="P15" s="97">
        <f>+O15/D15</f>
        <v>3.4482758620689655E-2</v>
      </c>
      <c r="Q15" s="46">
        <f>+(G15*1+H15*2+I15*3+J15*4)/E15</f>
        <v>0.4</v>
      </c>
      <c r="R15" s="46">
        <f>+(F15+N15)/D15</f>
        <v>0.44827586206896552</v>
      </c>
      <c r="S15" s="58">
        <f>+R15+Q15</f>
        <v>0.84827586206896555</v>
      </c>
      <c r="T15" s="78">
        <f>O15/(D15-(F15+N15))</f>
        <v>6.25E-2</v>
      </c>
      <c r="U15" s="98">
        <f>RANK(R15,$R$4:$R$26)</f>
        <v>17</v>
      </c>
      <c r="V15" s="99">
        <f>RANK(S15,$S$4:$S$26)</f>
        <v>14</v>
      </c>
      <c r="W15" s="112">
        <f>RANK(C15,$C$4:$C$26)</f>
        <v>12</v>
      </c>
      <c r="X15" s="96"/>
      <c r="Y15" s="25">
        <f>+'24 下코모도(6-A)(''25)'!Y13+'24 下코모도(6-C)(''25)'!Y13</f>
        <v>3</v>
      </c>
      <c r="Z15" s="25">
        <f>+'24 下코모도(6-A)(''25)'!Z13+'24 下코모도(6-C)(''25)'!Z13</f>
        <v>0</v>
      </c>
      <c r="AA15" s="25">
        <f>+'24 下코모도(6-A)(''25)'!AA13+'24 下코모도(6-C)(''25)'!AA13</f>
        <v>0</v>
      </c>
      <c r="AB15" s="25">
        <f>+'24 下코모도(6-A)(''25)'!AB13+'24 下코모도(6-C)(''25)'!AB13</f>
        <v>0</v>
      </c>
      <c r="AC15" s="25">
        <f>+'24 下코모도(6-A)(''25)'!AC13+'24 下코모도(6-C)(''25)'!AC13</f>
        <v>0</v>
      </c>
    </row>
    <row r="16" spans="1:29" ht="19.5" customHeight="1" x14ac:dyDescent="0.3">
      <c r="A16" s="43" t="s">
        <v>60</v>
      </c>
      <c r="B16" s="52">
        <f>+'25 上코모도(6-BB)(''25)'!B18+'24 下코모도(6-A)(''25)'!B18+'24 下코모도(6-C)(''25)'!B18</f>
        <v>8</v>
      </c>
      <c r="C16" s="111">
        <f>+F16/E16</f>
        <v>0.36363636363636365</v>
      </c>
      <c r="D16" s="52">
        <f>+'25 上코모도(6-BB)(''25)'!D18+'24 下코모도(6-A)(''25)'!D18+'24 下코모도(6-C)(''25)'!D18</f>
        <v>16</v>
      </c>
      <c r="E16" s="52">
        <f>+'25 上코모도(6-BB)(''25)'!E18+'24 下코모도(6-A)(''25)'!E18+'24 下코모도(6-C)(''25)'!E18</f>
        <v>11</v>
      </c>
      <c r="F16" s="52">
        <f>+'25 上코모도(6-BB)(''25)'!F18+'24 下코모도(6-A)(''25)'!F18+'24 下코모도(6-C)(''25)'!F18</f>
        <v>4</v>
      </c>
      <c r="G16" s="52">
        <f>+'25 上코모도(6-BB)(''25)'!G18+'24 下코모도(6-A)(''25)'!G18+'24 下코모도(6-C)(''25)'!G18</f>
        <v>2</v>
      </c>
      <c r="H16" s="52">
        <f>+'25 上코모도(6-BB)(''25)'!H18+'24 下코모도(6-A)(''25)'!H18+'24 下코모도(6-C)(''25)'!H18</f>
        <v>2</v>
      </c>
      <c r="I16" s="52">
        <f>+'25 上코모도(6-BB)(''25)'!I18+'24 下코모도(6-A)(''25)'!I18+'24 下코모도(6-C)(''25)'!I18</f>
        <v>0</v>
      </c>
      <c r="J16" s="52">
        <f>+'25 上코모도(6-BB)(''25)'!J18+'24 下코모도(6-A)(''25)'!J18+'24 下코모도(6-C)(''25)'!J18</f>
        <v>0</v>
      </c>
      <c r="K16" s="52">
        <f>+'25 上코모도(6-BB)(''25)'!K18+'24 下코모도(6-A)(''25)'!K18+'24 下코모도(6-C)(''25)'!K18</f>
        <v>7</v>
      </c>
      <c r="L16" s="52">
        <f>+'25 上코모도(6-BB)(''25)'!L18+'24 下코모도(6-A)(''25)'!L18+'24 下코모도(6-C)(''25)'!L18</f>
        <v>3</v>
      </c>
      <c r="M16" s="52">
        <f>+'25 上코모도(6-BB)(''25)'!M18+'24 下코모도(6-A)(''25)'!M18+'24 下코모도(6-C)(''25)'!M18</f>
        <v>3</v>
      </c>
      <c r="N16" s="52">
        <f>+'25 上코모도(6-BB)(''25)'!N18+'24 下코모도(6-A)(''25)'!N18+'24 下코모도(6-C)(''25)'!N18</f>
        <v>5</v>
      </c>
      <c r="O16" s="52">
        <f>+'25 上코모도(6-BB)(''25)'!O18+'24 下코모도(6-A)(''25)'!O18+'24 下코모도(6-C)(''25)'!O18</f>
        <v>0</v>
      </c>
      <c r="P16" s="97">
        <f>+O16/D16</f>
        <v>0</v>
      </c>
      <c r="Q16" s="46">
        <f>+(G16*1+H16*2+I16*3+J16*4)/E16</f>
        <v>0.54545454545454541</v>
      </c>
      <c r="R16" s="46">
        <f>+(F16+N16)/D16</f>
        <v>0.5625</v>
      </c>
      <c r="S16" s="58">
        <f>+R16+Q16</f>
        <v>1.1079545454545454</v>
      </c>
      <c r="T16" s="78">
        <f>O16/(D16-(F16+N16))</f>
        <v>0</v>
      </c>
      <c r="U16" s="98">
        <f>RANK(R16,$R$4:$R$26)</f>
        <v>3</v>
      </c>
      <c r="V16" s="99">
        <f>RANK(S16,$S$4:$S$26)</f>
        <v>7</v>
      </c>
      <c r="W16" s="112">
        <f>RANK(C16,$C$4:$C$26)</f>
        <v>13</v>
      </c>
      <c r="X16" s="96"/>
      <c r="Y16" s="25">
        <f>+'24 下코모도(6-A)(''25)'!Y18+'24 下코모도(6-C)(''25)'!Y18</f>
        <v>1</v>
      </c>
      <c r="Z16" s="25">
        <f>+'24 下코모도(6-A)(''25)'!Z18+'24 下코모도(6-C)(''25)'!Z18</f>
        <v>0</v>
      </c>
      <c r="AA16" s="25">
        <f>+'24 下코모도(6-A)(''25)'!AA18+'24 下코모도(6-C)(''25)'!AA18</f>
        <v>0</v>
      </c>
      <c r="AB16" s="25">
        <f>+'24 下코모도(6-A)(''25)'!AB18+'24 下코모도(6-C)(''25)'!AB18</f>
        <v>0</v>
      </c>
      <c r="AC16" s="25">
        <f>+'24 下코모도(6-A)(''25)'!AC18+'24 下코모도(6-C)(''25)'!AC18</f>
        <v>0</v>
      </c>
    </row>
    <row r="17" spans="1:29" ht="19.5" customHeight="1" x14ac:dyDescent="0.3">
      <c r="A17" s="43" t="s">
        <v>23</v>
      </c>
      <c r="B17" s="52">
        <f>+'25 上코모도(6-BB)(''25)'!B15+'24 下코모도(6-A)(''25)'!B15+'24 下코모도(6-C)(''25)'!B15</f>
        <v>15</v>
      </c>
      <c r="C17" s="111">
        <f>+F17/E17</f>
        <v>0.33333333333333331</v>
      </c>
      <c r="D17" s="52">
        <f>+'25 上코모도(6-BB)(''25)'!D15+'24 下코모도(6-A)(''25)'!D15+'24 下코모도(6-C)(''25)'!D15</f>
        <v>29</v>
      </c>
      <c r="E17" s="52">
        <f>+'25 上코모도(6-BB)(''25)'!E15+'24 下코모도(6-A)(''25)'!E15+'24 下코모도(6-C)(''25)'!E15</f>
        <v>21</v>
      </c>
      <c r="F17" s="52">
        <f>+'25 上코모도(6-BB)(''25)'!F15+'24 下코모도(6-A)(''25)'!F15+'24 下코모도(6-C)(''25)'!F15</f>
        <v>7</v>
      </c>
      <c r="G17" s="52">
        <f>+'25 上코모도(6-BB)(''25)'!G15+'24 下코모도(6-A)(''25)'!G15+'24 下코모도(6-C)(''25)'!G15</f>
        <v>7</v>
      </c>
      <c r="H17" s="52">
        <f>+'25 上코모도(6-BB)(''25)'!H15+'24 下코모도(6-A)(''25)'!H15+'24 下코모도(6-C)(''25)'!H15</f>
        <v>0</v>
      </c>
      <c r="I17" s="52">
        <f>+'25 上코모도(6-BB)(''25)'!I15+'24 下코모도(6-A)(''25)'!I15+'24 下코모도(6-C)(''25)'!I15</f>
        <v>0</v>
      </c>
      <c r="J17" s="52">
        <f>+'25 上코모도(6-BB)(''25)'!J15+'24 下코모도(6-A)(''25)'!J15+'24 下코모도(6-C)(''25)'!J15</f>
        <v>0</v>
      </c>
      <c r="K17" s="52">
        <f>+'25 上코모도(6-BB)(''25)'!K15+'24 下코모도(6-A)(''25)'!K15+'24 下코모도(6-C)(''25)'!K15</f>
        <v>10</v>
      </c>
      <c r="L17" s="52">
        <f>+'25 上코모도(6-BB)(''25)'!L15+'24 下코모도(6-A)(''25)'!L15+'24 下코모도(6-C)(''25)'!L15</f>
        <v>4</v>
      </c>
      <c r="M17" s="52">
        <f>+'25 上코모도(6-BB)(''25)'!M15+'24 下코모도(6-A)(''25)'!M15+'24 下코모도(6-C)(''25)'!M15</f>
        <v>10</v>
      </c>
      <c r="N17" s="52">
        <f>+'25 上코모도(6-BB)(''25)'!N15+'24 下코모도(6-A)(''25)'!N15+'24 下코모도(6-C)(''25)'!N15</f>
        <v>7</v>
      </c>
      <c r="O17" s="52">
        <f>+'25 上코모도(6-BB)(''25)'!O15+'24 下코모도(6-A)(''25)'!O15+'24 下코모도(6-C)(''25)'!O15</f>
        <v>6</v>
      </c>
      <c r="P17" s="100">
        <f>+O17/D17</f>
        <v>0.20689655172413793</v>
      </c>
      <c r="Q17" s="46">
        <f>+(G17*1+H17*2+I17*3+J17*4)/E17</f>
        <v>0.33333333333333331</v>
      </c>
      <c r="R17" s="46">
        <f>+(F17+N17)/D17</f>
        <v>0.48275862068965519</v>
      </c>
      <c r="S17" s="58">
        <f>+R17+Q17</f>
        <v>0.81609195402298851</v>
      </c>
      <c r="T17" s="85">
        <f>O17/(D17-(F17+N17))</f>
        <v>0.4</v>
      </c>
      <c r="U17" s="98">
        <f>RANK(R17,$R$4:$R$26)</f>
        <v>15</v>
      </c>
      <c r="V17" s="99">
        <f>RANK(S17,$S$4:$S$26)</f>
        <v>15</v>
      </c>
      <c r="W17" s="112">
        <f>RANK(C17,$C$4:$C$26)</f>
        <v>14</v>
      </c>
      <c r="X17" s="96"/>
      <c r="Y17" s="25">
        <f>+'24 下코모도(6-A)(''25)'!Y15+'24 下코모도(6-C)(''25)'!Y15</f>
        <v>4</v>
      </c>
      <c r="Z17" s="25">
        <f>+'24 下코모도(6-A)(''25)'!Z15+'24 下코모도(6-C)(''25)'!Z15</f>
        <v>2</v>
      </c>
      <c r="AA17" s="25">
        <f>+'24 下코모도(6-A)(''25)'!AA15+'24 下코모도(6-C)(''25)'!AA15</f>
        <v>0</v>
      </c>
      <c r="AB17" s="25">
        <f>+'24 下코모도(6-A)(''25)'!AB15+'24 下코모도(6-C)(''25)'!AB15</f>
        <v>0</v>
      </c>
      <c r="AC17" s="25">
        <f>+'24 下코모도(6-A)(''25)'!AC15+'24 下코모도(6-C)(''25)'!AC15</f>
        <v>0</v>
      </c>
    </row>
    <row r="18" spans="1:29" ht="19.5" customHeight="1" x14ac:dyDescent="0.3">
      <c r="A18" s="43" t="s">
        <v>12</v>
      </c>
      <c r="B18" s="52">
        <f>+'25 上코모도(6-BB)(''25)'!B19+'24 下코모도(6-A)(''25)'!B19+'24 下코모도(6-C)(''25)'!B19</f>
        <v>15</v>
      </c>
      <c r="C18" s="111">
        <f>+F18/E18</f>
        <v>0.33333333333333331</v>
      </c>
      <c r="D18" s="52">
        <f>+'25 上코모도(6-BB)(''25)'!D19+'24 下코모도(6-A)(''25)'!D19+'24 下코모도(6-C)(''25)'!D19</f>
        <v>36</v>
      </c>
      <c r="E18" s="52">
        <f>+'25 上코모도(6-BB)(''25)'!E19+'24 下코모도(6-A)(''25)'!E19+'24 下코모도(6-C)(''25)'!E19</f>
        <v>30</v>
      </c>
      <c r="F18" s="52">
        <f>+'25 上코모도(6-BB)(''25)'!F19+'24 下코모도(6-A)(''25)'!F19+'24 下코모도(6-C)(''25)'!F19</f>
        <v>10</v>
      </c>
      <c r="G18" s="52">
        <f>+'25 上코모도(6-BB)(''25)'!G19+'24 下코모도(6-A)(''25)'!G19+'24 下코모도(6-C)(''25)'!G19</f>
        <v>9</v>
      </c>
      <c r="H18" s="52">
        <f>+'25 上코모도(6-BB)(''25)'!H19+'24 下코모도(6-A)(''25)'!H19+'24 下코모도(6-C)(''25)'!H19</f>
        <v>1</v>
      </c>
      <c r="I18" s="52">
        <f>+'25 上코모도(6-BB)(''25)'!I19+'24 下코모도(6-A)(''25)'!I19+'24 下코모도(6-C)(''25)'!I19</f>
        <v>0</v>
      </c>
      <c r="J18" s="52">
        <f>+'25 上코모도(6-BB)(''25)'!J19+'24 下코모도(6-A)(''25)'!J19+'24 下코모도(6-C)(''25)'!J19</f>
        <v>0</v>
      </c>
      <c r="K18" s="52">
        <f>+'25 上코모도(6-BB)(''25)'!K19+'24 下코모도(6-A)(''25)'!K19+'24 下코모도(6-C)(''25)'!K19</f>
        <v>6</v>
      </c>
      <c r="L18" s="52">
        <f>+'25 上코모도(6-BB)(''25)'!L19+'24 下코모도(6-A)(''25)'!L19+'24 下코모도(6-C)(''25)'!L19</f>
        <v>6</v>
      </c>
      <c r="M18" s="52">
        <f>+'25 上코모도(6-BB)(''25)'!M19+'24 下코모도(6-A)(''25)'!M19+'24 下코모도(6-C)(''25)'!M19</f>
        <v>3</v>
      </c>
      <c r="N18" s="52">
        <f>+'25 上코모도(6-BB)(''25)'!N19+'24 下코모도(6-A)(''25)'!N19+'24 下코모도(6-C)(''25)'!N19</f>
        <v>4</v>
      </c>
      <c r="O18" s="52">
        <f>+'25 上코모도(6-BB)(''25)'!O19+'24 下코모도(6-A)(''25)'!O19+'24 下코모도(6-C)(''25)'!O19</f>
        <v>6</v>
      </c>
      <c r="P18" s="97">
        <f>+O18/D18</f>
        <v>0.16666666666666666</v>
      </c>
      <c r="Q18" s="46">
        <f>+(G18*1+H18*2+I18*3+J18*4)/E18</f>
        <v>0.36666666666666664</v>
      </c>
      <c r="R18" s="46">
        <f>+(F18+N18)/D18</f>
        <v>0.3888888888888889</v>
      </c>
      <c r="S18" s="58">
        <f>+R18+Q18</f>
        <v>0.75555555555555554</v>
      </c>
      <c r="T18" s="78">
        <f>O18/(D18-(F18+N18))</f>
        <v>0.27272727272727271</v>
      </c>
      <c r="U18" s="98">
        <f>RANK(R18,$R$4:$R$26)</f>
        <v>18</v>
      </c>
      <c r="V18" s="99">
        <f>RANK(S18,$S$4:$S$26)</f>
        <v>19</v>
      </c>
      <c r="W18" s="112">
        <f>RANK(C18,$C$4:$C$26)</f>
        <v>14</v>
      </c>
      <c r="X18" s="96"/>
      <c r="Y18" s="25">
        <f>+'24 下코모도(6-A)(''25)'!Y19+'24 下코모도(6-C)(''25)'!Y19</f>
        <v>3</v>
      </c>
      <c r="Z18" s="25">
        <f>+'24 下코모도(6-A)(''25)'!Z19+'24 下코모도(6-C)(''25)'!Z19</f>
        <v>0</v>
      </c>
      <c r="AA18" s="25">
        <f>+'24 下코모도(6-A)(''25)'!AA19+'24 下코모도(6-C)(''25)'!AA19</f>
        <v>0</v>
      </c>
      <c r="AB18" s="25">
        <f>+'24 下코모도(6-A)(''25)'!AB19+'24 下코모도(6-C)(''25)'!AB19</f>
        <v>0</v>
      </c>
      <c r="AC18" s="25">
        <f>+'24 下코모도(6-A)(''25)'!AC19+'24 下코모도(6-C)(''25)'!AC19</f>
        <v>0</v>
      </c>
    </row>
    <row r="19" spans="1:29" ht="19.5" customHeight="1" x14ac:dyDescent="0.3">
      <c r="A19" s="43" t="s">
        <v>153</v>
      </c>
      <c r="B19" s="52">
        <f>+'25 上코모도(6-BB)(''25)'!B25+'24 下코모도(6-A)(''25)'!B25+'24 下코모도(6-C)(''25)'!B25</f>
        <v>8</v>
      </c>
      <c r="C19" s="111">
        <f>+F19/E19</f>
        <v>0.3</v>
      </c>
      <c r="D19" s="52">
        <f>+'25 上코모도(6-BB)(''25)'!D25+'24 下코모도(6-A)(''25)'!D25+'24 下코모도(6-C)(''25)'!D25</f>
        <v>25</v>
      </c>
      <c r="E19" s="52">
        <f>+'25 上코모도(6-BB)(''25)'!E25+'24 下코모도(6-A)(''25)'!E25+'24 下코모도(6-C)(''25)'!E25</f>
        <v>20</v>
      </c>
      <c r="F19" s="52">
        <f>+'25 上코모도(6-BB)(''25)'!F25+'24 下코모도(6-A)(''25)'!F25+'24 下코모도(6-C)(''25)'!F25</f>
        <v>6</v>
      </c>
      <c r="G19" s="52">
        <f>+'25 上코모도(6-BB)(''25)'!G25+'24 下코모도(6-A)(''25)'!G25+'24 下코모도(6-C)(''25)'!G25</f>
        <v>3</v>
      </c>
      <c r="H19" s="52">
        <f>+'25 上코모도(6-BB)(''25)'!H25+'24 下코모도(6-A)(''25)'!H25+'24 下코모도(6-C)(''25)'!H25</f>
        <v>1</v>
      </c>
      <c r="I19" s="52">
        <f>+'25 上코모도(6-BB)(''25)'!I25+'24 下코모도(6-A)(''25)'!I25+'24 下코모도(6-C)(''25)'!I25</f>
        <v>1</v>
      </c>
      <c r="J19" s="52">
        <f>+'25 上코모도(6-BB)(''25)'!J25+'24 下코모도(6-A)(''25)'!J25+'24 下코모도(6-C)(''25)'!J25</f>
        <v>1</v>
      </c>
      <c r="K19" s="52">
        <f>+'25 上코모도(6-BB)(''25)'!K25+'24 下코모도(6-A)(''25)'!K25+'24 下코모도(6-C)(''25)'!K25</f>
        <v>7</v>
      </c>
      <c r="L19" s="52">
        <f>+'25 上코모도(6-BB)(''25)'!L25+'24 下코모도(6-A)(''25)'!L25+'24 下코모도(6-C)(''25)'!L25</f>
        <v>10</v>
      </c>
      <c r="M19" s="52">
        <f>+'25 上코모도(6-BB)(''25)'!M25+'24 下코모도(6-A)(''25)'!M25+'24 下코모도(6-C)(''25)'!M25</f>
        <v>5</v>
      </c>
      <c r="N19" s="52">
        <f>+'25 上코모도(6-BB)(''25)'!N25+'24 下코모도(6-A)(''25)'!N25+'24 下코모도(6-C)(''25)'!N25</f>
        <v>3</v>
      </c>
      <c r="O19" s="52">
        <f>+'25 上코모도(6-BB)(''25)'!O25+'24 下코모도(6-A)(''25)'!O25+'24 下코모도(6-C)(''25)'!O25</f>
        <v>3</v>
      </c>
      <c r="P19" s="97">
        <f>+O19/D19</f>
        <v>0.12</v>
      </c>
      <c r="Q19" s="46">
        <f>+(G19*1+H19*2+I19*3+J19*4)/E19</f>
        <v>0.6</v>
      </c>
      <c r="R19" s="46">
        <f>+(F19+N19)/D19</f>
        <v>0.36</v>
      </c>
      <c r="S19" s="58">
        <f>+R19+Q19</f>
        <v>0.96</v>
      </c>
      <c r="T19" s="78">
        <f>O19/(D19-(F19+N19))</f>
        <v>0.1875</v>
      </c>
      <c r="U19" s="98">
        <f>RANK(R19,$R$4:$R$26)</f>
        <v>20</v>
      </c>
      <c r="V19" s="99">
        <f>RANK(S19,$S$4:$S$26)</f>
        <v>13</v>
      </c>
      <c r="W19" s="112">
        <f>RANK(C19,$C$4:$C$26)</f>
        <v>16</v>
      </c>
      <c r="X19" s="96"/>
      <c r="Y19" s="25"/>
      <c r="Z19" s="25"/>
      <c r="AA19" s="25"/>
      <c r="AB19" s="25"/>
      <c r="AC19" s="25"/>
    </row>
    <row r="20" spans="1:29" ht="19.5" customHeight="1" x14ac:dyDescent="0.3">
      <c r="A20" s="43" t="s">
        <v>50</v>
      </c>
      <c r="B20" s="52">
        <f>+'25 上코모도(6-BB)(''25)'!B16+'24 下코모도(6-A)(''25)'!B16+'24 下코모도(6-C)(''25)'!B16</f>
        <v>9</v>
      </c>
      <c r="C20" s="111">
        <f>+F20/E20</f>
        <v>0.29411764705882354</v>
      </c>
      <c r="D20" s="52">
        <f>+'25 上코모도(6-BB)(''25)'!D16+'24 下코모도(6-A)(''25)'!D16+'24 下코모도(6-C)(''25)'!D16</f>
        <v>20</v>
      </c>
      <c r="E20" s="52">
        <f>+'25 上코모도(6-BB)(''25)'!E16+'24 下코모도(6-A)(''25)'!E16+'24 下코모도(6-C)(''25)'!E16</f>
        <v>17</v>
      </c>
      <c r="F20" s="52">
        <f>+'25 上코모도(6-BB)(''25)'!F16+'24 下코모도(6-A)(''25)'!F16+'24 下코모도(6-C)(''25)'!F16</f>
        <v>5</v>
      </c>
      <c r="G20" s="52">
        <f>+'25 上코모도(6-BB)(''25)'!G16+'24 下코모도(6-A)(''25)'!G16+'24 下코모도(6-C)(''25)'!G16</f>
        <v>5</v>
      </c>
      <c r="H20" s="52">
        <f>+'25 上코모도(6-BB)(''25)'!H16+'24 下코모도(6-A)(''25)'!H16+'24 下코모도(6-C)(''25)'!H16</f>
        <v>0</v>
      </c>
      <c r="I20" s="52">
        <f>+'25 上코모도(6-BB)(''25)'!I16+'24 下코모도(6-A)(''25)'!I16+'24 下코모도(6-C)(''25)'!I16</f>
        <v>0</v>
      </c>
      <c r="J20" s="52">
        <f>+'25 上코모도(6-BB)(''25)'!J16+'24 下코모도(6-A)(''25)'!J16+'24 下코모도(6-C)(''25)'!J16</f>
        <v>0</v>
      </c>
      <c r="K20" s="52">
        <f>+'25 上코모도(6-BB)(''25)'!K16+'24 下코모도(6-A)(''25)'!K16+'24 下코모도(6-C)(''25)'!K16</f>
        <v>4</v>
      </c>
      <c r="L20" s="52">
        <f>+'25 上코모도(6-BB)(''25)'!L16+'24 下코모도(6-A)(''25)'!L16+'24 下코모도(6-C)(''25)'!L16</f>
        <v>2</v>
      </c>
      <c r="M20" s="52">
        <f>+'25 上코모도(6-BB)(''25)'!M16+'24 下코모도(6-A)(''25)'!M16+'24 下코모도(6-C)(''25)'!M16</f>
        <v>3</v>
      </c>
      <c r="N20" s="52">
        <f>+'25 上코모도(6-BB)(''25)'!N16+'24 下코모도(6-A)(''25)'!N16+'24 下코모도(6-C)(''25)'!N16</f>
        <v>2</v>
      </c>
      <c r="O20" s="52">
        <f>+'25 上코모도(6-BB)(''25)'!O16+'24 下코모도(6-A)(''25)'!O16+'24 下코모도(6-C)(''25)'!O16</f>
        <v>2</v>
      </c>
      <c r="P20" s="97">
        <f>+O20/D20</f>
        <v>0.1</v>
      </c>
      <c r="Q20" s="46">
        <f>+(G20*1+H20*2+I20*3+J20*4)/E20</f>
        <v>0.29411764705882354</v>
      </c>
      <c r="R20" s="46">
        <f>+(F20+N20)/D20</f>
        <v>0.35</v>
      </c>
      <c r="S20" s="58">
        <f>+R20+Q20</f>
        <v>0.64411764705882346</v>
      </c>
      <c r="T20" s="78">
        <f>O20/(D20-(F20+N20))</f>
        <v>0.15384615384615385</v>
      </c>
      <c r="U20" s="98">
        <f>RANK(R20,$R$4:$R$26)</f>
        <v>21</v>
      </c>
      <c r="V20" s="99">
        <f>RANK(S20,$S$4:$S$26)</f>
        <v>20</v>
      </c>
      <c r="W20" s="112">
        <f>RANK(C20,$C$4:$C$26)</f>
        <v>17</v>
      </c>
      <c r="X20" s="96"/>
      <c r="Y20" s="25">
        <f>+'24 下코모도(6-A)(''25)'!Y16+'24 下코모도(6-C)(''25)'!Y16</f>
        <v>2</v>
      </c>
      <c r="Z20" s="25">
        <f>+'24 下코모도(6-A)(''25)'!Z16+'24 下코모도(6-C)(''25)'!Z16</f>
        <v>0</v>
      </c>
      <c r="AA20" s="25">
        <f>+'24 下코모도(6-A)(''25)'!AA16+'24 下코모도(6-C)(''25)'!AA16</f>
        <v>0</v>
      </c>
      <c r="AB20" s="25">
        <f>+'24 下코모도(6-A)(''25)'!AB16+'24 下코모도(6-C)(''25)'!AB16</f>
        <v>0</v>
      </c>
      <c r="AC20" s="25">
        <f>+'24 下코모도(6-A)(''25)'!AC16+'24 下코모도(6-C)(''25)'!AC16</f>
        <v>0</v>
      </c>
    </row>
    <row r="21" spans="1:29" ht="19.5" customHeight="1" x14ac:dyDescent="0.3">
      <c r="A21" s="43" t="s">
        <v>54</v>
      </c>
      <c r="B21" s="52">
        <f>+'25 上코모도(6-BB)(''25)'!B26+'24 下코모도(6-A)(''25)'!B26+'24 下코모도(6-C)(''25)'!B26</f>
        <v>16</v>
      </c>
      <c r="C21" s="111">
        <f>+F21/E21</f>
        <v>0.27777777777777779</v>
      </c>
      <c r="D21" s="52">
        <f>+'25 上코모도(6-BB)(''25)'!D26+'24 下코모도(6-A)(''25)'!D26+'24 下코모도(6-C)(''25)'!D26</f>
        <v>47</v>
      </c>
      <c r="E21" s="52">
        <f>+'25 上코모도(6-BB)(''25)'!E26+'24 下코모도(6-A)(''25)'!E26+'24 下코모도(6-C)(''25)'!E26</f>
        <v>36</v>
      </c>
      <c r="F21" s="52">
        <f>+'25 上코모도(6-BB)(''25)'!F26+'24 下코모도(6-A)(''25)'!F26+'24 下코모도(6-C)(''25)'!F26</f>
        <v>10</v>
      </c>
      <c r="G21" s="52">
        <f>+'25 上코모도(6-BB)(''25)'!G26+'24 下코모도(6-A)(''25)'!G26+'24 下코모도(6-C)(''25)'!G26</f>
        <v>6</v>
      </c>
      <c r="H21" s="52">
        <f>+'25 上코모도(6-BB)(''25)'!H26+'24 下코모도(6-A)(''25)'!H26+'24 下코모도(6-C)(''25)'!H26</f>
        <v>3</v>
      </c>
      <c r="I21" s="52">
        <f>+'25 上코모도(6-BB)(''25)'!I26+'24 下코모도(6-A)(''25)'!I26+'24 下코모도(6-C)(''25)'!I26</f>
        <v>1</v>
      </c>
      <c r="J21" s="52">
        <f>+'25 上코모도(6-BB)(''25)'!J26+'24 下코모도(6-A)(''25)'!J26+'24 下코모도(6-C)(''25)'!J26</f>
        <v>0</v>
      </c>
      <c r="K21" s="52">
        <f>+'25 上코모도(6-BB)(''25)'!K26+'24 下코모도(6-A)(''25)'!K26+'24 下코모도(6-C)(''25)'!K26</f>
        <v>14</v>
      </c>
      <c r="L21" s="52">
        <f>+'25 上코모도(6-BB)(''25)'!L26+'24 下코모도(6-A)(''25)'!L26+'24 下코모도(6-C)(''25)'!L26</f>
        <v>11</v>
      </c>
      <c r="M21" s="52">
        <f>+'25 上코모도(6-BB)(''25)'!M26+'24 下코모도(6-A)(''25)'!M26+'24 下코모도(6-C)(''25)'!M26</f>
        <v>11</v>
      </c>
      <c r="N21" s="52">
        <f>+'25 上코모도(6-BB)(''25)'!N26+'24 下코모도(6-A)(''25)'!N26+'24 下코모도(6-C)(''25)'!N26</f>
        <v>8</v>
      </c>
      <c r="O21" s="52">
        <f>+'25 上코모도(6-BB)(''25)'!O26+'24 下코모도(6-A)(''25)'!O26+'24 下코모도(6-C)(''25)'!O26</f>
        <v>6</v>
      </c>
      <c r="P21" s="97">
        <f>+O21/D21</f>
        <v>0.1276595744680851</v>
      </c>
      <c r="Q21" s="46">
        <f>+(G21*1+H21*2+I21*3+J21*4)/E21</f>
        <v>0.41666666666666669</v>
      </c>
      <c r="R21" s="46">
        <f>+(F21+N21)/D21</f>
        <v>0.38297872340425532</v>
      </c>
      <c r="S21" s="58">
        <f>+R21+Q21</f>
        <v>0.79964539007092195</v>
      </c>
      <c r="T21" s="78">
        <f>O21/(D21-(F21+N21))</f>
        <v>0.20689655172413793</v>
      </c>
      <c r="U21" s="98">
        <f>RANK(R21,$R$4:$R$26)</f>
        <v>19</v>
      </c>
      <c r="V21" s="99">
        <f>RANK(S21,$S$4:$S$26)</f>
        <v>16</v>
      </c>
      <c r="W21" s="112">
        <f>RANK(C21,$C$4:$C$26)</f>
        <v>18</v>
      </c>
      <c r="X21" s="96"/>
      <c r="Y21" s="25">
        <f>+'24 下코모도(6-A)(''25)'!Y26+'24 下코모도(6-C)(''25)'!Y26</f>
        <v>6</v>
      </c>
      <c r="Z21" s="25">
        <f>+'24 下코모도(6-A)(''25)'!Z26+'24 下코모도(6-C)(''25)'!Z26</f>
        <v>0</v>
      </c>
      <c r="AA21" s="25">
        <f>+'24 下코모도(6-A)(''25)'!AA26+'24 下코모도(6-C)(''25)'!AA26</f>
        <v>2</v>
      </c>
      <c r="AB21" s="25">
        <f>+'24 下코모도(6-A)(''25)'!AB26+'24 下코모도(6-C)(''25)'!AB26</f>
        <v>0</v>
      </c>
      <c r="AC21" s="25">
        <f>+'24 下코모도(6-A)(''25)'!AC26+'24 下코모도(6-C)(''25)'!AC26</f>
        <v>0</v>
      </c>
    </row>
    <row r="22" spans="1:29" ht="19.5" customHeight="1" x14ac:dyDescent="0.3">
      <c r="A22" s="43" t="s">
        <v>138</v>
      </c>
      <c r="B22" s="52">
        <f>+'25 上코모도(6-BB)(''25)'!B10+'24 下코모도(6-A)(''25)'!B10+'24 下코모도(6-C)(''25)'!B10</f>
        <v>8</v>
      </c>
      <c r="C22" s="111">
        <f>+F22/E22</f>
        <v>0.27272727272727271</v>
      </c>
      <c r="D22" s="52">
        <f>+'25 上코모도(6-BB)(''25)'!D10+'24 下코모도(6-A)(''25)'!D10+'24 下코모도(6-C)(''25)'!D10</f>
        <v>16</v>
      </c>
      <c r="E22" s="52">
        <f>+'25 上코모도(6-BB)(''25)'!E10+'24 下코모도(6-A)(''25)'!E10+'24 下코모도(6-C)(''25)'!E10</f>
        <v>11</v>
      </c>
      <c r="F22" s="52">
        <f>+'25 上코모도(6-BB)(''25)'!F10+'24 下코모도(6-A)(''25)'!F10+'24 下코모도(6-C)(''25)'!F10</f>
        <v>3</v>
      </c>
      <c r="G22" s="52">
        <f>+'25 上코모도(6-BB)(''25)'!G10+'24 下코모도(6-A)(''25)'!G10+'24 下코모도(6-C)(''25)'!G10</f>
        <v>3</v>
      </c>
      <c r="H22" s="52">
        <f>+'25 上코모도(6-BB)(''25)'!H10+'24 下코모도(6-A)(''25)'!H10+'24 下코모도(6-C)(''25)'!H10</f>
        <v>0</v>
      </c>
      <c r="I22" s="52">
        <f>+'25 上코모도(6-BB)(''25)'!I10+'24 下코모도(6-A)(''25)'!I10+'24 下코모도(6-C)(''25)'!I10</f>
        <v>0</v>
      </c>
      <c r="J22" s="52">
        <f>+'25 上코모도(6-BB)(''25)'!J10+'24 下코모도(6-A)(''25)'!J10+'24 下코모도(6-C)(''25)'!J10</f>
        <v>0</v>
      </c>
      <c r="K22" s="52">
        <f>+'25 上코모도(6-BB)(''25)'!K10+'24 下코모도(6-A)(''25)'!K10+'24 下코모도(6-C)(''25)'!K10</f>
        <v>4</v>
      </c>
      <c r="L22" s="52">
        <f>+'25 上코모도(6-BB)(''25)'!L10+'24 下코모도(6-A)(''25)'!L10+'24 下코모도(6-C)(''25)'!L10</f>
        <v>4</v>
      </c>
      <c r="M22" s="52">
        <f>+'25 上코모도(6-BB)(''25)'!M10+'24 下코모도(6-A)(''25)'!M10+'24 下코모도(6-C)(''25)'!M10</f>
        <v>6</v>
      </c>
      <c r="N22" s="52">
        <f>+'25 上코모도(6-BB)(''25)'!N10+'24 下코모도(6-A)(''25)'!N10+'24 下코모도(6-C)(''25)'!N10</f>
        <v>5</v>
      </c>
      <c r="O22" s="52">
        <f>+'25 上코모도(6-BB)(''25)'!O10+'24 下코모도(6-A)(''25)'!O10+'24 下코모도(6-C)(''25)'!O10</f>
        <v>5</v>
      </c>
      <c r="P22" s="97">
        <f>+O22/D22</f>
        <v>0.3125</v>
      </c>
      <c r="Q22" s="46">
        <f>+(G22*1+H22*2+I22*3+J22*4)/E22</f>
        <v>0.27272727272727271</v>
      </c>
      <c r="R22" s="46">
        <f>+(F22+N22)/D22</f>
        <v>0.5</v>
      </c>
      <c r="S22" s="58">
        <f>+R22+Q22</f>
        <v>0.77272727272727271</v>
      </c>
      <c r="T22" s="78">
        <f>O22/(D22-(F22+N22))</f>
        <v>0.625</v>
      </c>
      <c r="U22" s="98">
        <f>RANK(R22,$R$4:$R$26)</f>
        <v>11</v>
      </c>
      <c r="V22" s="99">
        <f>RANK(S22,$S$4:$S$26)</f>
        <v>17</v>
      </c>
      <c r="W22" s="112">
        <f>RANK(C22,$C$4:$C$26)</f>
        <v>19</v>
      </c>
      <c r="X22" s="96"/>
      <c r="Y22" s="25">
        <f>+'24 下코모도(6-A)(''25)'!Y10+'24 下코모도(6-C)(''25)'!Y10</f>
        <v>5</v>
      </c>
      <c r="Z22" s="25">
        <f>+'24 下코모도(6-A)(''25)'!Z10+'24 下코모도(6-C)(''25)'!Z10</f>
        <v>0</v>
      </c>
      <c r="AA22" s="25">
        <f>+'24 下코모도(6-A)(''25)'!AA10+'24 下코모도(6-C)(''25)'!AA10</f>
        <v>0</v>
      </c>
      <c r="AB22" s="25">
        <f>+'24 下코모도(6-A)(''25)'!AB10+'24 下코모도(6-C)(''25)'!AB10</f>
        <v>0</v>
      </c>
      <c r="AC22" s="25">
        <f>+'24 下코모도(6-A)(''25)'!AC10+'24 下코모도(6-C)(''25)'!AC10</f>
        <v>0</v>
      </c>
    </row>
    <row r="23" spans="1:29" ht="19.5" customHeight="1" x14ac:dyDescent="0.3">
      <c r="A23" s="43" t="s">
        <v>47</v>
      </c>
      <c r="B23" s="52">
        <f>+'25 上코모도(6-BB)(''25)'!B23+'24 下코모도(6-A)(''25)'!B23+'24 下코모도(6-C)(''25)'!B23</f>
        <v>6</v>
      </c>
      <c r="C23" s="111">
        <f>+F23/E23</f>
        <v>0.2</v>
      </c>
      <c r="D23" s="52">
        <f>+'25 上코모도(6-BB)(''25)'!D23+'24 下코모도(6-A)(''25)'!D23+'24 下코모도(6-C)(''25)'!D23</f>
        <v>15</v>
      </c>
      <c r="E23" s="52">
        <f>+'25 上코모도(6-BB)(''25)'!E23+'24 下코모도(6-A)(''25)'!E23+'24 下코모도(6-C)(''25)'!E23</f>
        <v>10</v>
      </c>
      <c r="F23" s="52">
        <f>+'25 上코모도(6-BB)(''25)'!F23+'24 下코모도(6-A)(''25)'!F23+'24 下코모도(6-C)(''25)'!F23</f>
        <v>2</v>
      </c>
      <c r="G23" s="52">
        <f>+'25 上코모도(6-BB)(''25)'!G23+'24 下코모도(6-A)(''25)'!G23+'24 下코모도(6-C)(''25)'!G23</f>
        <v>1</v>
      </c>
      <c r="H23" s="52">
        <f>+'25 上코모도(6-BB)(''25)'!H23+'24 下코모도(6-A)(''25)'!H23+'24 下코모도(6-C)(''25)'!H23</f>
        <v>1</v>
      </c>
      <c r="I23" s="52">
        <f>+'25 上코모도(6-BB)(''25)'!I23+'24 下코모도(6-A)(''25)'!I23+'24 下코모도(6-C)(''25)'!I23</f>
        <v>0</v>
      </c>
      <c r="J23" s="52">
        <f>+'25 上코모도(6-BB)(''25)'!J23+'24 下코모도(6-A)(''25)'!J23+'24 下코모도(6-C)(''25)'!J23</f>
        <v>0</v>
      </c>
      <c r="K23" s="52">
        <f>+'25 上코모도(6-BB)(''25)'!K23+'24 下코모도(6-A)(''25)'!K23+'24 下코모도(6-C)(''25)'!K23</f>
        <v>2</v>
      </c>
      <c r="L23" s="52">
        <f>+'25 上코모도(6-BB)(''25)'!L23+'24 下코모도(6-A)(''25)'!L23+'24 下코모도(6-C)(''25)'!L23</f>
        <v>0</v>
      </c>
      <c r="M23" s="52">
        <f>+'25 上코모도(6-BB)(''25)'!M23+'24 下코모도(6-A)(''25)'!M23+'24 下코모도(6-C)(''25)'!M23</f>
        <v>1</v>
      </c>
      <c r="N23" s="52">
        <f>+'25 上코모도(6-BB)(''25)'!N23+'24 下코모도(6-A)(''25)'!N23+'24 下코모도(6-C)(''25)'!N23</f>
        <v>5</v>
      </c>
      <c r="O23" s="52">
        <f>+'25 上코모도(6-BB)(''25)'!O23+'24 下코모도(6-A)(''25)'!O23+'24 下코모도(6-C)(''25)'!O23</f>
        <v>4</v>
      </c>
      <c r="P23" s="97">
        <f>+O23/D23</f>
        <v>0.26666666666666666</v>
      </c>
      <c r="Q23" s="46">
        <f>+(G23*1+H23*2+I23*3+J23*4)/E23</f>
        <v>0.3</v>
      </c>
      <c r="R23" s="46">
        <f>+(F23+N23)/D23</f>
        <v>0.46666666666666667</v>
      </c>
      <c r="S23" s="58">
        <f>+R23+Q23</f>
        <v>0.76666666666666661</v>
      </c>
      <c r="T23" s="85">
        <f>O23/(D23-(F23+N23))</f>
        <v>0.5</v>
      </c>
      <c r="U23" s="98">
        <f>RANK(R23,$R$4:$R$26)</f>
        <v>16</v>
      </c>
      <c r="V23" s="99">
        <f>RANK(S23,$S$4:$S$26)</f>
        <v>18</v>
      </c>
      <c r="W23" s="112">
        <f>RANK(C23,$C$4:$C$26)</f>
        <v>20</v>
      </c>
      <c r="X23" s="96"/>
      <c r="Y23" s="25">
        <f>+'24 下코모도(6-A)(''25)'!Y23+'24 下코모도(6-C)(''25)'!Y23</f>
        <v>5</v>
      </c>
      <c r="Z23" s="25">
        <f>+'24 下코모도(6-A)(''25)'!Z23+'24 下코모도(6-C)(''25)'!Z23</f>
        <v>0</v>
      </c>
      <c r="AA23" s="25">
        <f>+'24 下코모도(6-A)(''25)'!AA23+'24 下코모도(6-C)(''25)'!AA23</f>
        <v>0</v>
      </c>
      <c r="AB23" s="25">
        <f>+'24 下코모도(6-A)(''25)'!AB23+'24 下코모도(6-C)(''25)'!AB23</f>
        <v>0</v>
      </c>
      <c r="AC23" s="25">
        <f>+'24 下코모도(6-A)(''25)'!AC23+'24 下코모도(6-C)(''25)'!AC23</f>
        <v>0</v>
      </c>
    </row>
    <row r="24" spans="1:29" ht="19.5" customHeight="1" x14ac:dyDescent="0.3">
      <c r="A24" s="43" t="s">
        <v>34</v>
      </c>
      <c r="B24" s="52">
        <f>+'25 上코모도(6-BB)(''25)'!B5+'24 下코모도(6-A)(''25)'!B5+'24 下코모도(6-C)(''25)'!B5</f>
        <v>8</v>
      </c>
      <c r="C24" s="111">
        <f>+F24/E24</f>
        <v>0.1111111111111111</v>
      </c>
      <c r="D24" s="52">
        <f>+'25 上코모도(6-BB)(''25)'!D5+'24 下코모도(6-A)(''25)'!D5+'24 下코모도(6-C)(''25)'!D5</f>
        <v>16</v>
      </c>
      <c r="E24" s="52">
        <f>+'25 上코모도(6-BB)(''25)'!E5+'24 下코모도(6-A)(''25)'!E5+'24 下코모도(6-C)(''25)'!E5</f>
        <v>9</v>
      </c>
      <c r="F24" s="52">
        <f>+'25 上코모도(6-BB)(''25)'!F5+'24 下코모도(6-A)(''25)'!F5+'24 下코모도(6-C)(''25)'!F5</f>
        <v>1</v>
      </c>
      <c r="G24" s="52">
        <f>+'25 上코모도(6-BB)(''25)'!G5+'24 下코모도(6-A)(''25)'!G5+'24 下코모도(6-C)(''25)'!G5</f>
        <v>1</v>
      </c>
      <c r="H24" s="52">
        <f>+'25 上코모도(6-BB)(''25)'!H5+'24 下코모도(6-A)(''25)'!H5+'24 下코모도(6-C)(''25)'!H5</f>
        <v>0</v>
      </c>
      <c r="I24" s="52">
        <f>+'25 上코모도(6-BB)(''25)'!I5+'24 下코모도(6-A)(''25)'!I5+'24 下코모도(6-C)(''25)'!I5</f>
        <v>0</v>
      </c>
      <c r="J24" s="52">
        <f>+'25 上코모도(6-BB)(''25)'!J5+'24 下코모도(6-A)(''25)'!J5+'24 下코모도(6-C)(''25)'!J5</f>
        <v>0</v>
      </c>
      <c r="K24" s="52">
        <f>+'25 上코모도(6-BB)(''25)'!K5+'24 下코모도(6-A)(''25)'!K5+'24 下코모도(6-C)(''25)'!K5</f>
        <v>3</v>
      </c>
      <c r="L24" s="52">
        <f>+'25 上코모도(6-BB)(''25)'!L5+'24 下코모도(6-A)(''25)'!L5+'24 下코모도(6-C)(''25)'!L5</f>
        <v>1</v>
      </c>
      <c r="M24" s="52">
        <f>+'25 上코모도(6-BB)(''25)'!M5+'24 下코모도(6-A)(''25)'!M5+'24 下코모도(6-C)(''25)'!M5</f>
        <v>1</v>
      </c>
      <c r="N24" s="52">
        <f>+'25 上코모도(6-BB)(''25)'!N5+'24 下코모도(6-A)(''25)'!N5+'24 下코모도(6-C)(''25)'!N5</f>
        <v>7</v>
      </c>
      <c r="O24" s="52">
        <f>+'25 上코모도(6-BB)(''25)'!O5+'24 下코모도(6-A)(''25)'!O5+'24 下코모도(6-C)(''25)'!O5</f>
        <v>6</v>
      </c>
      <c r="P24" s="100">
        <f>+O24/D24</f>
        <v>0.375</v>
      </c>
      <c r="Q24" s="46">
        <f>+(G24*1+H24*2+I24*3+J24*4)/E24</f>
        <v>0.1111111111111111</v>
      </c>
      <c r="R24" s="46">
        <f>+(F24+N24)/D24</f>
        <v>0.5</v>
      </c>
      <c r="S24" s="58">
        <f>+R24+Q24</f>
        <v>0.61111111111111116</v>
      </c>
      <c r="T24" s="85">
        <f>O24/(D24-(F24+N24))</f>
        <v>0.75</v>
      </c>
      <c r="U24" s="98">
        <f>RANK(R24,$R$4:$R$26)</f>
        <v>11</v>
      </c>
      <c r="V24" s="99">
        <f>RANK(S24,$S$4:$S$26)</f>
        <v>21</v>
      </c>
      <c r="W24" s="112">
        <f>RANK(C24,$C$4:$C$26)</f>
        <v>21</v>
      </c>
      <c r="X24" s="96"/>
      <c r="Y24" s="25">
        <f>+'24 下코모도(6-A)(''25)'!Y5+'24 下코모도(6-C)(''25)'!Y5</f>
        <v>4</v>
      </c>
      <c r="Z24" s="25">
        <f>+'24 下코모도(6-A)(''25)'!Z5+'24 下코모도(6-C)(''25)'!Z5</f>
        <v>3</v>
      </c>
      <c r="AA24" s="25">
        <f>+'24 下코모도(6-A)(''25)'!AA5+'24 下코모도(6-C)(''25)'!AA5</f>
        <v>0</v>
      </c>
      <c r="AB24" s="25">
        <f>+'24 下코모도(6-A)(''25)'!AB5+'24 下코모도(6-C)(''25)'!AB5</f>
        <v>0</v>
      </c>
      <c r="AC24" s="25">
        <f>+'24 下코모도(6-A)(''25)'!AC5+'24 下코모도(6-C)(''25)'!AC5</f>
        <v>0</v>
      </c>
    </row>
    <row r="25" spans="1:29" ht="19.5" customHeight="1" x14ac:dyDescent="0.3">
      <c r="A25" s="43" t="s">
        <v>9</v>
      </c>
      <c r="B25" s="52">
        <f>+'25 上코모도(6-BB)(''25)'!B7+'24 下코모도(6-A)(''25)'!B7+'24 下코모도(6-C)(''25)'!B7</f>
        <v>1</v>
      </c>
      <c r="C25" s="111">
        <f>+F25/E25</f>
        <v>0</v>
      </c>
      <c r="D25" s="52">
        <f>+'25 上코모도(6-BB)(''25)'!D7+'24 下코모도(6-A)(''25)'!D7+'24 下코모도(6-C)(''25)'!D7</f>
        <v>2</v>
      </c>
      <c r="E25" s="52">
        <f>+'25 上코모도(6-BB)(''25)'!E7+'24 下코모도(6-A)(''25)'!E7+'24 下코모도(6-C)(''25)'!E7</f>
        <v>2</v>
      </c>
      <c r="F25" s="52">
        <f>+'25 上코모도(6-BB)(''25)'!F7+'24 下코모도(6-A)(''25)'!F7+'24 下코모도(6-C)(''25)'!F7</f>
        <v>0</v>
      </c>
      <c r="G25" s="52">
        <f>+'25 上코모도(6-BB)(''25)'!G7+'24 下코모도(6-A)(''25)'!G7+'24 下코모도(6-C)(''25)'!G7</f>
        <v>0</v>
      </c>
      <c r="H25" s="52">
        <f>+'25 上코모도(6-BB)(''25)'!H7+'24 下코모도(6-A)(''25)'!H7+'24 下코모도(6-C)(''25)'!H7</f>
        <v>0</v>
      </c>
      <c r="I25" s="52">
        <f>+'25 上코모도(6-BB)(''25)'!I7+'24 下코모도(6-A)(''25)'!I7+'24 下코모도(6-C)(''25)'!I7</f>
        <v>0</v>
      </c>
      <c r="J25" s="52">
        <f>+'25 上코모도(6-BB)(''25)'!J7+'24 下코모도(6-A)(''25)'!J7+'24 下코모도(6-C)(''25)'!J7</f>
        <v>0</v>
      </c>
      <c r="K25" s="52">
        <f>+'25 上코모도(6-BB)(''25)'!K7+'24 下코모도(6-A)(''25)'!K7+'24 下코모도(6-C)(''25)'!K7</f>
        <v>0</v>
      </c>
      <c r="L25" s="52">
        <f>+'25 上코모도(6-BB)(''25)'!L7+'24 下코모도(6-A)(''25)'!L7+'24 下코모도(6-C)(''25)'!L7</f>
        <v>0</v>
      </c>
      <c r="M25" s="52">
        <f>+'25 上코모도(6-BB)(''25)'!M7+'24 下코모도(6-A)(''25)'!M7+'24 下코모도(6-C)(''25)'!M7</f>
        <v>0</v>
      </c>
      <c r="N25" s="52">
        <f>+'25 上코모도(6-BB)(''25)'!N7+'24 下코모도(6-A)(''25)'!N7+'24 下코모도(6-C)(''25)'!N7</f>
        <v>0</v>
      </c>
      <c r="O25" s="52">
        <f>+'25 上코모도(6-BB)(''25)'!O7+'24 下코모도(6-A)(''25)'!O7+'24 下코모도(6-C)(''25)'!O7</f>
        <v>1</v>
      </c>
      <c r="P25" s="97">
        <f>+O25/D25</f>
        <v>0.5</v>
      </c>
      <c r="Q25" s="46">
        <f>+(G25*1+H25*2+I25*3+J25*4)/E25</f>
        <v>0</v>
      </c>
      <c r="R25" s="46">
        <f>+(F25+N25)/D25</f>
        <v>0</v>
      </c>
      <c r="S25" s="58">
        <f>+R25+Q25</f>
        <v>0</v>
      </c>
      <c r="T25" s="78">
        <f>O25/(D25-(F25+N25))</f>
        <v>0.5</v>
      </c>
      <c r="U25" s="98">
        <f>RANK(R25,$R$4:$R$26)</f>
        <v>22</v>
      </c>
      <c r="V25" s="99">
        <f>RANK(S25,$S$4:$S$26)</f>
        <v>22</v>
      </c>
      <c r="W25" s="112">
        <f>RANK(C25,$C$4:$C$26)</f>
        <v>22</v>
      </c>
      <c r="X25" s="96"/>
      <c r="Y25" s="25">
        <f>+'24 下코모도(6-A)(''25)'!Y7+'24 下코모도(6-C)(''25)'!Y7</f>
        <v>0</v>
      </c>
      <c r="Z25" s="25">
        <f>+'24 下코모도(6-A)(''25)'!Z7+'24 下코모도(6-C)(''25)'!Z7</f>
        <v>0</v>
      </c>
      <c r="AA25" s="25">
        <f>+'24 下코모도(6-A)(''25)'!AA7+'24 下코모도(6-C)(''25)'!AA7</f>
        <v>0</v>
      </c>
      <c r="AB25" s="25">
        <f>+'24 下코모도(6-A)(''25)'!AB7+'24 下코모도(6-C)(''25)'!AB7</f>
        <v>0</v>
      </c>
      <c r="AC25" s="25">
        <f>+'24 下코모도(6-A)(''25)'!AC7+'24 下코모도(6-C)(''25)'!AC7</f>
        <v>0</v>
      </c>
    </row>
    <row r="26" spans="1:29" ht="19.5" customHeight="1" x14ac:dyDescent="0.3">
      <c r="A26" s="43" t="s">
        <v>14</v>
      </c>
      <c r="B26" s="52">
        <f>+'25 上코모도(6-BB)(''25)'!B22+'24 下코모도(6-A)(''25)'!B22+'24 下코모도(6-C)(''25)'!B22</f>
        <v>2</v>
      </c>
      <c r="C26" s="111">
        <f>+F26/E26</f>
        <v>0</v>
      </c>
      <c r="D26" s="52">
        <f>+'25 上코모도(6-BB)(''25)'!D22+'24 下코모도(6-A)(''25)'!D22+'24 下코모도(6-C)(''25)'!D22</f>
        <v>4</v>
      </c>
      <c r="E26" s="52">
        <f>+'25 上코모도(6-BB)(''25)'!E22+'24 下코모도(6-A)(''25)'!E22+'24 下코모도(6-C)(''25)'!E22</f>
        <v>3</v>
      </c>
      <c r="F26" s="52">
        <f>+'25 上코모도(6-BB)(''25)'!F22+'24 下코모도(6-A)(''25)'!F22+'24 下코모도(6-C)(''25)'!F22</f>
        <v>0</v>
      </c>
      <c r="G26" s="52">
        <f>+'25 上코모도(6-BB)(''25)'!G22+'24 下코모도(6-A)(''25)'!G22+'24 下코모도(6-C)(''25)'!G22</f>
        <v>0</v>
      </c>
      <c r="H26" s="52">
        <f>+'25 上코모도(6-BB)(''25)'!H22+'24 下코모도(6-A)(''25)'!H22+'24 下코모도(6-C)(''25)'!H22</f>
        <v>0</v>
      </c>
      <c r="I26" s="52">
        <f>+'25 上코모도(6-BB)(''25)'!I22+'24 下코모도(6-A)(''25)'!I22+'24 下코모도(6-C)(''25)'!I22</f>
        <v>0</v>
      </c>
      <c r="J26" s="52">
        <f>+'25 上코모도(6-BB)(''25)'!J22+'24 下코모도(6-A)(''25)'!J22+'24 下코모도(6-C)(''25)'!J22</f>
        <v>0</v>
      </c>
      <c r="K26" s="52">
        <f>+'25 上코모도(6-BB)(''25)'!K22+'24 下코모도(6-A)(''25)'!K22+'24 下코모도(6-C)(''25)'!K22</f>
        <v>0</v>
      </c>
      <c r="L26" s="52">
        <f>+'25 上코모도(6-BB)(''25)'!L22+'24 下코모도(6-A)(''25)'!L22+'24 下코모도(6-C)(''25)'!L22</f>
        <v>0</v>
      </c>
      <c r="M26" s="52">
        <f>+'25 上코모도(6-BB)(''25)'!M22+'24 下코모도(6-A)(''25)'!M22+'24 下코모도(6-C)(''25)'!M22</f>
        <v>2</v>
      </c>
      <c r="N26" s="52">
        <f>+'25 上코모도(6-BB)(''25)'!N22+'24 下코모도(6-A)(''25)'!N22+'24 下코모도(6-C)(''25)'!N22</f>
        <v>1</v>
      </c>
      <c r="O26" s="52">
        <f>+'25 上코모도(6-BB)(''25)'!O22+'24 下코모도(6-A)(''25)'!O22+'24 下코모도(6-C)(''25)'!O22</f>
        <v>0</v>
      </c>
      <c r="P26" s="97"/>
      <c r="Q26" s="46"/>
      <c r="R26" s="46"/>
      <c r="S26" s="58"/>
      <c r="T26" s="78"/>
      <c r="U26" s="98"/>
      <c r="V26" s="99"/>
      <c r="W26" s="112">
        <f>RANK(C26,$C$4:$C$26)</f>
        <v>22</v>
      </c>
      <c r="X26" s="96"/>
      <c r="Y26" s="25">
        <f>+'24 下코모도(6-A)(''25)'!Y22+'24 下코모도(6-C)(''25)'!Y22</f>
        <v>1</v>
      </c>
      <c r="Z26" s="25">
        <f>+'24 下코모도(6-A)(''25)'!Z22+'24 下코모도(6-C)(''25)'!Z22</f>
        <v>0</v>
      </c>
      <c r="AA26" s="25">
        <f>+'24 下코모도(6-A)(''25)'!AA22+'24 下코모도(6-C)(''25)'!AA22</f>
        <v>0</v>
      </c>
      <c r="AB26" s="25">
        <f>+'24 下코모도(6-A)(''25)'!AB22+'24 下코모도(6-C)(''25)'!AB22</f>
        <v>0</v>
      </c>
      <c r="AC26" s="25">
        <f>+'24 下코모도(6-A)(''25)'!AC22+'24 下코모도(6-C)(''25)'!AC22</f>
        <v>0</v>
      </c>
    </row>
    <row r="27" spans="1:29" ht="19.5" customHeight="1" x14ac:dyDescent="0.3">
      <c r="A27" s="55" t="s">
        <v>10</v>
      </c>
      <c r="B27" s="55"/>
      <c r="C27" s="56">
        <f t="shared" ref="C27" si="0">+F27/E27</f>
        <v>0.40882917466410751</v>
      </c>
      <c r="D27" s="55">
        <f t="shared" ref="D27:O27" si="1">SUM(D4:D26)</f>
        <v>663</v>
      </c>
      <c r="E27" s="55">
        <f t="shared" si="1"/>
        <v>521</v>
      </c>
      <c r="F27" s="55">
        <f t="shared" si="1"/>
        <v>213</v>
      </c>
      <c r="G27" s="55">
        <f t="shared" si="1"/>
        <v>157</v>
      </c>
      <c r="H27" s="55">
        <f t="shared" si="1"/>
        <v>44</v>
      </c>
      <c r="I27" s="55">
        <f t="shared" si="1"/>
        <v>10</v>
      </c>
      <c r="J27" s="55">
        <f t="shared" si="1"/>
        <v>4</v>
      </c>
      <c r="K27" s="55">
        <f t="shared" si="1"/>
        <v>230</v>
      </c>
      <c r="L27" s="55">
        <f t="shared" si="1"/>
        <v>179</v>
      </c>
      <c r="M27" s="55">
        <f t="shared" si="1"/>
        <v>186</v>
      </c>
      <c r="N27" s="55">
        <f t="shared" si="1"/>
        <v>123</v>
      </c>
      <c r="O27" s="55">
        <f t="shared" si="1"/>
        <v>84</v>
      </c>
      <c r="P27" s="29">
        <f t="shared" ref="P27" si="2">+O27/D27</f>
        <v>0.12669683257918551</v>
      </c>
      <c r="Q27" s="56"/>
      <c r="R27" s="56"/>
      <c r="S27" s="57"/>
      <c r="T27" s="68"/>
      <c r="U27" s="68"/>
      <c r="V27" s="68"/>
      <c r="W27" s="68"/>
      <c r="Y27" s="81">
        <f>SUM(Y4:Y26)</f>
        <v>61</v>
      </c>
      <c r="Z27" s="81">
        <f>SUM(Z4:Z26)</f>
        <v>18</v>
      </c>
      <c r="AA27" s="81">
        <f>SUM(AA4:AA26)</f>
        <v>2</v>
      </c>
      <c r="AB27" s="81">
        <f>SUM(AB4:AB26)</f>
        <v>0</v>
      </c>
      <c r="AC27" s="81">
        <f>SUM(AC4:AC26)</f>
        <v>0</v>
      </c>
    </row>
    <row r="29" spans="1:29" ht="17.25" x14ac:dyDescent="0.3">
      <c r="A29" s="4" t="s">
        <v>3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29" ht="34.5" x14ac:dyDescent="0.3">
      <c r="A30" s="10" t="s">
        <v>27</v>
      </c>
      <c r="B30" s="10" t="s">
        <v>46</v>
      </c>
      <c r="C30" s="10" t="s">
        <v>55</v>
      </c>
      <c r="D30" s="10" t="s">
        <v>41</v>
      </c>
      <c r="E30" s="10" t="s">
        <v>48</v>
      </c>
      <c r="F30" s="10" t="s">
        <v>45</v>
      </c>
      <c r="G30" s="10" t="s">
        <v>38</v>
      </c>
      <c r="H30" s="10" t="s">
        <v>5</v>
      </c>
      <c r="I30" s="10" t="s">
        <v>17</v>
      </c>
      <c r="J30" s="10" t="s">
        <v>26</v>
      </c>
      <c r="K30" s="10" t="s">
        <v>30</v>
      </c>
      <c r="L30" s="10" t="s">
        <v>11</v>
      </c>
      <c r="M30" s="10" t="s">
        <v>6</v>
      </c>
      <c r="N30" s="10" t="s">
        <v>42</v>
      </c>
      <c r="O30" s="10" t="s">
        <v>35</v>
      </c>
      <c r="P30" s="10" t="s">
        <v>49</v>
      </c>
      <c r="Q30" s="10" t="s">
        <v>56</v>
      </c>
      <c r="R30" s="10" t="s">
        <v>66</v>
      </c>
      <c r="S30" s="10" t="s">
        <v>90</v>
      </c>
      <c r="T30" s="10" t="s">
        <v>70</v>
      </c>
      <c r="U30" s="10" t="s">
        <v>69</v>
      </c>
      <c r="V30" s="10" t="s">
        <v>68</v>
      </c>
      <c r="W30" s="10" t="s">
        <v>135</v>
      </c>
      <c r="Y30" s="10" t="s">
        <v>159</v>
      </c>
      <c r="Z30" s="10" t="s">
        <v>148</v>
      </c>
    </row>
    <row r="31" spans="1:29" ht="19.5" customHeight="1" x14ac:dyDescent="0.3">
      <c r="A31" s="10" t="s">
        <v>51</v>
      </c>
      <c r="B31" s="52">
        <f>+'24 下코모도(6-A)(''25)'!B33+'24 下코모도(6-C)(''25)'!B33+'25 上코모도(6-BB)(''25)'!B33</f>
        <v>11</v>
      </c>
      <c r="C31" s="52">
        <f>+'24 下코모도(6-A)(''25)'!C33+'24 下코모도(6-C)(''25)'!C33+'25 上코모도(6-BB)(''25)'!C33</f>
        <v>3</v>
      </c>
      <c r="D31" s="52">
        <f>+'24 下코모도(6-A)(''25)'!D33+'24 下코모도(6-C)(''25)'!D33+'25 上코모도(6-BB)(''25)'!D33</f>
        <v>0</v>
      </c>
      <c r="E31" s="52">
        <f>+'24 下코모도(6-A)(''25)'!E33+'24 下코모도(6-C)(''25)'!E33+'25 上코모도(6-BB)(''25)'!E33</f>
        <v>0</v>
      </c>
      <c r="F31" s="52">
        <f>+'24 下코모도(6-A)(''25)'!F33+'24 下코모도(6-C)(''25)'!F33+'25 上코모도(6-BB)(''25)'!F33</f>
        <v>175</v>
      </c>
      <c r="G31" s="52">
        <f>+'24 下코모도(6-A)(''25)'!G33+'24 下코모도(6-C)(''25)'!G33+'25 上코모도(6-BB)(''25)'!G33</f>
        <v>137</v>
      </c>
      <c r="H31" s="77">
        <f>+'24 下코모도(6-A)(''25)'!H33+'24 下코모도(6-C)(''25)'!H33+'25 上코모도(6-BB)(''25)'!H33</f>
        <v>28</v>
      </c>
      <c r="I31" s="52">
        <f>+'24 下코모도(6-A)(''25)'!I33+'24 下코모도(6-C)(''25)'!I33+'25 上코모도(6-BB)(''25)'!I33</f>
        <v>52</v>
      </c>
      <c r="J31" s="52">
        <f>+'24 下코모도(6-A)(''25)'!J33+'24 下코모도(6-C)(''25)'!J33+'25 上코모도(6-BB)(''25)'!J33</f>
        <v>1</v>
      </c>
      <c r="K31" s="91">
        <f>+'24 下코모도(6-A)(''25)'!K33+'24 下코모도(6-C)(''25)'!K33+'25 上코모도(6-BB)(''25)'!K33</f>
        <v>28</v>
      </c>
      <c r="L31" s="91">
        <f>+'24 下코모도(6-A)(''25)'!L33+'24 下코모도(6-C)(''25)'!L33+'25 上코모도(6-BB)(''25)'!L33</f>
        <v>9</v>
      </c>
      <c r="M31" s="52">
        <f>+'24 下코모도(6-A)(''25)'!M33+'24 下코모도(6-C)(''25)'!M33+'25 上코모도(6-BB)(''25)'!M33</f>
        <v>23</v>
      </c>
      <c r="N31" s="52">
        <f>+'24 下코모도(6-A)(''25)'!N33+'24 下코모도(6-C)(''25)'!N33+'25 上코모도(6-BB)(''25)'!N33</f>
        <v>48</v>
      </c>
      <c r="O31" s="52">
        <f>+'24 下코모도(6-A)(''25)'!O33+'24 下코모도(6-C)(''25)'!O33+'25 上코모도(6-BB)(''25)'!O33</f>
        <v>37</v>
      </c>
      <c r="P31" s="90">
        <f>+O31*9/H31</f>
        <v>11.892857142857142</v>
      </c>
      <c r="Q31" s="38">
        <f>(K31+L31)/H31</f>
        <v>1.3214285714285714</v>
      </c>
      <c r="R31" s="39">
        <f>I31/H31</f>
        <v>1.8571428571428572</v>
      </c>
      <c r="S31" s="39">
        <f>H31/B31</f>
        <v>2.5454545454545454</v>
      </c>
      <c r="T31" s="40">
        <f>M31/H31</f>
        <v>0.8214285714285714</v>
      </c>
      <c r="U31" s="33">
        <f>O31/N31</f>
        <v>0.77083333333333337</v>
      </c>
      <c r="V31" s="38">
        <f>(I31+K31+L31)/H31</f>
        <v>3.1785714285714284</v>
      </c>
      <c r="W31" s="134">
        <f>+(L31+K31)/F31*100</f>
        <v>21.142857142857142</v>
      </c>
      <c r="X31" s="131"/>
      <c r="Y31" s="52">
        <f>+'24 下코모도(6-A)(''25)'!Y33+'24 下코모도(6-C)(''25)'!Y33+'25 上코모도(6-BB)(''25)'!Y33</f>
        <v>1</v>
      </c>
      <c r="Z31" s="52">
        <f>+'24 下코모도(6-A)(''25)'!Z33+'24 下코모도(6-C)(''25)'!Z33+'25 上코모도(6-BB)(''25)'!Z33</f>
        <v>0</v>
      </c>
    </row>
    <row r="32" spans="1:29" ht="19.5" customHeight="1" x14ac:dyDescent="0.3">
      <c r="A32" s="10" t="s">
        <v>15</v>
      </c>
      <c r="B32" s="52">
        <f>+'24 下코모도(6-A)(''25)'!B34+'24 下코모도(6-C)(''25)'!B34+'25 上코모도(6-BB)(''25)'!B34</f>
        <v>8</v>
      </c>
      <c r="C32" s="52">
        <f>+'24 下코모도(6-A)(''25)'!C34+'24 下코모도(6-C)(''25)'!C34+'25 上코모도(6-BB)(''25)'!C34</f>
        <v>4</v>
      </c>
      <c r="D32" s="52">
        <f>+'24 下코모도(6-A)(''25)'!D34+'24 下코모도(6-C)(''25)'!D34+'25 上코모도(6-BB)(''25)'!D34</f>
        <v>2</v>
      </c>
      <c r="E32" s="52">
        <f>+'24 下코모도(6-A)(''25)'!E34+'24 下코모도(6-C)(''25)'!E34+'25 上코모도(6-BB)(''25)'!E34</f>
        <v>0</v>
      </c>
      <c r="F32" s="52">
        <f>+'24 下코모도(6-A)(''25)'!F34+'24 下코모도(6-C)(''25)'!F34+'25 上코모도(6-BB)(''25)'!F34</f>
        <v>118</v>
      </c>
      <c r="G32" s="52">
        <f>+'24 下코모도(6-A)(''25)'!G34+'24 下코모도(6-C)(''25)'!G34+'25 上코모도(6-BB)(''25)'!G34</f>
        <v>103</v>
      </c>
      <c r="H32" s="77">
        <f>+'24 下코모도(6-A)(''25)'!H34+'24 下코모도(6-C)(''25)'!H34+'25 上코모도(6-BB)(''25)'!H34</f>
        <v>25</v>
      </c>
      <c r="I32" s="52">
        <f>+'24 下코모도(6-A)(''25)'!I34+'24 下코모도(6-C)(''25)'!I34+'25 上코모도(6-BB)(''25)'!I34</f>
        <v>25</v>
      </c>
      <c r="J32" s="52">
        <f>+'24 下코모도(6-A)(''25)'!J34+'24 下코모도(6-C)(''25)'!J34+'25 上코모도(6-BB)(''25)'!J34</f>
        <v>0</v>
      </c>
      <c r="K32" s="91">
        <f>+'24 下코모도(6-A)(''25)'!K34+'24 下코모도(6-C)(''25)'!K34+'25 上코모도(6-BB)(''25)'!K34</f>
        <v>12</v>
      </c>
      <c r="L32" s="91">
        <f>+'24 下코모도(6-A)(''25)'!L34+'24 下코모도(6-C)(''25)'!L34+'25 上코모도(6-BB)(''25)'!L34</f>
        <v>2</v>
      </c>
      <c r="M32" s="52">
        <f>+'24 下코모도(6-A)(''25)'!M34+'24 下코모도(6-C)(''25)'!M34+'25 上코모도(6-BB)(''25)'!M34</f>
        <v>29</v>
      </c>
      <c r="N32" s="52">
        <f>+'24 下코모도(6-A)(''25)'!N34+'24 下코모도(6-C)(''25)'!N34+'25 上코모도(6-BB)(''25)'!N34</f>
        <v>24</v>
      </c>
      <c r="O32" s="52">
        <f>+'24 下코모도(6-A)(''25)'!O34+'24 下코모도(6-C)(''25)'!O34+'25 上코모도(6-BB)(''25)'!O34</f>
        <v>11</v>
      </c>
      <c r="P32" s="90">
        <f>+O32*9/H32</f>
        <v>3.96</v>
      </c>
      <c r="Q32" s="38">
        <f>(K32+L32)/H32</f>
        <v>0.56000000000000005</v>
      </c>
      <c r="R32" s="39">
        <f>I32/H32</f>
        <v>1</v>
      </c>
      <c r="S32" s="39">
        <f>H32/B32</f>
        <v>3.125</v>
      </c>
      <c r="T32" s="40">
        <f>M32/H32</f>
        <v>1.1599999999999999</v>
      </c>
      <c r="U32" s="33">
        <f>O32/N32</f>
        <v>0.45833333333333331</v>
      </c>
      <c r="V32" s="38">
        <f>(I32+K32+L32)/H32</f>
        <v>1.56</v>
      </c>
      <c r="W32" s="134">
        <f>+(L32+K32)/F32*100</f>
        <v>11.864406779661017</v>
      </c>
      <c r="X32" s="131"/>
      <c r="Y32" s="52">
        <f>+'24 下코모도(6-A)(''25)'!Y34+'24 下코모도(6-C)(''25)'!Y34+'25 上코모도(6-BB)(''25)'!Y34</f>
        <v>0</v>
      </c>
      <c r="Z32" s="52">
        <f>+'24 下코모도(6-A)(''25)'!Z34+'24 下코모도(6-C)(''25)'!Z34+'25 上코모도(6-BB)(''25)'!Z34</f>
        <v>0</v>
      </c>
    </row>
    <row r="33" spans="1:29" ht="19.5" customHeight="1" x14ac:dyDescent="0.3">
      <c r="A33" s="10" t="s">
        <v>22</v>
      </c>
      <c r="B33" s="52">
        <f>+'24 下코모도(6-A)(''25)'!B41+'24 下코모도(6-C)(''25)'!B41+'25 上코모도(6-BB)(''25)'!B41</f>
        <v>12</v>
      </c>
      <c r="C33" s="52">
        <f>+'24 下코모도(6-A)(''25)'!C41+'24 下코모도(6-C)(''25)'!C41+'25 上코모도(6-BB)(''25)'!C41</f>
        <v>2</v>
      </c>
      <c r="D33" s="52">
        <f>+'24 下코모도(6-A)(''25)'!D41+'24 下코모도(6-C)(''25)'!D41+'25 上코모도(6-BB)(''25)'!D41</f>
        <v>6</v>
      </c>
      <c r="E33" s="52">
        <f>+'24 下코모도(6-A)(''25)'!E41+'24 下코모도(6-C)(''25)'!E41+'25 上코모도(6-BB)(''25)'!E41</f>
        <v>0</v>
      </c>
      <c r="F33" s="52">
        <f>+'24 下코모도(6-A)(''25)'!F41+'24 下코모도(6-C)(''25)'!F41+'25 上코모도(6-BB)(''25)'!F41</f>
        <v>170</v>
      </c>
      <c r="G33" s="52">
        <f>+'24 下코모도(6-A)(''25)'!G41+'24 下코모도(6-C)(''25)'!G41+'25 上코모도(6-BB)(''25)'!G41</f>
        <v>119</v>
      </c>
      <c r="H33" s="77">
        <f>+'24 下코모도(6-A)(''25)'!H41+'24 下코모도(6-C)(''25)'!H41+'25 上코모도(6-BB)(''25)'!H41</f>
        <v>21.666666666666661</v>
      </c>
      <c r="I33" s="52">
        <f>+'24 下코모도(6-A)(''25)'!I41+'24 下코모도(6-C)(''25)'!I41+'25 上코모도(6-BB)(''25)'!I41</f>
        <v>40</v>
      </c>
      <c r="J33" s="52">
        <f>+'24 下코모도(6-A)(''25)'!J41+'24 下코모도(6-C)(''25)'!J41+'25 上코모도(6-BB)(''25)'!J41</f>
        <v>1</v>
      </c>
      <c r="K33" s="91">
        <f>+'24 下코모도(6-A)(''25)'!K41+'24 下코모도(6-C)(''25)'!K41+'25 上코모도(6-BB)(''25)'!K41</f>
        <v>42</v>
      </c>
      <c r="L33" s="91">
        <f>+'24 下코모도(6-A)(''25)'!L41+'24 下코모도(6-C)(''25)'!L41+'25 上코모도(6-BB)(''25)'!L41</f>
        <v>7</v>
      </c>
      <c r="M33" s="52">
        <f>+'24 下코모도(6-A)(''25)'!M41+'24 下코모도(6-C)(''25)'!M41+'25 上코모도(6-BB)(''25)'!M41</f>
        <v>29</v>
      </c>
      <c r="N33" s="52">
        <f>+'24 下코모도(6-A)(''25)'!N41+'24 下코모도(6-C)(''25)'!N41+'25 上코모도(6-BB)(''25)'!N41</f>
        <v>75</v>
      </c>
      <c r="O33" s="52">
        <f>+'24 下코모도(6-A)(''25)'!O41+'24 下코모도(6-C)(''25)'!O41+'25 上코모도(6-BB)(''25)'!O41</f>
        <v>45</v>
      </c>
      <c r="P33" s="90">
        <f>+O33*9/H33</f>
        <v>18.692307692307697</v>
      </c>
      <c r="Q33" s="38">
        <f>(K33+L33)/H33</f>
        <v>2.2615384615384619</v>
      </c>
      <c r="R33" s="39">
        <f>I33/H33</f>
        <v>1.8461538461538467</v>
      </c>
      <c r="S33" s="39">
        <f>H33/B33</f>
        <v>1.8055555555555551</v>
      </c>
      <c r="T33" s="40">
        <f>M33/H33</f>
        <v>1.3384615384615388</v>
      </c>
      <c r="U33" s="33">
        <f>O33/N33</f>
        <v>0.6</v>
      </c>
      <c r="V33" s="38">
        <f>(I33+K33+L33)/H33</f>
        <v>4.1076923076923091</v>
      </c>
      <c r="W33" s="134">
        <f>+(L33+K33)/F33*100</f>
        <v>28.823529411764703</v>
      </c>
      <c r="X33" s="131"/>
      <c r="Y33" s="52">
        <f>+'24 下코모도(6-A)(''25)'!Y41+'24 下코모도(6-C)(''25)'!Y41+'25 上코모도(6-BB)(''25)'!Y41</f>
        <v>7</v>
      </c>
      <c r="Z33" s="52">
        <f>+'24 下코모도(6-A)(''25)'!Z41+'24 下코모도(6-C)(''25)'!Z41+'25 上코모도(6-BB)(''25)'!Z41</f>
        <v>0</v>
      </c>
    </row>
    <row r="34" spans="1:29" ht="19.5" customHeight="1" x14ac:dyDescent="0.3">
      <c r="A34" s="10" t="s">
        <v>50</v>
      </c>
      <c r="B34" s="52">
        <f>+'24 下코모도(6-A)(''25)'!B36+'24 下코모도(6-C)(''25)'!B36+'25 上코모도(6-BB)(''25)'!B36</f>
        <v>7</v>
      </c>
      <c r="C34" s="52">
        <f>+'24 下코모도(6-A)(''25)'!C36+'24 下코모도(6-C)(''25)'!C36+'25 上코모도(6-BB)(''25)'!C36</f>
        <v>2</v>
      </c>
      <c r="D34" s="52">
        <f>+'24 下코모도(6-A)(''25)'!D36+'24 下코모도(6-C)(''25)'!D36+'25 上코모도(6-BB)(''25)'!D36</f>
        <v>1</v>
      </c>
      <c r="E34" s="52">
        <f>+'24 下코모도(6-A)(''25)'!E36+'24 下코모도(6-C)(''25)'!E36+'25 上코모도(6-BB)(''25)'!E36</f>
        <v>0</v>
      </c>
      <c r="F34" s="52">
        <f>+'24 下코모도(6-A)(''25)'!F36+'24 下코모도(6-C)(''25)'!F36+'25 上코모도(6-BB)(''25)'!F36</f>
        <v>94</v>
      </c>
      <c r="G34" s="52">
        <f>+'24 下코모도(6-A)(''25)'!G36+'24 下코모도(6-C)(''25)'!G36+'25 上코모도(6-BB)(''25)'!G36</f>
        <v>64</v>
      </c>
      <c r="H34" s="77">
        <f>+'24 下코모도(6-A)(''25)'!H36+'24 下코모도(6-C)(''25)'!H36+'25 上코모도(6-BB)(''25)'!H36</f>
        <v>11.666666599999999</v>
      </c>
      <c r="I34" s="52">
        <f>+'24 下코모도(6-A)(''25)'!I36+'24 下코모도(6-C)(''25)'!I36+'25 上코모도(6-BB)(''25)'!I36</f>
        <v>31</v>
      </c>
      <c r="J34" s="52">
        <f>+'24 下코모도(6-A)(''25)'!J36+'24 下코모도(6-C)(''25)'!J36+'25 上코모도(6-BB)(''25)'!J36</f>
        <v>1</v>
      </c>
      <c r="K34" s="91">
        <f>+'24 下코모도(6-A)(''25)'!K36+'24 下코모도(6-C)(''25)'!K36+'25 上코모도(6-BB)(''25)'!K36</f>
        <v>24</v>
      </c>
      <c r="L34" s="91">
        <f>+'24 下코모도(6-A)(''25)'!L36+'24 下코모도(6-C)(''25)'!L36+'25 上코모도(6-BB)(''25)'!L36</f>
        <v>4</v>
      </c>
      <c r="M34" s="52">
        <f>+'24 下코모도(6-A)(''25)'!M36+'24 下코모도(6-C)(''25)'!M36+'25 上코모도(6-BB)(''25)'!M36</f>
        <v>11</v>
      </c>
      <c r="N34" s="52">
        <f>+'24 下코모도(6-A)(''25)'!N36+'24 下코모도(6-C)(''25)'!N36+'25 上코모도(6-BB)(''25)'!N36</f>
        <v>36</v>
      </c>
      <c r="O34" s="52">
        <f>+'24 下코모도(6-A)(''25)'!O36+'24 下코모도(6-C)(''25)'!O36+'25 上코모도(6-BB)(''25)'!O36</f>
        <v>26</v>
      </c>
      <c r="P34" s="90">
        <f>+O34*9/H34</f>
        <v>20.057142971755106</v>
      </c>
      <c r="Q34" s="38">
        <f>(K34+L34)/H34</f>
        <v>2.4000000137142861</v>
      </c>
      <c r="R34" s="39">
        <f>I34/H34</f>
        <v>2.6571428723265309</v>
      </c>
      <c r="S34" s="39">
        <f>H34/B34</f>
        <v>1.666666657142857</v>
      </c>
      <c r="T34" s="40">
        <f>M34/H34</f>
        <v>0.94285714824489808</v>
      </c>
      <c r="U34" s="33">
        <f>O34/N34</f>
        <v>0.72222222222222221</v>
      </c>
      <c r="V34" s="38">
        <f>(I34+K34+L34)/H34</f>
        <v>5.0571428860408165</v>
      </c>
      <c r="W34" s="134">
        <f>+(L34+K34)/F34*100</f>
        <v>29.787234042553191</v>
      </c>
      <c r="X34" s="131"/>
      <c r="Y34" s="52">
        <f>+'24 下코모도(6-A)(''25)'!Y36+'24 下코모도(6-C)(''25)'!Y36+'25 上코모도(6-BB)(''25)'!Y36</f>
        <v>0</v>
      </c>
      <c r="Z34" s="52">
        <f>+'24 下코모도(6-A)(''25)'!Z36+'24 下코모도(6-C)(''25)'!Z36+'25 上코모도(6-BB)(''25)'!Z36</f>
        <v>0</v>
      </c>
    </row>
    <row r="35" spans="1:29" ht="19.5" customHeight="1" x14ac:dyDescent="0.3">
      <c r="A35" s="10" t="s">
        <v>33</v>
      </c>
      <c r="B35" s="52">
        <f>+'24 下코모도(6-A)(''25)'!B37+'24 下코모도(6-C)(''25)'!B37+'25 上코모도(6-BB)(''25)'!B37</f>
        <v>7</v>
      </c>
      <c r="C35" s="52">
        <f>+'24 下코모도(6-A)(''25)'!C37+'24 下코모도(6-C)(''25)'!C37+'25 上코모도(6-BB)(''25)'!C37</f>
        <v>0</v>
      </c>
      <c r="D35" s="52">
        <f>+'24 下코모도(6-A)(''25)'!D37+'24 下코모도(6-C)(''25)'!D37+'25 上코모도(6-BB)(''25)'!D37</f>
        <v>0</v>
      </c>
      <c r="E35" s="52">
        <f>+'24 下코모도(6-A)(''25)'!E37+'24 下코모도(6-C)(''25)'!E37+'25 上코모도(6-BB)(''25)'!E37</f>
        <v>0</v>
      </c>
      <c r="F35" s="52">
        <f>+'24 下코모도(6-A)(''25)'!F37+'24 下코모도(6-C)(''25)'!F37+'25 上코모도(6-BB)(''25)'!F37</f>
        <v>60</v>
      </c>
      <c r="G35" s="52">
        <f>+'24 下코모도(6-A)(''25)'!G37+'24 下코모도(6-C)(''25)'!G37+'25 上코모도(6-BB)(''25)'!G37</f>
        <v>49</v>
      </c>
      <c r="H35" s="77">
        <f>+'24 下코모도(6-A)(''25)'!H37+'24 下코모도(6-C)(''25)'!H37+'25 上코모도(6-BB)(''25)'!H37</f>
        <v>9.3333333329999988</v>
      </c>
      <c r="I35" s="52">
        <f>+'24 下코모도(6-A)(''25)'!I37+'24 下코모도(6-C)(''25)'!I37+'25 上코모도(6-BB)(''25)'!I37</f>
        <v>20</v>
      </c>
      <c r="J35" s="52">
        <f>+'24 下코모도(6-A)(''25)'!J37+'24 下코모도(6-C)(''25)'!J37+'25 上코모도(6-BB)(''25)'!J37</f>
        <v>0</v>
      </c>
      <c r="K35" s="91">
        <f>+'24 下코모도(6-A)(''25)'!K37+'24 下코모도(6-C)(''25)'!K37+'25 上코모도(6-BB)(''25)'!K37</f>
        <v>9</v>
      </c>
      <c r="L35" s="91">
        <f>+'24 下코모도(6-A)(''25)'!L37+'24 下코모도(6-C)(''25)'!L37+'25 上코모도(6-BB)(''25)'!L37</f>
        <v>2</v>
      </c>
      <c r="M35" s="52">
        <f>+'24 下코모도(6-A)(''25)'!M37+'24 下코모도(6-C)(''25)'!M37+'25 上코모도(6-BB)(''25)'!M37</f>
        <v>10</v>
      </c>
      <c r="N35" s="52">
        <f>+'24 下코모도(6-A)(''25)'!N37+'24 下코모도(6-C)(''25)'!N37+'25 上코모도(6-BB)(''25)'!N37</f>
        <v>22</v>
      </c>
      <c r="O35" s="52">
        <f>+'24 下코모도(6-A)(''25)'!O37+'24 下코모도(6-C)(''25)'!O37+'25 上코모도(6-BB)(''25)'!O37</f>
        <v>19</v>
      </c>
      <c r="P35" s="90">
        <f>+O35*9/H35</f>
        <v>18.321428572082912</v>
      </c>
      <c r="Q35" s="38">
        <f>(K35+L35)/H35</f>
        <v>1.1785714286135205</v>
      </c>
      <c r="R35" s="39">
        <f>I35/H35</f>
        <v>2.1428571429336736</v>
      </c>
      <c r="S35" s="39">
        <f>H35/B35</f>
        <v>1.333333333285714</v>
      </c>
      <c r="T35" s="40">
        <f>M35/H35</f>
        <v>1.0714285714668368</v>
      </c>
      <c r="U35" s="33">
        <f>O35/N35</f>
        <v>0.86363636363636365</v>
      </c>
      <c r="V35" s="38">
        <f>(I35+K35+L35)/H35</f>
        <v>3.3214285715471945</v>
      </c>
      <c r="W35" s="134">
        <f>+(L35+K35)/F35*100</f>
        <v>18.333333333333332</v>
      </c>
      <c r="X35" s="131"/>
      <c r="Y35" s="52">
        <f>+'24 下코모도(6-A)(''25)'!Y37+'24 下코모도(6-C)(''25)'!Y37+'25 上코모도(6-BB)(''25)'!Y37</f>
        <v>0</v>
      </c>
      <c r="Z35" s="52">
        <f>+'24 下코모도(6-A)(''25)'!Z37+'24 下코모도(6-C)(''25)'!Z37+'25 上코모도(6-BB)(''25)'!Z37</f>
        <v>0</v>
      </c>
    </row>
    <row r="36" spans="1:29" s="80" customFormat="1" ht="19.5" customHeight="1" x14ac:dyDescent="0.3">
      <c r="A36" s="10" t="s">
        <v>126</v>
      </c>
      <c r="B36" s="52">
        <f>+'24 下코모도(6-A)(''25)'!B38+'24 下코모도(6-C)(''25)'!B38+'25 上코모도(6-BB)(''25)'!B38</f>
        <v>7</v>
      </c>
      <c r="C36" s="52">
        <f>+'24 下코모도(6-A)(''25)'!C38+'24 下코모도(6-C)(''25)'!C38+'25 上코모도(6-BB)(''25)'!C38</f>
        <v>1</v>
      </c>
      <c r="D36" s="52">
        <f>+'24 下코모도(6-A)(''25)'!D38+'24 下코모도(6-C)(''25)'!D38+'25 上코모도(6-BB)(''25)'!D38</f>
        <v>2</v>
      </c>
      <c r="E36" s="52">
        <f>+'24 下코모도(6-A)(''25)'!E38+'24 下코모도(6-C)(''25)'!E38+'25 上코모도(6-BB)(''25)'!E38</f>
        <v>0</v>
      </c>
      <c r="F36" s="52">
        <f>+'24 下코모도(6-A)(''25)'!F38+'24 下코모도(6-C)(''25)'!F38+'25 上코모도(6-BB)(''25)'!F38</f>
        <v>68</v>
      </c>
      <c r="G36" s="52">
        <f>+'24 下코모도(6-A)(''25)'!G38+'24 下코모도(6-C)(''25)'!G38+'25 上코모도(6-BB)(''25)'!G38</f>
        <v>53</v>
      </c>
      <c r="H36" s="77">
        <f>+'24 下코모도(6-A)(''25)'!H38+'24 下코모도(6-C)(''25)'!H38+'25 上코모도(6-BB)(''25)'!H38</f>
        <v>7.3333326660000004</v>
      </c>
      <c r="I36" s="52">
        <f>+'24 下코모도(6-A)(''25)'!I38+'24 下코모도(6-C)(''25)'!I38+'25 上코모도(6-BB)(''25)'!I38</f>
        <v>22</v>
      </c>
      <c r="J36" s="52">
        <f>+'24 下코모도(6-A)(''25)'!J38+'24 下코모도(6-C)(''25)'!J38+'25 上코모도(6-BB)(''25)'!J38</f>
        <v>0</v>
      </c>
      <c r="K36" s="91">
        <f>+'24 下코모도(6-A)(''25)'!K38+'24 下코모도(6-C)(''25)'!K38+'25 上코모도(6-BB)(''25)'!K38</f>
        <v>5</v>
      </c>
      <c r="L36" s="91">
        <f>+'24 下코모도(6-A)(''25)'!L38+'24 下코모도(6-C)(''25)'!L38+'25 上코모도(6-BB)(''25)'!L38</f>
        <v>9</v>
      </c>
      <c r="M36" s="52">
        <f>+'24 下코모도(6-A)(''25)'!M38+'24 下코모도(6-C)(''25)'!M38+'25 上코모도(6-BB)(''25)'!M38</f>
        <v>13</v>
      </c>
      <c r="N36" s="52">
        <f>+'24 下코모도(6-A)(''25)'!N38+'24 下코모도(6-C)(''25)'!N38+'25 上코모도(6-BB)(''25)'!N38</f>
        <v>34</v>
      </c>
      <c r="O36" s="52">
        <f>+'24 下코모도(6-A)(''25)'!O38+'24 下코모도(6-C)(''25)'!O38+'25 上코모도(6-BB)(''25)'!O38</f>
        <v>24</v>
      </c>
      <c r="P36" s="90">
        <f>+O36*9/H36</f>
        <v>29.454548134909334</v>
      </c>
      <c r="Q36" s="38">
        <f>(K36+L36)/H36</f>
        <v>1.9090910828181975</v>
      </c>
      <c r="R36" s="39">
        <f>I36/H36</f>
        <v>3.0000002730000248</v>
      </c>
      <c r="S36" s="39">
        <f>H36/B36</f>
        <v>1.0476189522857144</v>
      </c>
      <c r="T36" s="40">
        <f>M36/H36</f>
        <v>1.7727274340454691</v>
      </c>
      <c r="U36" s="33">
        <f>O36/N36</f>
        <v>0.70588235294117652</v>
      </c>
      <c r="V36" s="38">
        <f>(I36+K36+L36)/H36</f>
        <v>4.9090913558182221</v>
      </c>
      <c r="W36" s="134">
        <f>+(L36+K36)/F36*100</f>
        <v>20.588235294117645</v>
      </c>
      <c r="X36" s="131"/>
      <c r="Y36" s="52">
        <f>+'24 下코모도(6-A)(''25)'!Y38+'24 下코모도(6-C)(''25)'!Y38+'25 上코모도(6-BB)(''25)'!Y38</f>
        <v>2</v>
      </c>
      <c r="Z36" s="52">
        <f>+'24 下코모도(6-A)(''25)'!Z38+'24 下코모도(6-C)(''25)'!Z38+'25 上코모도(6-BB)(''25)'!Z38</f>
        <v>0</v>
      </c>
      <c r="AA36"/>
      <c r="AB36"/>
      <c r="AC36"/>
    </row>
    <row r="37" spans="1:29" s="80" customFormat="1" ht="19.5" customHeight="1" x14ac:dyDescent="0.3">
      <c r="A37" s="10" t="s">
        <v>152</v>
      </c>
      <c r="B37" s="52">
        <f>+'24 下코모도(6-A)(''25)'!B39+'24 下코모도(6-C)(''25)'!B39+'25 上코모도(6-BB)(''25)'!B39</f>
        <v>1</v>
      </c>
      <c r="C37" s="52">
        <f>+'24 下코모도(6-A)(''25)'!C39+'24 下코모도(6-C)(''25)'!C39+'25 上코모도(6-BB)(''25)'!C39</f>
        <v>0</v>
      </c>
      <c r="D37" s="52">
        <f>+'24 下코모도(6-A)(''25)'!D39+'24 下코모도(6-C)(''25)'!D39+'25 上코모도(6-BB)(''25)'!D39</f>
        <v>0</v>
      </c>
      <c r="E37" s="52">
        <f>+'24 下코모도(6-A)(''25)'!E39+'24 下코모도(6-C)(''25)'!E39+'25 上코모도(6-BB)(''25)'!E39</f>
        <v>0</v>
      </c>
      <c r="F37" s="52">
        <f>+'24 下코모도(6-A)(''25)'!F39+'24 下코모도(6-C)(''25)'!F39+'25 上코모도(6-BB)(''25)'!F39</f>
        <v>5</v>
      </c>
      <c r="G37" s="52">
        <f>+'24 下코모도(6-A)(''25)'!G39+'24 下코모도(6-C)(''25)'!G39+'25 上코모도(6-BB)(''25)'!G39</f>
        <v>1</v>
      </c>
      <c r="H37" s="77">
        <f>+'24 下코모도(6-A)(''25)'!H39+'24 下코모도(6-C)(''25)'!H39+'25 上코모도(6-BB)(''25)'!H39</f>
        <v>0.33333333333332998</v>
      </c>
      <c r="I37" s="52">
        <f>+'24 下코모도(6-A)(''25)'!I39+'24 下코모도(6-C)(''25)'!I39+'25 上코모도(6-BB)(''25)'!I39</f>
        <v>0</v>
      </c>
      <c r="J37" s="52">
        <f>+'24 下코모도(6-A)(''25)'!J39+'24 下코모도(6-C)(''25)'!J39+'25 上코모도(6-BB)(''25)'!J39</f>
        <v>0</v>
      </c>
      <c r="K37" s="91">
        <f>+'24 下코모도(6-A)(''25)'!K39+'24 下코모도(6-C)(''25)'!K39+'25 上코모도(6-BB)(''25)'!K39</f>
        <v>3</v>
      </c>
      <c r="L37" s="91">
        <f>+'24 下코모도(6-A)(''25)'!L39+'24 下코모도(6-C)(''25)'!L39+'25 上코모도(6-BB)(''25)'!L39</f>
        <v>1</v>
      </c>
      <c r="M37" s="52">
        <f>+'24 下코모도(6-A)(''25)'!M39+'24 下코모도(6-C)(''25)'!M39+'25 上코모도(6-BB)(''25)'!M39</f>
        <v>0</v>
      </c>
      <c r="N37" s="52">
        <f>+'24 下코모도(6-A)(''25)'!N39+'24 下코모도(6-C)(''25)'!N39+'25 上코모도(6-BB)(''25)'!N39</f>
        <v>4</v>
      </c>
      <c r="O37" s="52">
        <f>+'24 下코모도(6-A)(''25)'!O39+'24 下코모도(6-C)(''25)'!O39+'25 上코모도(6-BB)(''25)'!O39</f>
        <v>1</v>
      </c>
      <c r="P37" s="90">
        <f>+O37*9/H37</f>
        <v>27.00000000000027</v>
      </c>
      <c r="Q37" s="38">
        <f>(K37+L37)/H37</f>
        <v>12.000000000000121</v>
      </c>
      <c r="R37" s="39">
        <f>I37/H37</f>
        <v>0</v>
      </c>
      <c r="S37" s="39">
        <f>H37/B37</f>
        <v>0.33333333333332998</v>
      </c>
      <c r="T37" s="40">
        <f>M37/H37</f>
        <v>0</v>
      </c>
      <c r="U37" s="33">
        <f>O37/N37</f>
        <v>0.25</v>
      </c>
      <c r="V37" s="38">
        <f>(I37+K37+L37)/H37</f>
        <v>12.000000000000121</v>
      </c>
      <c r="W37" s="134">
        <f>+(L37+K37)/F37*100</f>
        <v>80</v>
      </c>
      <c r="X37" s="131"/>
      <c r="Y37" s="52">
        <f>+'24 下코모도(6-A)(''25)'!Y39+'24 下코모도(6-C)(''25)'!Y39+'25 上코모도(6-BB)(''25)'!Y39</f>
        <v>0</v>
      </c>
      <c r="Z37" s="52">
        <f>+'24 下코모도(6-A)(''25)'!Z39+'24 下코모도(6-C)(''25)'!Z39+'25 上코모도(6-BB)(''25)'!Z39</f>
        <v>0</v>
      </c>
      <c r="AA37"/>
      <c r="AB37"/>
      <c r="AC37"/>
    </row>
    <row r="38" spans="1:29" s="80" customFormat="1" ht="19.5" customHeight="1" x14ac:dyDescent="0.3">
      <c r="A38" s="10" t="s">
        <v>59</v>
      </c>
      <c r="B38" s="52">
        <f>+'24 下코모도(6-A)(''25)'!B31+'24 下코모도(6-C)(''25)'!B31+'25 上코모도(6-BB)(''25)'!B31</f>
        <v>1</v>
      </c>
      <c r="C38" s="52">
        <f>+'24 下코모도(6-A)(''25)'!C31+'24 下코모도(6-C)(''25)'!C31+'25 上코모도(6-BB)(''25)'!C31</f>
        <v>0</v>
      </c>
      <c r="D38" s="52">
        <f>+'24 下코모도(6-A)(''25)'!D31+'24 下코모도(6-C)(''25)'!D31+'25 上코모도(6-BB)(''25)'!D31</f>
        <v>0</v>
      </c>
      <c r="E38" s="52">
        <f>+'24 下코모도(6-A)(''25)'!E31+'24 下코모도(6-C)(''25)'!E31+'25 上코모도(6-BB)(''25)'!E31</f>
        <v>0</v>
      </c>
      <c r="F38" s="52">
        <f>+'24 下코모도(6-A)(''25)'!F31+'24 下코모도(6-C)(''25)'!F31+'25 上코모도(6-BB)(''25)'!F31</f>
        <v>4</v>
      </c>
      <c r="G38" s="52">
        <f>+'24 下코모도(6-A)(''25)'!G31+'24 下코모도(6-C)(''25)'!G31+'25 上코모도(6-BB)(''25)'!G31</f>
        <v>2</v>
      </c>
      <c r="H38" s="77">
        <f>+'24 下코모도(6-A)(''25)'!H31+'24 下코모도(6-C)(''25)'!H31+'25 上코모도(6-BB)(''25)'!H31</f>
        <v>0.3333333</v>
      </c>
      <c r="I38" s="52">
        <f>+'24 下코모도(6-A)(''25)'!I31+'24 下코모도(6-C)(''25)'!I31+'25 上코모도(6-BB)(''25)'!I31</f>
        <v>1</v>
      </c>
      <c r="J38" s="52">
        <f>+'24 下코모도(6-A)(''25)'!J31+'24 下코모도(6-C)(''25)'!J31+'25 上코모도(6-BB)(''25)'!J31</f>
        <v>0</v>
      </c>
      <c r="K38" s="91">
        <f>+'24 下코모도(6-A)(''25)'!K31+'24 下코모도(6-C)(''25)'!K31+'25 上코모도(6-BB)(''25)'!K31</f>
        <v>1</v>
      </c>
      <c r="L38" s="91">
        <f>+'24 下코모도(6-A)(''25)'!L31+'24 下코모도(6-C)(''25)'!L31+'25 上코모도(6-BB)(''25)'!L31</f>
        <v>1</v>
      </c>
      <c r="M38" s="52">
        <f>+'24 下코모도(6-A)(''25)'!M31+'24 下코모도(6-C)(''25)'!M31+'25 上코모도(6-BB)(''25)'!M31</f>
        <v>1</v>
      </c>
      <c r="N38" s="52">
        <f>+'24 下코모도(6-A)(''25)'!N31+'24 下코모도(6-C)(''25)'!N31+'25 上코모도(6-BB)(''25)'!N31</f>
        <v>0</v>
      </c>
      <c r="O38" s="52">
        <f>+'24 下코모도(6-A)(''25)'!O31+'24 下코모도(6-C)(''25)'!O31+'25 上코모도(6-BB)(''25)'!O31</f>
        <v>0</v>
      </c>
      <c r="P38" s="90">
        <f>+O38*9/H38</f>
        <v>0</v>
      </c>
      <c r="Q38" s="38">
        <f>(K38+L38)/H38</f>
        <v>6.0000006000000603</v>
      </c>
      <c r="R38" s="39">
        <f>I38/H38</f>
        <v>3.0000003000000302</v>
      </c>
      <c r="S38" s="39">
        <f>H38/B38</f>
        <v>0.3333333</v>
      </c>
      <c r="T38" s="40">
        <f>M38/H38</f>
        <v>3.0000003000000302</v>
      </c>
      <c r="U38" s="33" t="e">
        <f>O38/N38</f>
        <v>#DIV/0!</v>
      </c>
      <c r="V38" s="38">
        <f>(I38+K38+L38)/H38</f>
        <v>9.0000009000000905</v>
      </c>
      <c r="W38" s="134">
        <f>+(L38+K38)/F38*100</f>
        <v>50</v>
      </c>
      <c r="X38" s="131"/>
      <c r="Y38" s="52">
        <f>+'24 下코모도(6-A)(''25)'!Y31+'24 下코모도(6-C)(''25)'!Y31+'25 上코모도(6-BB)(''25)'!Y31</f>
        <v>0</v>
      </c>
      <c r="Z38" s="52">
        <f>+'24 下코모도(6-A)(''25)'!Z31+'24 下코모도(6-C)(''25)'!Z31+'25 上코모도(6-BB)(''25)'!Z31</f>
        <v>0</v>
      </c>
      <c r="AA38"/>
      <c r="AB38"/>
      <c r="AC38"/>
    </row>
    <row r="39" spans="1:29" s="80" customFormat="1" ht="19.5" customHeight="1" x14ac:dyDescent="0.3">
      <c r="A39" s="10" t="s">
        <v>74</v>
      </c>
      <c r="B39" s="52">
        <f>+'24 下코모도(6-A)(''25)'!B32+'24 下코모도(6-C)(''25)'!B32+'25 上코모도(6-BB)(''25)'!B32</f>
        <v>0</v>
      </c>
      <c r="C39" s="52">
        <f>+'24 下코모도(6-A)(''25)'!C32+'24 下코모도(6-C)(''25)'!C32+'25 上코모도(6-BB)(''25)'!C32</f>
        <v>0</v>
      </c>
      <c r="D39" s="52">
        <f>+'24 下코모도(6-A)(''25)'!D32+'24 下코모도(6-C)(''25)'!D32+'25 上코모도(6-BB)(''25)'!D32</f>
        <v>0</v>
      </c>
      <c r="E39" s="52">
        <f>+'24 下코모도(6-A)(''25)'!E32+'24 下코모도(6-C)(''25)'!E32+'25 上코모도(6-BB)(''25)'!E32</f>
        <v>0</v>
      </c>
      <c r="F39" s="52">
        <f>+'24 下코모도(6-A)(''25)'!F32+'24 下코모도(6-C)(''25)'!F32+'25 上코모도(6-BB)(''25)'!F32</f>
        <v>0</v>
      </c>
      <c r="G39" s="52">
        <f>+'24 下코모도(6-A)(''25)'!G32+'24 下코모도(6-C)(''25)'!G32+'25 上코모도(6-BB)(''25)'!G32</f>
        <v>0</v>
      </c>
      <c r="H39" s="77">
        <f>+'24 下코모도(6-A)(''25)'!H32+'24 下코모도(6-C)(''25)'!H32+'25 上코모도(6-BB)(''25)'!H32</f>
        <v>0</v>
      </c>
      <c r="I39" s="52">
        <f>+'24 下코모도(6-A)(''25)'!I32+'24 下코모도(6-C)(''25)'!I32+'25 上코모도(6-BB)(''25)'!I32</f>
        <v>0</v>
      </c>
      <c r="J39" s="52">
        <f>+'24 下코모도(6-A)(''25)'!J32+'24 下코모도(6-C)(''25)'!J32+'25 上코모도(6-BB)(''25)'!J32</f>
        <v>0</v>
      </c>
      <c r="K39" s="91">
        <f>+'24 下코모도(6-A)(''25)'!K32+'24 下코모도(6-C)(''25)'!K32+'25 上코모도(6-BB)(''25)'!K32</f>
        <v>0</v>
      </c>
      <c r="L39" s="91">
        <f>+'24 下코모도(6-A)(''25)'!L32+'24 下코모도(6-C)(''25)'!L32+'25 上코모도(6-BB)(''25)'!L32</f>
        <v>0</v>
      </c>
      <c r="M39" s="52">
        <f>+'24 下코모도(6-A)(''25)'!M32+'24 下코모도(6-C)(''25)'!M32+'25 上코모도(6-BB)(''25)'!M32</f>
        <v>0</v>
      </c>
      <c r="N39" s="52">
        <f>+'24 下코모도(6-A)(''25)'!N32+'24 下코모도(6-C)(''25)'!N32+'25 上코모도(6-BB)(''25)'!N32</f>
        <v>0</v>
      </c>
      <c r="O39" s="52">
        <f>+'24 下코모도(6-A)(''25)'!O32+'24 下코모도(6-C)(''25)'!O32+'25 上코모도(6-BB)(''25)'!O32</f>
        <v>0</v>
      </c>
      <c r="P39" s="90" t="e">
        <f>+O39*9/H39</f>
        <v>#DIV/0!</v>
      </c>
      <c r="Q39" s="38" t="e">
        <f>(K39+L39)/H39</f>
        <v>#DIV/0!</v>
      </c>
      <c r="R39" s="39" t="e">
        <f>I39/H39</f>
        <v>#DIV/0!</v>
      </c>
      <c r="S39" s="39" t="e">
        <f>H39/B39</f>
        <v>#DIV/0!</v>
      </c>
      <c r="T39" s="40" t="e">
        <f>M39/H39</f>
        <v>#DIV/0!</v>
      </c>
      <c r="U39" s="33" t="e">
        <f>O39/N39</f>
        <v>#DIV/0!</v>
      </c>
      <c r="V39" s="38" t="e">
        <f>(I39+K39+L39)/H39</f>
        <v>#DIV/0!</v>
      </c>
      <c r="W39" s="134" t="e">
        <f>+(L39+K39)/F39*100</f>
        <v>#DIV/0!</v>
      </c>
      <c r="X39" s="131"/>
      <c r="Y39" s="52">
        <f>+'24 下코모도(6-A)(''25)'!Y32+'24 下코모도(6-C)(''25)'!Y32+'25 上코모도(6-BB)(''25)'!Y32</f>
        <v>0</v>
      </c>
      <c r="Z39" s="52">
        <f>+'24 下코모도(6-A)(''25)'!Z32+'24 下코모도(6-C)(''25)'!Z32+'25 上코모도(6-BB)(''25)'!Z32</f>
        <v>0</v>
      </c>
      <c r="AA39"/>
      <c r="AB39"/>
      <c r="AC39"/>
    </row>
    <row r="40" spans="1:29" s="80" customFormat="1" ht="19.5" customHeight="1" x14ac:dyDescent="0.3">
      <c r="A40" s="10" t="s">
        <v>76</v>
      </c>
      <c r="B40" s="52">
        <f>+'24 下코모도(6-A)(''25)'!B35+'24 下코모도(6-C)(''25)'!B35+'25 上코모도(6-BB)(''25)'!B35</f>
        <v>0</v>
      </c>
      <c r="C40" s="52">
        <f>+'24 下코모도(6-A)(''25)'!C35+'24 下코모도(6-C)(''25)'!C35+'25 上코모도(6-BB)(''25)'!C35</f>
        <v>0</v>
      </c>
      <c r="D40" s="52">
        <f>+'24 下코모도(6-A)(''25)'!D35+'24 下코모도(6-C)(''25)'!D35+'25 上코모도(6-BB)(''25)'!D35</f>
        <v>0</v>
      </c>
      <c r="E40" s="52">
        <f>+'24 下코모도(6-A)(''25)'!E35+'24 下코모도(6-C)(''25)'!E35+'25 上코모도(6-BB)(''25)'!E35</f>
        <v>0</v>
      </c>
      <c r="F40" s="52">
        <f>+'24 下코모도(6-A)(''25)'!F35+'24 下코모도(6-C)(''25)'!F35+'25 上코모도(6-BB)(''25)'!F35</f>
        <v>0</v>
      </c>
      <c r="G40" s="52">
        <f>+'24 下코모도(6-A)(''25)'!G35+'24 下코모도(6-C)(''25)'!G35+'25 上코모도(6-BB)(''25)'!G35</f>
        <v>0</v>
      </c>
      <c r="H40" s="77">
        <f>+'24 下코모도(6-A)(''25)'!H35+'24 下코모도(6-C)(''25)'!H35+'25 上코모도(6-BB)(''25)'!H35</f>
        <v>0</v>
      </c>
      <c r="I40" s="52">
        <f>+'24 下코모도(6-A)(''25)'!I35+'24 下코모도(6-C)(''25)'!I35+'25 上코모도(6-BB)(''25)'!I35</f>
        <v>0</v>
      </c>
      <c r="J40" s="52">
        <f>+'24 下코모도(6-A)(''25)'!J35+'24 下코모도(6-C)(''25)'!J35+'25 上코모도(6-BB)(''25)'!J35</f>
        <v>0</v>
      </c>
      <c r="K40" s="91">
        <f>+'24 下코모도(6-A)(''25)'!K35+'24 下코모도(6-C)(''25)'!K35+'25 上코모도(6-BB)(''25)'!K35</f>
        <v>0</v>
      </c>
      <c r="L40" s="91">
        <f>+'24 下코모도(6-A)(''25)'!L35+'24 下코모도(6-C)(''25)'!L35+'25 上코모도(6-BB)(''25)'!L35</f>
        <v>0</v>
      </c>
      <c r="M40" s="52">
        <f>+'24 下코모도(6-A)(''25)'!M35+'24 下코모도(6-C)(''25)'!M35+'25 上코모도(6-BB)(''25)'!M35</f>
        <v>0</v>
      </c>
      <c r="N40" s="52">
        <f>+'24 下코모도(6-A)(''25)'!N35+'24 下코모도(6-C)(''25)'!N35+'25 上코모도(6-BB)(''25)'!N35</f>
        <v>0</v>
      </c>
      <c r="O40" s="52">
        <f>+'24 下코모도(6-A)(''25)'!O35+'24 下코모도(6-C)(''25)'!O35+'25 上코모도(6-BB)(''25)'!O35</f>
        <v>0</v>
      </c>
      <c r="P40" s="90" t="e">
        <f>+O40*9/H40</f>
        <v>#DIV/0!</v>
      </c>
      <c r="Q40" s="38" t="e">
        <f>(K40+L40)/H40</f>
        <v>#DIV/0!</v>
      </c>
      <c r="R40" s="39" t="e">
        <f>I40/H40</f>
        <v>#DIV/0!</v>
      </c>
      <c r="S40" s="39" t="e">
        <f>H40/B40</f>
        <v>#DIV/0!</v>
      </c>
      <c r="T40" s="40" t="e">
        <f>M40/H40</f>
        <v>#DIV/0!</v>
      </c>
      <c r="U40" s="33" t="e">
        <f>O40/N40</f>
        <v>#DIV/0!</v>
      </c>
      <c r="V40" s="38" t="e">
        <f>(I40+K40+L40)/H40</f>
        <v>#DIV/0!</v>
      </c>
      <c r="W40" s="134" t="e">
        <f>+(L40+K40)/F40*100</f>
        <v>#DIV/0!</v>
      </c>
      <c r="X40" s="131"/>
      <c r="Y40" s="52">
        <f>+'24 下코모도(6-A)(''25)'!Y35+'24 下코모도(6-C)(''25)'!Y35+'25 上코모도(6-BB)(''25)'!Y35</f>
        <v>0</v>
      </c>
      <c r="Z40" s="52">
        <f>+'24 下코모도(6-A)(''25)'!Z35+'24 下코모도(6-C)(''25)'!Z35+'25 上코모도(6-BB)(''25)'!Z35</f>
        <v>0</v>
      </c>
      <c r="AA40"/>
      <c r="AB40"/>
      <c r="AC40"/>
    </row>
    <row r="41" spans="1:29" s="80" customFormat="1" ht="19.5" customHeight="1" x14ac:dyDescent="0.3">
      <c r="A41" s="10" t="s">
        <v>47</v>
      </c>
      <c r="B41" s="52">
        <f>+'24 下코모도(6-A)(''25)'!B40+'24 下코모도(6-C)(''25)'!B40+'25 上코모도(6-BB)(''25)'!B40</f>
        <v>0</v>
      </c>
      <c r="C41" s="52">
        <f>+'24 下코모도(6-A)(''25)'!C40+'24 下코모도(6-C)(''25)'!C40+'25 上코모도(6-BB)(''25)'!C40</f>
        <v>0</v>
      </c>
      <c r="D41" s="52">
        <f>+'24 下코모도(6-A)(''25)'!D40+'24 下코모도(6-C)(''25)'!D40+'25 上코모도(6-BB)(''25)'!D40</f>
        <v>0</v>
      </c>
      <c r="E41" s="52">
        <f>+'24 下코모도(6-A)(''25)'!E40+'24 下코모도(6-C)(''25)'!E40+'25 上코모도(6-BB)(''25)'!E40</f>
        <v>0</v>
      </c>
      <c r="F41" s="52">
        <f>+'24 下코모도(6-A)(''25)'!F40+'24 下코모도(6-C)(''25)'!F40+'25 上코모도(6-BB)(''25)'!F40</f>
        <v>0</v>
      </c>
      <c r="G41" s="52">
        <f>+'24 下코모도(6-A)(''25)'!G40+'24 下코모도(6-C)(''25)'!G40+'25 上코모도(6-BB)(''25)'!G40</f>
        <v>0</v>
      </c>
      <c r="H41" s="77">
        <f>+'24 下코모도(6-A)(''25)'!H40+'24 下코모도(6-C)(''25)'!H40+'25 上코모도(6-BB)(''25)'!H40</f>
        <v>0</v>
      </c>
      <c r="I41" s="52">
        <f>+'24 下코모도(6-A)(''25)'!I40+'24 下코모도(6-C)(''25)'!I40+'25 上코모도(6-BB)(''25)'!I40</f>
        <v>0</v>
      </c>
      <c r="J41" s="52">
        <f>+'24 下코모도(6-A)(''25)'!J40+'24 下코모도(6-C)(''25)'!J40+'25 上코모도(6-BB)(''25)'!J40</f>
        <v>0</v>
      </c>
      <c r="K41" s="91">
        <f>+'24 下코모도(6-A)(''25)'!K40+'24 下코모도(6-C)(''25)'!K40+'25 上코모도(6-BB)(''25)'!K40</f>
        <v>0</v>
      </c>
      <c r="L41" s="91">
        <f>+'24 下코모도(6-A)(''25)'!L40+'24 下코모도(6-C)(''25)'!L40+'25 上코모도(6-BB)(''25)'!L40</f>
        <v>0</v>
      </c>
      <c r="M41" s="52">
        <f>+'24 下코모도(6-A)(''25)'!M40+'24 下코모도(6-C)(''25)'!M40+'25 上코모도(6-BB)(''25)'!M40</f>
        <v>0</v>
      </c>
      <c r="N41" s="52">
        <f>+'24 下코모도(6-A)(''25)'!N40+'24 下코모도(6-C)(''25)'!N40+'25 上코모도(6-BB)(''25)'!N40</f>
        <v>0</v>
      </c>
      <c r="O41" s="52">
        <f>+'24 下코모도(6-A)(''25)'!O40+'24 下코모도(6-C)(''25)'!O40+'25 上코모도(6-BB)(''25)'!O40</f>
        <v>0</v>
      </c>
      <c r="P41" s="90" t="e">
        <f>+O41*9/H41</f>
        <v>#DIV/0!</v>
      </c>
      <c r="Q41" s="38" t="e">
        <f>(K41+L41)/H41</f>
        <v>#DIV/0!</v>
      </c>
      <c r="R41" s="39" t="e">
        <f>I41/H41</f>
        <v>#DIV/0!</v>
      </c>
      <c r="S41" s="39" t="e">
        <f>H41/B41</f>
        <v>#DIV/0!</v>
      </c>
      <c r="T41" s="40" t="e">
        <f>M41/H41</f>
        <v>#DIV/0!</v>
      </c>
      <c r="U41" s="33" t="e">
        <f>O41/N41</f>
        <v>#DIV/0!</v>
      </c>
      <c r="V41" s="38" t="e">
        <f>(I41+K41+L41)/H41</f>
        <v>#DIV/0!</v>
      </c>
      <c r="W41" s="134" t="e">
        <f>+(L41+K41)/F41*100</f>
        <v>#DIV/0!</v>
      </c>
      <c r="X41" s="131"/>
      <c r="Y41" s="52">
        <f>+'24 下코모도(6-A)(''25)'!Y40+'24 下코모도(6-C)(''25)'!Y40+'25 上코모도(6-BB)(''25)'!Y40</f>
        <v>0</v>
      </c>
      <c r="Z41" s="52">
        <f>+'24 下코모도(6-A)(''25)'!Z40+'24 下코모도(6-C)(''25)'!Z40+'25 上코모도(6-BB)(''25)'!Z40</f>
        <v>0</v>
      </c>
      <c r="AA41"/>
      <c r="AB41"/>
      <c r="AC41"/>
    </row>
    <row r="42" spans="1:29" s="80" customFormat="1" ht="19.5" customHeight="1" x14ac:dyDescent="0.3">
      <c r="A42" s="11" t="s">
        <v>10</v>
      </c>
      <c r="B42" s="11"/>
      <c r="C42" s="11">
        <f t="shared" ref="C42:O42" si="3">SUM(C31:C41)</f>
        <v>12</v>
      </c>
      <c r="D42" s="11">
        <f t="shared" si="3"/>
        <v>11</v>
      </c>
      <c r="E42" s="11">
        <f t="shared" si="3"/>
        <v>0</v>
      </c>
      <c r="F42" s="11">
        <f t="shared" si="3"/>
        <v>694</v>
      </c>
      <c r="G42" s="11">
        <f t="shared" si="3"/>
        <v>528</v>
      </c>
      <c r="H42" s="15">
        <f t="shared" si="3"/>
        <v>103.66666589899999</v>
      </c>
      <c r="I42" s="11">
        <f t="shared" si="3"/>
        <v>191</v>
      </c>
      <c r="J42" s="11">
        <f t="shared" si="3"/>
        <v>3</v>
      </c>
      <c r="K42" s="11">
        <f t="shared" si="3"/>
        <v>124</v>
      </c>
      <c r="L42" s="11">
        <f t="shared" si="3"/>
        <v>35</v>
      </c>
      <c r="M42" s="11">
        <f t="shared" si="3"/>
        <v>116</v>
      </c>
      <c r="N42" s="11">
        <f t="shared" si="3"/>
        <v>243</v>
      </c>
      <c r="O42" s="11">
        <f t="shared" si="3"/>
        <v>163</v>
      </c>
      <c r="P42" s="16">
        <f t="shared" ref="P42" si="4">+O42*9/H42</f>
        <v>14.151125506720394</v>
      </c>
      <c r="Q42" s="34">
        <f t="shared" ref="Q42" si="5">(K42+L42)/H42</f>
        <v>1.5337620692355436</v>
      </c>
      <c r="R42" s="35">
        <f t="shared" ref="R42" si="6">I42/H42</f>
        <v>1.8424437435470995</v>
      </c>
      <c r="S42" s="35"/>
      <c r="T42" s="36">
        <f t="shared" ref="T42" si="7">M42/H42</f>
        <v>1.1189710693793904</v>
      </c>
      <c r="U42" s="37">
        <f t="shared" ref="U42" si="8">O42/N42</f>
        <v>0.67078189300411528</v>
      </c>
      <c r="V42" s="34">
        <f t="shared" ref="V42" si="9">(I42+K42+L42)/H42</f>
        <v>3.3762058127826431</v>
      </c>
      <c r="W42" s="34"/>
      <c r="X42" s="131"/>
      <c r="Y42" s="11">
        <f t="shared" ref="Y42:Z42" si="10">SUM(Y31:Y41)</f>
        <v>10</v>
      </c>
      <c r="Z42" s="11">
        <f t="shared" si="10"/>
        <v>0</v>
      </c>
      <c r="AA42"/>
      <c r="AB42"/>
      <c r="AC42"/>
    </row>
    <row r="45" spans="1:29" s="80" customFormat="1" x14ac:dyDescent="0.3">
      <c r="A45"/>
      <c r="B45"/>
      <c r="C45"/>
      <c r="D45"/>
      <c r="E45"/>
      <c r="F45"/>
      <c r="G45"/>
      <c r="H45"/>
      <c r="I45"/>
      <c r="J45" s="142" t="s">
        <v>245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</sheetData>
  <sortState xmlns:xlrd2="http://schemas.microsoft.com/office/spreadsheetml/2017/richdata2" ref="A31:Z41">
    <sortCondition descending="1" ref="H31:H41"/>
  </sortState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82EAC-A2D4-4CE7-9A9A-CDC00FC1D3A5}">
  <dimension ref="A1:W36"/>
  <sheetViews>
    <sheetView zoomScale="70" zoomScaleNormal="70" workbookViewId="0">
      <selection activeCell="C11" sqref="C11:C14"/>
    </sheetView>
  </sheetViews>
  <sheetFormatPr defaultColWidth="9" defaultRowHeight="16.5" x14ac:dyDescent="0.3"/>
  <cols>
    <col min="1" max="20" width="8.125" customWidth="1"/>
  </cols>
  <sheetData>
    <row r="1" spans="1:23" ht="26.25" x14ac:dyDescent="0.3">
      <c r="A1" s="24" t="s">
        <v>91</v>
      </c>
    </row>
    <row r="2" spans="1:23" ht="17.25" x14ac:dyDescent="0.3">
      <c r="A2" s="4" t="s">
        <v>1</v>
      </c>
    </row>
    <row r="3" spans="1:23" ht="34.5" x14ac:dyDescent="0.3">
      <c r="A3" s="10" t="s">
        <v>32</v>
      </c>
      <c r="B3" s="10" t="s">
        <v>13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79</v>
      </c>
      <c r="H3" s="10" t="s">
        <v>72</v>
      </c>
      <c r="I3" s="10" t="s">
        <v>0</v>
      </c>
      <c r="J3" s="10" t="s">
        <v>82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43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  <c r="W3" s="10" t="s">
        <v>88</v>
      </c>
    </row>
    <row r="4" spans="1:23" ht="17.25" x14ac:dyDescent="0.3">
      <c r="A4" s="10" t="s">
        <v>59</v>
      </c>
      <c r="B4" s="1">
        <v>4</v>
      </c>
      <c r="C4" s="122">
        <f t="shared" ref="C4:C23" si="0">+F4/E4</f>
        <v>0.25</v>
      </c>
      <c r="D4" s="1">
        <v>9</v>
      </c>
      <c r="E4" s="1">
        <v>8</v>
      </c>
      <c r="F4" s="1">
        <v>2</v>
      </c>
      <c r="G4" s="1">
        <f t="shared" ref="G4:G23" si="1">+F4-(H4+I4+J4)</f>
        <v>1</v>
      </c>
      <c r="H4" s="1">
        <v>0</v>
      </c>
      <c r="I4" s="1">
        <v>1</v>
      </c>
      <c r="J4" s="1">
        <v>0</v>
      </c>
      <c r="K4" s="1">
        <v>1</v>
      </c>
      <c r="L4" s="1">
        <v>3</v>
      </c>
      <c r="M4" s="1">
        <v>1</v>
      </c>
      <c r="N4" s="1">
        <f t="shared" ref="N4:N23" si="2">+D4-E4</f>
        <v>1</v>
      </c>
      <c r="O4" s="1">
        <v>4</v>
      </c>
      <c r="P4" s="82">
        <f t="shared" ref="P4:P23" si="3">+O4/D4</f>
        <v>0.44444444444444442</v>
      </c>
      <c r="Q4" s="46">
        <f t="shared" ref="Q4:Q23" si="4">+(G4*1+H4*2+I4*3+J4*4)/E4</f>
        <v>0.5</v>
      </c>
      <c r="R4" s="2">
        <f t="shared" ref="R4:R23" si="5">+(F4+N4)/D4</f>
        <v>0.33333333333333331</v>
      </c>
      <c r="S4" s="58">
        <f t="shared" ref="S4:S23" si="6">+R4+Q4</f>
        <v>0.83333333333333326</v>
      </c>
      <c r="T4" s="74">
        <f t="shared" ref="T4:T23" si="7">O4/(D4-(F4+N4))</f>
        <v>0.66666666666666663</v>
      </c>
      <c r="U4" s="61">
        <f t="shared" ref="U4:U23" si="8">RANK(R4,$R$4:$R$23)</f>
        <v>17</v>
      </c>
      <c r="V4" s="69">
        <f t="shared" ref="V4:V23" si="9">RANK(S4,$S$4:$S$23)</f>
        <v>12</v>
      </c>
      <c r="W4" s="25">
        <v>1</v>
      </c>
    </row>
    <row r="5" spans="1:23" ht="17.25" x14ac:dyDescent="0.3">
      <c r="A5" s="10" t="s">
        <v>34</v>
      </c>
      <c r="B5" s="1">
        <v>5</v>
      </c>
      <c r="C5" s="122">
        <f t="shared" si="0"/>
        <v>0.25</v>
      </c>
      <c r="D5" s="1">
        <v>12</v>
      </c>
      <c r="E5" s="1">
        <v>8</v>
      </c>
      <c r="F5" s="1">
        <v>2</v>
      </c>
      <c r="G5" s="1">
        <f t="shared" si="1"/>
        <v>0</v>
      </c>
      <c r="H5" s="1">
        <v>2</v>
      </c>
      <c r="I5" s="1">
        <v>0</v>
      </c>
      <c r="J5" s="1">
        <v>0</v>
      </c>
      <c r="K5" s="1">
        <v>5</v>
      </c>
      <c r="L5" s="1">
        <v>1</v>
      </c>
      <c r="M5" s="1">
        <v>3</v>
      </c>
      <c r="N5" s="1">
        <f t="shared" si="2"/>
        <v>4</v>
      </c>
      <c r="O5" s="1">
        <v>5</v>
      </c>
      <c r="P5" s="79">
        <f t="shared" si="3"/>
        <v>0.41666666666666669</v>
      </c>
      <c r="Q5" s="46">
        <f t="shared" si="4"/>
        <v>0.5</v>
      </c>
      <c r="R5" s="2">
        <f t="shared" si="5"/>
        <v>0.5</v>
      </c>
      <c r="S5" s="58">
        <f t="shared" si="6"/>
        <v>1</v>
      </c>
      <c r="T5" s="62">
        <f t="shared" si="7"/>
        <v>0.83333333333333337</v>
      </c>
      <c r="U5" s="61">
        <f t="shared" si="8"/>
        <v>8</v>
      </c>
      <c r="V5" s="69">
        <f t="shared" si="9"/>
        <v>9</v>
      </c>
      <c r="W5" s="25">
        <v>1</v>
      </c>
    </row>
    <row r="6" spans="1:23" ht="17.25" x14ac:dyDescent="0.3">
      <c r="A6" s="10" t="s">
        <v>44</v>
      </c>
      <c r="B6" s="1">
        <v>7</v>
      </c>
      <c r="C6" s="122">
        <f t="shared" si="0"/>
        <v>0.61111111111111116</v>
      </c>
      <c r="D6" s="1">
        <v>23</v>
      </c>
      <c r="E6" s="1">
        <v>18</v>
      </c>
      <c r="F6" s="1">
        <v>11</v>
      </c>
      <c r="G6" s="1">
        <f t="shared" si="1"/>
        <v>9</v>
      </c>
      <c r="H6" s="1">
        <v>2</v>
      </c>
      <c r="I6" s="1">
        <v>0</v>
      </c>
      <c r="J6" s="1">
        <v>0</v>
      </c>
      <c r="K6" s="1">
        <v>8</v>
      </c>
      <c r="L6" s="1">
        <v>7</v>
      </c>
      <c r="M6" s="1">
        <v>6</v>
      </c>
      <c r="N6" s="1">
        <f t="shared" si="2"/>
        <v>5</v>
      </c>
      <c r="O6" s="1">
        <v>0</v>
      </c>
      <c r="P6" s="83">
        <f t="shared" si="3"/>
        <v>0</v>
      </c>
      <c r="Q6" s="46">
        <f t="shared" si="4"/>
        <v>0.72222222222222221</v>
      </c>
      <c r="R6" s="2">
        <f t="shared" si="5"/>
        <v>0.69565217391304346</v>
      </c>
      <c r="S6" s="58">
        <f t="shared" si="6"/>
        <v>1.4178743961352658</v>
      </c>
      <c r="T6" s="63">
        <f t="shared" si="7"/>
        <v>0</v>
      </c>
      <c r="U6" s="61">
        <f t="shared" si="8"/>
        <v>3</v>
      </c>
      <c r="V6" s="69">
        <f t="shared" si="9"/>
        <v>3</v>
      </c>
      <c r="W6" s="25">
        <v>4</v>
      </c>
    </row>
    <row r="7" spans="1:23" ht="17.25" x14ac:dyDescent="0.3">
      <c r="A7" s="10" t="s">
        <v>9</v>
      </c>
      <c r="B7" s="1">
        <v>1</v>
      </c>
      <c r="C7" s="122">
        <f t="shared" si="0"/>
        <v>0</v>
      </c>
      <c r="D7" s="1">
        <v>3</v>
      </c>
      <c r="E7" s="1">
        <v>2</v>
      </c>
      <c r="F7" s="1">
        <v>0</v>
      </c>
      <c r="G7" s="1">
        <f t="shared" si="1"/>
        <v>0</v>
      </c>
      <c r="H7" s="1">
        <v>0</v>
      </c>
      <c r="I7" s="1">
        <v>0</v>
      </c>
      <c r="J7" s="1">
        <v>0</v>
      </c>
      <c r="K7" s="1">
        <v>2</v>
      </c>
      <c r="L7" s="1">
        <v>1</v>
      </c>
      <c r="M7" s="1">
        <v>0</v>
      </c>
      <c r="N7" s="1">
        <f t="shared" si="2"/>
        <v>1</v>
      </c>
      <c r="O7" s="1">
        <v>1</v>
      </c>
      <c r="P7" s="79">
        <f t="shared" si="3"/>
        <v>0.33333333333333331</v>
      </c>
      <c r="Q7" s="46">
        <f t="shared" si="4"/>
        <v>0</v>
      </c>
      <c r="R7" s="2">
        <f t="shared" si="5"/>
        <v>0.33333333333333331</v>
      </c>
      <c r="S7" s="58">
        <f t="shared" si="6"/>
        <v>0.33333333333333331</v>
      </c>
      <c r="T7" s="64">
        <f t="shared" si="7"/>
        <v>0.5</v>
      </c>
      <c r="U7" s="61">
        <f t="shared" si="8"/>
        <v>17</v>
      </c>
      <c r="V7" s="69">
        <f t="shared" si="9"/>
        <v>18</v>
      </c>
      <c r="W7" s="25"/>
    </row>
    <row r="8" spans="1:23" ht="17.25" x14ac:dyDescent="0.3">
      <c r="A8" s="10" t="s">
        <v>4</v>
      </c>
      <c r="B8" s="1">
        <v>2</v>
      </c>
      <c r="C8" s="122">
        <f t="shared" si="0"/>
        <v>0</v>
      </c>
      <c r="D8" s="1">
        <v>6</v>
      </c>
      <c r="E8" s="1">
        <v>3</v>
      </c>
      <c r="F8" s="1">
        <v>0</v>
      </c>
      <c r="G8" s="1">
        <f t="shared" si="1"/>
        <v>0</v>
      </c>
      <c r="H8" s="1">
        <v>0</v>
      </c>
      <c r="I8" s="1">
        <v>0</v>
      </c>
      <c r="J8" s="1">
        <v>0</v>
      </c>
      <c r="K8" s="1">
        <v>3</v>
      </c>
      <c r="L8" s="1">
        <v>1</v>
      </c>
      <c r="M8" s="1">
        <v>1</v>
      </c>
      <c r="N8" s="1">
        <f t="shared" si="2"/>
        <v>3</v>
      </c>
      <c r="O8" s="1">
        <v>3</v>
      </c>
      <c r="P8" s="79">
        <f t="shared" si="3"/>
        <v>0.5</v>
      </c>
      <c r="Q8" s="46">
        <f t="shared" si="4"/>
        <v>0</v>
      </c>
      <c r="R8" s="2">
        <f t="shared" si="5"/>
        <v>0.5</v>
      </c>
      <c r="S8" s="58">
        <f t="shared" si="6"/>
        <v>0.5</v>
      </c>
      <c r="T8" s="62">
        <f t="shared" si="7"/>
        <v>1</v>
      </c>
      <c r="U8" s="61">
        <f t="shared" si="8"/>
        <v>8</v>
      </c>
      <c r="V8" s="69">
        <f t="shared" si="9"/>
        <v>16</v>
      </c>
      <c r="W8" s="25">
        <v>0</v>
      </c>
    </row>
    <row r="9" spans="1:23" ht="17.25" x14ac:dyDescent="0.3">
      <c r="A9" s="10" t="s">
        <v>51</v>
      </c>
      <c r="B9" s="1">
        <v>1</v>
      </c>
      <c r="C9" s="122">
        <f t="shared" si="0"/>
        <v>0.25</v>
      </c>
      <c r="D9" s="1">
        <v>2</v>
      </c>
      <c r="E9" s="1">
        <v>4</v>
      </c>
      <c r="F9" s="1">
        <v>1</v>
      </c>
      <c r="G9" s="1">
        <f t="shared" si="1"/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f t="shared" si="2"/>
        <v>-2</v>
      </c>
      <c r="O9" s="1">
        <v>1</v>
      </c>
      <c r="P9" s="79">
        <f t="shared" si="3"/>
        <v>0.5</v>
      </c>
      <c r="Q9" s="46">
        <f t="shared" si="4"/>
        <v>0.25</v>
      </c>
      <c r="R9" s="2">
        <f t="shared" si="5"/>
        <v>-0.5</v>
      </c>
      <c r="S9" s="58">
        <f t="shared" si="6"/>
        <v>-0.25</v>
      </c>
      <c r="T9" s="62">
        <f t="shared" si="7"/>
        <v>0.33333333333333331</v>
      </c>
      <c r="U9" s="61">
        <f t="shared" si="8"/>
        <v>20</v>
      </c>
      <c r="V9" s="69">
        <f t="shared" si="9"/>
        <v>20</v>
      </c>
      <c r="W9" s="25">
        <v>2</v>
      </c>
    </row>
    <row r="10" spans="1:23" ht="17.25" x14ac:dyDescent="0.3">
      <c r="A10" s="10" t="s">
        <v>25</v>
      </c>
      <c r="B10" s="1">
        <v>6</v>
      </c>
      <c r="C10" s="122">
        <f t="shared" si="0"/>
        <v>0.5</v>
      </c>
      <c r="D10" s="1">
        <v>15</v>
      </c>
      <c r="E10" s="1">
        <v>14</v>
      </c>
      <c r="F10" s="1">
        <v>7</v>
      </c>
      <c r="G10" s="1">
        <f t="shared" si="1"/>
        <v>3</v>
      </c>
      <c r="H10" s="1">
        <v>2</v>
      </c>
      <c r="I10" s="1">
        <v>2</v>
      </c>
      <c r="J10" s="1">
        <v>0</v>
      </c>
      <c r="K10" s="1">
        <v>5</v>
      </c>
      <c r="L10" s="1">
        <v>5</v>
      </c>
      <c r="M10" s="1">
        <v>5</v>
      </c>
      <c r="N10" s="1">
        <f t="shared" si="2"/>
        <v>1</v>
      </c>
      <c r="O10" s="1">
        <v>2</v>
      </c>
      <c r="P10" s="83">
        <f t="shared" si="3"/>
        <v>0.13333333333333333</v>
      </c>
      <c r="Q10" s="46">
        <f t="shared" si="4"/>
        <v>0.9285714285714286</v>
      </c>
      <c r="R10" s="2">
        <f t="shared" si="5"/>
        <v>0.53333333333333333</v>
      </c>
      <c r="S10" s="58">
        <f t="shared" si="6"/>
        <v>1.461904761904762</v>
      </c>
      <c r="T10" s="75">
        <f t="shared" si="7"/>
        <v>0.2857142857142857</v>
      </c>
      <c r="U10" s="61">
        <f t="shared" si="8"/>
        <v>7</v>
      </c>
      <c r="V10" s="69">
        <f t="shared" si="9"/>
        <v>2</v>
      </c>
      <c r="W10" s="25"/>
    </row>
    <row r="11" spans="1:23" ht="17.25" x14ac:dyDescent="0.3">
      <c r="A11" s="10" t="s">
        <v>21</v>
      </c>
      <c r="B11" s="1">
        <v>3</v>
      </c>
      <c r="C11" s="122">
        <f t="shared" si="0"/>
        <v>0.25</v>
      </c>
      <c r="D11" s="1">
        <v>5</v>
      </c>
      <c r="E11" s="1">
        <v>4</v>
      </c>
      <c r="F11" s="1">
        <v>1</v>
      </c>
      <c r="G11" s="1">
        <f t="shared" si="1"/>
        <v>1</v>
      </c>
      <c r="H11" s="1">
        <v>0</v>
      </c>
      <c r="I11" s="1">
        <v>0</v>
      </c>
      <c r="J11" s="1">
        <v>0</v>
      </c>
      <c r="K11" s="1">
        <v>3</v>
      </c>
      <c r="L11" s="1">
        <v>1</v>
      </c>
      <c r="M11" s="1">
        <v>0</v>
      </c>
      <c r="N11" s="1">
        <f t="shared" si="2"/>
        <v>1</v>
      </c>
      <c r="O11" s="1">
        <v>1</v>
      </c>
      <c r="P11" s="83">
        <f t="shared" si="3"/>
        <v>0.2</v>
      </c>
      <c r="Q11" s="46">
        <f t="shared" si="4"/>
        <v>0.25</v>
      </c>
      <c r="R11" s="2">
        <f t="shared" si="5"/>
        <v>0.4</v>
      </c>
      <c r="S11" s="58">
        <f t="shared" si="6"/>
        <v>0.65</v>
      </c>
      <c r="T11" s="62">
        <f t="shared" si="7"/>
        <v>0.33333333333333331</v>
      </c>
      <c r="U11" s="61">
        <f t="shared" si="8"/>
        <v>14</v>
      </c>
      <c r="V11" s="69">
        <f t="shared" si="9"/>
        <v>14</v>
      </c>
      <c r="W11" s="25">
        <v>1</v>
      </c>
    </row>
    <row r="12" spans="1:23" ht="17.25" x14ac:dyDescent="0.3">
      <c r="A12" s="10" t="s">
        <v>8</v>
      </c>
      <c r="B12" s="1">
        <v>4</v>
      </c>
      <c r="C12" s="122">
        <f t="shared" si="0"/>
        <v>0.66666666666666663</v>
      </c>
      <c r="D12" s="1">
        <v>9</v>
      </c>
      <c r="E12" s="1">
        <v>6</v>
      </c>
      <c r="F12" s="1">
        <v>4</v>
      </c>
      <c r="G12" s="1">
        <f t="shared" si="1"/>
        <v>3</v>
      </c>
      <c r="H12" s="1">
        <v>1</v>
      </c>
      <c r="I12" s="1">
        <v>0</v>
      </c>
      <c r="J12" s="1">
        <v>0</v>
      </c>
      <c r="K12" s="1">
        <v>5</v>
      </c>
      <c r="L12" s="1">
        <v>0</v>
      </c>
      <c r="M12" s="1">
        <v>5</v>
      </c>
      <c r="N12" s="1">
        <f t="shared" si="2"/>
        <v>3</v>
      </c>
      <c r="O12" s="1">
        <v>0</v>
      </c>
      <c r="P12" s="83">
        <f t="shared" si="3"/>
        <v>0</v>
      </c>
      <c r="Q12" s="46">
        <f t="shared" si="4"/>
        <v>0.83333333333333337</v>
      </c>
      <c r="R12" s="2">
        <f t="shared" si="5"/>
        <v>0.77777777777777779</v>
      </c>
      <c r="S12" s="58">
        <f t="shared" si="6"/>
        <v>1.6111111111111112</v>
      </c>
      <c r="T12" s="64">
        <f t="shared" si="7"/>
        <v>0</v>
      </c>
      <c r="U12" s="61">
        <f t="shared" si="8"/>
        <v>2</v>
      </c>
      <c r="V12" s="69">
        <f t="shared" si="9"/>
        <v>1</v>
      </c>
      <c r="W12" s="25">
        <v>0</v>
      </c>
    </row>
    <row r="13" spans="1:23" ht="17.25" x14ac:dyDescent="0.3">
      <c r="A13" s="10" t="s">
        <v>15</v>
      </c>
      <c r="B13" s="1">
        <v>5</v>
      </c>
      <c r="C13" s="122">
        <f t="shared" si="0"/>
        <v>0.375</v>
      </c>
      <c r="D13" s="1">
        <v>12</v>
      </c>
      <c r="E13" s="1">
        <v>8</v>
      </c>
      <c r="F13" s="1">
        <v>3</v>
      </c>
      <c r="G13" s="1">
        <f t="shared" si="1"/>
        <v>3</v>
      </c>
      <c r="H13" s="1">
        <v>0</v>
      </c>
      <c r="I13" s="1">
        <v>0</v>
      </c>
      <c r="J13" s="1">
        <v>0</v>
      </c>
      <c r="K13" s="1">
        <v>4</v>
      </c>
      <c r="L13" s="1">
        <v>2</v>
      </c>
      <c r="M13" s="1">
        <v>1</v>
      </c>
      <c r="N13" s="1">
        <f t="shared" si="2"/>
        <v>4</v>
      </c>
      <c r="O13" s="1">
        <v>0</v>
      </c>
      <c r="P13" s="83">
        <f t="shared" si="3"/>
        <v>0</v>
      </c>
      <c r="Q13" s="46">
        <f t="shared" si="4"/>
        <v>0.375</v>
      </c>
      <c r="R13" s="2">
        <f t="shared" si="5"/>
        <v>0.58333333333333337</v>
      </c>
      <c r="S13" s="58">
        <f t="shared" si="6"/>
        <v>0.95833333333333337</v>
      </c>
      <c r="T13" s="75">
        <f t="shared" si="7"/>
        <v>0</v>
      </c>
      <c r="U13" s="61">
        <f t="shared" si="8"/>
        <v>4</v>
      </c>
      <c r="V13" s="69">
        <f t="shared" si="9"/>
        <v>11</v>
      </c>
      <c r="W13" s="25">
        <v>2</v>
      </c>
    </row>
    <row r="14" spans="1:23" ht="17.25" x14ac:dyDescent="0.3">
      <c r="A14" s="10" t="s">
        <v>23</v>
      </c>
      <c r="B14" s="1">
        <v>6</v>
      </c>
      <c r="C14" s="122">
        <f t="shared" si="0"/>
        <v>0.1111111111111111</v>
      </c>
      <c r="D14" s="1">
        <v>14</v>
      </c>
      <c r="E14" s="1">
        <v>9</v>
      </c>
      <c r="F14" s="1">
        <v>1</v>
      </c>
      <c r="G14" s="1">
        <f t="shared" si="1"/>
        <v>1</v>
      </c>
      <c r="H14" s="1">
        <v>0</v>
      </c>
      <c r="I14" s="1">
        <v>0</v>
      </c>
      <c r="J14" s="1">
        <v>0</v>
      </c>
      <c r="K14" s="1">
        <v>2</v>
      </c>
      <c r="L14" s="1">
        <v>2</v>
      </c>
      <c r="M14" s="1">
        <v>3</v>
      </c>
      <c r="N14" s="1">
        <f t="shared" si="2"/>
        <v>5</v>
      </c>
      <c r="O14" s="1">
        <v>6</v>
      </c>
      <c r="P14" s="79">
        <f t="shared" si="3"/>
        <v>0.42857142857142855</v>
      </c>
      <c r="Q14" s="46">
        <f t="shared" si="4"/>
        <v>0.1111111111111111</v>
      </c>
      <c r="R14" s="2">
        <f t="shared" si="5"/>
        <v>0.42857142857142855</v>
      </c>
      <c r="S14" s="58">
        <f t="shared" si="6"/>
        <v>0.53968253968253965</v>
      </c>
      <c r="T14" s="74">
        <f t="shared" si="7"/>
        <v>0.75</v>
      </c>
      <c r="U14" s="61">
        <f t="shared" si="8"/>
        <v>13</v>
      </c>
      <c r="V14" s="69">
        <f t="shared" si="9"/>
        <v>15</v>
      </c>
      <c r="W14" s="25">
        <v>6</v>
      </c>
    </row>
    <row r="15" spans="1:23" ht="17.25" x14ac:dyDescent="0.3">
      <c r="A15" s="10" t="s">
        <v>50</v>
      </c>
      <c r="B15" s="1">
        <v>7</v>
      </c>
      <c r="C15" s="122">
        <f t="shared" si="0"/>
        <v>0.46153846153846156</v>
      </c>
      <c r="D15" s="1">
        <v>13</v>
      </c>
      <c r="E15" s="1">
        <v>13</v>
      </c>
      <c r="F15" s="1">
        <v>6</v>
      </c>
      <c r="G15" s="1">
        <f t="shared" si="1"/>
        <v>5</v>
      </c>
      <c r="H15" s="1">
        <v>1</v>
      </c>
      <c r="I15" s="1">
        <v>0</v>
      </c>
      <c r="J15" s="1">
        <v>0</v>
      </c>
      <c r="K15" s="1">
        <v>2</v>
      </c>
      <c r="L15" s="1">
        <v>5</v>
      </c>
      <c r="M15" s="1">
        <v>1</v>
      </c>
      <c r="N15" s="1">
        <f t="shared" si="2"/>
        <v>0</v>
      </c>
      <c r="O15" s="1">
        <v>3</v>
      </c>
      <c r="P15" s="83">
        <f t="shared" si="3"/>
        <v>0.23076923076923078</v>
      </c>
      <c r="Q15" s="46">
        <f t="shared" si="4"/>
        <v>0.53846153846153844</v>
      </c>
      <c r="R15" s="2">
        <f t="shared" si="5"/>
        <v>0.46153846153846156</v>
      </c>
      <c r="S15" s="58">
        <f t="shared" si="6"/>
        <v>1</v>
      </c>
      <c r="T15" s="74">
        <f t="shared" si="7"/>
        <v>0.42857142857142855</v>
      </c>
      <c r="U15" s="61">
        <f t="shared" si="8"/>
        <v>12</v>
      </c>
      <c r="V15" s="69">
        <f t="shared" si="9"/>
        <v>9</v>
      </c>
      <c r="W15" s="25">
        <v>1</v>
      </c>
    </row>
    <row r="16" spans="1:23" ht="17.25" x14ac:dyDescent="0.3">
      <c r="A16" s="10" t="s">
        <v>33</v>
      </c>
      <c r="B16" s="1">
        <v>4</v>
      </c>
      <c r="C16" s="122">
        <f t="shared" si="0"/>
        <v>0.41666666666666669</v>
      </c>
      <c r="D16" s="1">
        <v>14</v>
      </c>
      <c r="E16" s="1">
        <v>12</v>
      </c>
      <c r="F16" s="1">
        <v>5</v>
      </c>
      <c r="G16" s="1">
        <f t="shared" si="1"/>
        <v>3</v>
      </c>
      <c r="H16" s="1">
        <v>0</v>
      </c>
      <c r="I16" s="1">
        <v>2</v>
      </c>
      <c r="J16" s="1">
        <v>0</v>
      </c>
      <c r="K16" s="1">
        <v>5</v>
      </c>
      <c r="L16" s="1">
        <v>3</v>
      </c>
      <c r="M16" s="1">
        <v>2</v>
      </c>
      <c r="N16" s="1">
        <f t="shared" si="2"/>
        <v>2</v>
      </c>
      <c r="O16" s="1">
        <v>1</v>
      </c>
      <c r="P16" s="83">
        <f t="shared" si="3"/>
        <v>7.1428571428571425E-2</v>
      </c>
      <c r="Q16" s="46">
        <f t="shared" si="4"/>
        <v>0.75</v>
      </c>
      <c r="R16" s="2">
        <f t="shared" si="5"/>
        <v>0.5</v>
      </c>
      <c r="S16" s="58">
        <f t="shared" si="6"/>
        <v>1.25</v>
      </c>
      <c r="T16" s="74">
        <f t="shared" si="7"/>
        <v>0.14285714285714285</v>
      </c>
      <c r="U16" s="61">
        <f t="shared" si="8"/>
        <v>8</v>
      </c>
      <c r="V16" s="69">
        <f t="shared" si="9"/>
        <v>5</v>
      </c>
      <c r="W16" s="25">
        <v>4</v>
      </c>
    </row>
    <row r="17" spans="1:23" ht="17.25" x14ac:dyDescent="0.3">
      <c r="A17" s="10" t="s">
        <v>60</v>
      </c>
      <c r="B17" s="1">
        <v>6</v>
      </c>
      <c r="C17" s="122">
        <f t="shared" si="0"/>
        <v>0.44444444444444442</v>
      </c>
      <c r="D17" s="1">
        <v>11</v>
      </c>
      <c r="E17" s="1">
        <v>9</v>
      </c>
      <c r="F17" s="1">
        <v>4</v>
      </c>
      <c r="G17" s="1">
        <f t="shared" si="1"/>
        <v>2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f t="shared" si="2"/>
        <v>2</v>
      </c>
      <c r="O17" s="1">
        <v>1</v>
      </c>
      <c r="P17" s="83">
        <f t="shared" si="3"/>
        <v>9.0909090909090912E-2</v>
      </c>
      <c r="Q17" s="46">
        <f t="shared" si="4"/>
        <v>0.66666666666666663</v>
      </c>
      <c r="R17" s="2">
        <f t="shared" si="5"/>
        <v>0.54545454545454541</v>
      </c>
      <c r="S17" s="58">
        <f t="shared" si="6"/>
        <v>1.2121212121212119</v>
      </c>
      <c r="T17" s="62">
        <f t="shared" si="7"/>
        <v>0.2</v>
      </c>
      <c r="U17" s="61">
        <f t="shared" si="8"/>
        <v>6</v>
      </c>
      <c r="V17" s="69">
        <f t="shared" si="9"/>
        <v>6</v>
      </c>
      <c r="W17" s="25">
        <v>5</v>
      </c>
    </row>
    <row r="18" spans="1:23" ht="17.25" x14ac:dyDescent="0.3">
      <c r="A18" s="10" t="s">
        <v>12</v>
      </c>
      <c r="B18" s="1">
        <v>2</v>
      </c>
      <c r="C18" s="122">
        <f t="shared" si="0"/>
        <v>0</v>
      </c>
      <c r="D18" s="1">
        <v>3</v>
      </c>
      <c r="E18" s="1">
        <v>2</v>
      </c>
      <c r="F18" s="1">
        <v>0</v>
      </c>
      <c r="G18" s="1">
        <f t="shared" si="1"/>
        <v>0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f t="shared" si="2"/>
        <v>1</v>
      </c>
      <c r="O18" s="1">
        <v>0</v>
      </c>
      <c r="P18" s="83">
        <f t="shared" si="3"/>
        <v>0</v>
      </c>
      <c r="Q18" s="46">
        <f t="shared" si="4"/>
        <v>0</v>
      </c>
      <c r="R18" s="2">
        <f t="shared" si="5"/>
        <v>0.33333333333333331</v>
      </c>
      <c r="S18" s="58">
        <f t="shared" si="6"/>
        <v>0.33333333333333331</v>
      </c>
      <c r="T18" s="75">
        <f t="shared" si="7"/>
        <v>0</v>
      </c>
      <c r="U18" s="61">
        <f t="shared" si="8"/>
        <v>17</v>
      </c>
      <c r="V18" s="69">
        <f t="shared" si="9"/>
        <v>18</v>
      </c>
      <c r="W18" s="25"/>
    </row>
    <row r="19" spans="1:23" ht="17.25" x14ac:dyDescent="0.3">
      <c r="A19" s="10" t="s">
        <v>24</v>
      </c>
      <c r="B19" s="1">
        <v>3</v>
      </c>
      <c r="C19" s="122">
        <f t="shared" si="0"/>
        <v>0.5</v>
      </c>
      <c r="D19" s="1">
        <v>8</v>
      </c>
      <c r="E19" s="1">
        <v>2</v>
      </c>
      <c r="F19" s="1">
        <v>1</v>
      </c>
      <c r="G19" s="1">
        <f t="shared" si="1"/>
        <v>1</v>
      </c>
      <c r="H19" s="1">
        <v>0</v>
      </c>
      <c r="I19" s="1">
        <v>0</v>
      </c>
      <c r="J19" s="1">
        <v>0</v>
      </c>
      <c r="K19" s="1">
        <v>5</v>
      </c>
      <c r="L19" s="1">
        <v>2</v>
      </c>
      <c r="M19" s="1">
        <v>5</v>
      </c>
      <c r="N19" s="1">
        <f t="shared" si="2"/>
        <v>6</v>
      </c>
      <c r="O19" s="1">
        <v>0</v>
      </c>
      <c r="P19" s="83">
        <f t="shared" si="3"/>
        <v>0</v>
      </c>
      <c r="Q19" s="46">
        <f t="shared" si="4"/>
        <v>0.5</v>
      </c>
      <c r="R19" s="2">
        <f t="shared" si="5"/>
        <v>0.875</v>
      </c>
      <c r="S19" s="58">
        <f t="shared" si="6"/>
        <v>1.375</v>
      </c>
      <c r="T19" s="62">
        <f t="shared" si="7"/>
        <v>0</v>
      </c>
      <c r="U19" s="61">
        <f t="shared" si="8"/>
        <v>1</v>
      </c>
      <c r="V19" s="69">
        <f t="shared" si="9"/>
        <v>4</v>
      </c>
      <c r="W19" s="25">
        <v>0</v>
      </c>
    </row>
    <row r="20" spans="1:23" ht="17.25" x14ac:dyDescent="0.3">
      <c r="A20" s="10" t="s">
        <v>14</v>
      </c>
      <c r="B20" s="1">
        <v>7</v>
      </c>
      <c r="C20" s="122">
        <f t="shared" si="0"/>
        <v>0.45454545454545453</v>
      </c>
      <c r="D20" s="1">
        <v>14</v>
      </c>
      <c r="E20" s="1">
        <v>11</v>
      </c>
      <c r="F20" s="1">
        <v>5</v>
      </c>
      <c r="G20" s="1">
        <f t="shared" si="1"/>
        <v>4</v>
      </c>
      <c r="H20" s="1">
        <v>1</v>
      </c>
      <c r="I20" s="1">
        <v>0</v>
      </c>
      <c r="J20" s="1">
        <v>0</v>
      </c>
      <c r="K20" s="1">
        <v>5</v>
      </c>
      <c r="L20" s="1">
        <v>5</v>
      </c>
      <c r="M20" s="1">
        <v>1</v>
      </c>
      <c r="N20" s="1">
        <f t="shared" si="2"/>
        <v>3</v>
      </c>
      <c r="O20" s="1">
        <v>3</v>
      </c>
      <c r="P20" s="83">
        <f t="shared" si="3"/>
        <v>0.21428571428571427</v>
      </c>
      <c r="Q20" s="46">
        <f t="shared" si="4"/>
        <v>0.54545454545454541</v>
      </c>
      <c r="R20" s="2">
        <f t="shared" si="5"/>
        <v>0.5714285714285714</v>
      </c>
      <c r="S20" s="58">
        <f t="shared" si="6"/>
        <v>1.1168831168831168</v>
      </c>
      <c r="T20" s="65">
        <f t="shared" si="7"/>
        <v>0.5</v>
      </c>
      <c r="U20" s="61">
        <f t="shared" si="8"/>
        <v>5</v>
      </c>
      <c r="V20" s="69">
        <f t="shared" si="9"/>
        <v>7</v>
      </c>
      <c r="W20" s="25">
        <v>3</v>
      </c>
    </row>
    <row r="21" spans="1:23" ht="17.25" x14ac:dyDescent="0.3">
      <c r="A21" s="10" t="s">
        <v>47</v>
      </c>
      <c r="B21" s="1">
        <v>6</v>
      </c>
      <c r="C21" s="122">
        <f t="shared" si="0"/>
        <v>0.4</v>
      </c>
      <c r="D21" s="1">
        <v>18</v>
      </c>
      <c r="E21" s="1">
        <v>15</v>
      </c>
      <c r="F21" s="1">
        <v>6</v>
      </c>
      <c r="G21" s="1">
        <f t="shared" si="1"/>
        <v>3</v>
      </c>
      <c r="H21" s="1">
        <v>3</v>
      </c>
      <c r="I21" s="1">
        <v>0</v>
      </c>
      <c r="J21" s="1">
        <v>0</v>
      </c>
      <c r="K21" s="1">
        <v>5</v>
      </c>
      <c r="L21" s="1">
        <v>5</v>
      </c>
      <c r="M21" s="1">
        <v>2</v>
      </c>
      <c r="N21" s="1">
        <f t="shared" si="2"/>
        <v>3</v>
      </c>
      <c r="O21" s="1">
        <v>5</v>
      </c>
      <c r="P21" s="83">
        <f t="shared" si="3"/>
        <v>0.27777777777777779</v>
      </c>
      <c r="Q21" s="46">
        <f t="shared" si="4"/>
        <v>0.6</v>
      </c>
      <c r="R21" s="2">
        <f t="shared" si="5"/>
        <v>0.5</v>
      </c>
      <c r="S21" s="58">
        <f t="shared" si="6"/>
        <v>1.1000000000000001</v>
      </c>
      <c r="T21" s="66">
        <f t="shared" si="7"/>
        <v>0.55555555555555558</v>
      </c>
      <c r="U21" s="61">
        <f t="shared" si="8"/>
        <v>8</v>
      </c>
      <c r="V21" s="69">
        <f t="shared" si="9"/>
        <v>8</v>
      </c>
      <c r="W21" s="25">
        <v>0</v>
      </c>
    </row>
    <row r="22" spans="1:23" ht="17.25" x14ac:dyDescent="0.3">
      <c r="A22" s="10" t="s">
        <v>22</v>
      </c>
      <c r="B22" s="1">
        <v>5</v>
      </c>
      <c r="C22" s="122">
        <f t="shared" si="0"/>
        <v>0.22222222222222221</v>
      </c>
      <c r="D22" s="1">
        <v>11</v>
      </c>
      <c r="E22" s="1">
        <v>9</v>
      </c>
      <c r="F22" s="1">
        <v>2</v>
      </c>
      <c r="G22" s="1">
        <f t="shared" si="1"/>
        <v>1</v>
      </c>
      <c r="H22" s="1">
        <v>1</v>
      </c>
      <c r="I22" s="1">
        <v>0</v>
      </c>
      <c r="J22" s="1">
        <v>0</v>
      </c>
      <c r="K22" s="1">
        <v>2</v>
      </c>
      <c r="L22" s="1">
        <v>3</v>
      </c>
      <c r="M22" s="1">
        <v>0</v>
      </c>
      <c r="N22" s="1">
        <f t="shared" si="2"/>
        <v>2</v>
      </c>
      <c r="O22" s="1">
        <v>2</v>
      </c>
      <c r="P22" s="83">
        <f t="shared" si="3"/>
        <v>0.18181818181818182</v>
      </c>
      <c r="Q22" s="46">
        <f t="shared" si="4"/>
        <v>0.33333333333333331</v>
      </c>
      <c r="R22" s="2">
        <f t="shared" si="5"/>
        <v>0.36363636363636365</v>
      </c>
      <c r="S22" s="58">
        <f t="shared" si="6"/>
        <v>0.69696969696969702</v>
      </c>
      <c r="T22" s="65">
        <f t="shared" si="7"/>
        <v>0.2857142857142857</v>
      </c>
      <c r="U22" s="61">
        <f t="shared" si="8"/>
        <v>16</v>
      </c>
      <c r="V22" s="69">
        <f t="shared" si="9"/>
        <v>13</v>
      </c>
      <c r="W22" s="25">
        <v>0</v>
      </c>
    </row>
    <row r="23" spans="1:23" ht="17.25" x14ac:dyDescent="0.3">
      <c r="A23" s="10" t="s">
        <v>54</v>
      </c>
      <c r="B23" s="1">
        <v>2</v>
      </c>
      <c r="C23" s="122">
        <f t="shared" si="0"/>
        <v>0</v>
      </c>
      <c r="D23" s="1">
        <v>5</v>
      </c>
      <c r="E23" s="1">
        <v>3</v>
      </c>
      <c r="F23" s="1">
        <v>0</v>
      </c>
      <c r="G23" s="1">
        <f t="shared" si="1"/>
        <v>0</v>
      </c>
      <c r="H23" s="1">
        <v>0</v>
      </c>
      <c r="I23" s="1">
        <v>0</v>
      </c>
      <c r="J23" s="1">
        <v>0</v>
      </c>
      <c r="K23" s="1">
        <v>1</v>
      </c>
      <c r="L23" s="1">
        <v>1</v>
      </c>
      <c r="M23" s="1">
        <v>0</v>
      </c>
      <c r="N23" s="1">
        <f t="shared" si="2"/>
        <v>2</v>
      </c>
      <c r="O23" s="1">
        <v>1</v>
      </c>
      <c r="P23" s="83">
        <f t="shared" si="3"/>
        <v>0.2</v>
      </c>
      <c r="Q23" s="46">
        <f t="shared" si="4"/>
        <v>0</v>
      </c>
      <c r="R23" s="2">
        <f t="shared" si="5"/>
        <v>0.4</v>
      </c>
      <c r="S23" s="58">
        <f t="shared" si="6"/>
        <v>0.4</v>
      </c>
      <c r="T23" s="67">
        <f t="shared" si="7"/>
        <v>0.33333333333333331</v>
      </c>
      <c r="U23" s="61">
        <f t="shared" si="8"/>
        <v>14</v>
      </c>
      <c r="V23" s="69">
        <f t="shared" si="9"/>
        <v>17</v>
      </c>
      <c r="W23" s="25">
        <v>1</v>
      </c>
    </row>
    <row r="24" spans="1:23" ht="17.25" x14ac:dyDescent="0.3">
      <c r="A24" s="11" t="s">
        <v>10</v>
      </c>
      <c r="B24" s="11"/>
      <c r="C24" s="17">
        <f t="shared" ref="C24" si="10">+F24/E24</f>
        <v>0.38124999999999998</v>
      </c>
      <c r="D24" s="11">
        <f t="shared" ref="D24:O24" si="11">SUM(D4:D23)</f>
        <v>207</v>
      </c>
      <c r="E24" s="11">
        <f t="shared" si="11"/>
        <v>160</v>
      </c>
      <c r="F24" s="11">
        <f t="shared" si="11"/>
        <v>61</v>
      </c>
      <c r="G24" s="11">
        <f t="shared" si="11"/>
        <v>41</v>
      </c>
      <c r="H24" s="11">
        <f t="shared" si="11"/>
        <v>15</v>
      </c>
      <c r="I24" s="11">
        <f t="shared" si="11"/>
        <v>5</v>
      </c>
      <c r="J24" s="11">
        <f t="shared" si="11"/>
        <v>0</v>
      </c>
      <c r="K24" s="11">
        <f t="shared" si="11"/>
        <v>63</v>
      </c>
      <c r="L24" s="11">
        <f t="shared" si="11"/>
        <v>48</v>
      </c>
      <c r="M24" s="11">
        <f t="shared" si="11"/>
        <v>37</v>
      </c>
      <c r="N24" s="11">
        <f t="shared" si="11"/>
        <v>47</v>
      </c>
      <c r="O24" s="11">
        <f t="shared" si="11"/>
        <v>39</v>
      </c>
      <c r="P24" s="29">
        <f t="shared" ref="P24" si="12">+O24/D24</f>
        <v>0.18840579710144928</v>
      </c>
      <c r="Q24" s="17"/>
      <c r="R24" s="17"/>
      <c r="S24" s="57"/>
      <c r="T24" s="68"/>
      <c r="U24" s="68"/>
      <c r="V24" s="68"/>
      <c r="W24" s="11">
        <f>SUM(W4:W23)</f>
        <v>31</v>
      </c>
    </row>
    <row r="25" spans="1:23" ht="17.25" x14ac:dyDescent="0.3">
      <c r="A25" s="22"/>
      <c r="B25" s="22"/>
      <c r="C25" s="23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3"/>
      <c r="R25" s="23"/>
    </row>
    <row r="26" spans="1:23" ht="17.25" x14ac:dyDescent="0.3">
      <c r="A26" s="4" t="s">
        <v>3</v>
      </c>
    </row>
    <row r="27" spans="1:23" ht="51.75" x14ac:dyDescent="0.3">
      <c r="A27" s="10" t="s">
        <v>27</v>
      </c>
      <c r="B27" s="10" t="s">
        <v>46</v>
      </c>
      <c r="C27" s="10" t="s">
        <v>55</v>
      </c>
      <c r="D27" s="10" t="s">
        <v>41</v>
      </c>
      <c r="E27" s="10" t="s">
        <v>48</v>
      </c>
      <c r="F27" s="10" t="s">
        <v>45</v>
      </c>
      <c r="G27" s="10" t="s">
        <v>38</v>
      </c>
      <c r="H27" s="10" t="s">
        <v>5</v>
      </c>
      <c r="I27" s="10" t="s">
        <v>17</v>
      </c>
      <c r="J27" s="10" t="s">
        <v>26</v>
      </c>
      <c r="K27" s="10" t="s">
        <v>30</v>
      </c>
      <c r="L27" s="10" t="s">
        <v>11</v>
      </c>
      <c r="M27" s="10" t="s">
        <v>6</v>
      </c>
      <c r="N27" s="10" t="s">
        <v>42</v>
      </c>
      <c r="O27" s="10" t="s">
        <v>35</v>
      </c>
      <c r="P27" s="10" t="s">
        <v>49</v>
      </c>
      <c r="Q27" s="10" t="s">
        <v>56</v>
      </c>
      <c r="R27" s="10" t="s">
        <v>66</v>
      </c>
      <c r="S27" s="10" t="s">
        <v>90</v>
      </c>
      <c r="T27" s="10" t="s">
        <v>70</v>
      </c>
      <c r="U27" s="10" t="s">
        <v>69</v>
      </c>
      <c r="V27" s="10" t="s">
        <v>68</v>
      </c>
    </row>
    <row r="28" spans="1:23" ht="17.25" x14ac:dyDescent="0.3">
      <c r="A28" s="10" t="s">
        <v>59</v>
      </c>
      <c r="B28" s="1">
        <v>1</v>
      </c>
      <c r="C28" s="1">
        <v>0</v>
      </c>
      <c r="D28" s="1">
        <v>0</v>
      </c>
      <c r="E28" s="1">
        <v>0</v>
      </c>
      <c r="F28" s="1">
        <v>6</v>
      </c>
      <c r="G28" s="1">
        <v>3</v>
      </c>
      <c r="H28" s="6">
        <v>0.33300000000000002</v>
      </c>
      <c r="I28" s="1">
        <v>1</v>
      </c>
      <c r="J28" s="1">
        <v>0</v>
      </c>
      <c r="K28" s="1">
        <v>3</v>
      </c>
      <c r="L28" s="1">
        <v>0</v>
      </c>
      <c r="M28" s="1">
        <v>0</v>
      </c>
      <c r="N28" s="1">
        <v>5</v>
      </c>
      <c r="O28" s="1">
        <v>3</v>
      </c>
      <c r="P28" s="3">
        <f>+O28*9/H28</f>
        <v>81.081081081081081</v>
      </c>
      <c r="Q28" s="38">
        <f t="shared" ref="Q28:Q36" si="13">(K28+L28)/H28</f>
        <v>9.0090090090090094</v>
      </c>
      <c r="R28" s="39">
        <f t="shared" ref="R28:R36" si="14">I28/H28</f>
        <v>3.0030030030030028</v>
      </c>
      <c r="S28" s="39">
        <f t="shared" ref="S28:S35" si="15">H28/B28</f>
        <v>0.33300000000000002</v>
      </c>
      <c r="T28" s="40">
        <f t="shared" ref="T28:T36" si="16">M28/H28</f>
        <v>0</v>
      </c>
      <c r="U28" s="33">
        <f>O28/N28</f>
        <v>0.6</v>
      </c>
      <c r="V28" s="38">
        <f t="shared" ref="V28:V36" si="17">(I28+K28+L28)/H28</f>
        <v>12.012012012012011</v>
      </c>
    </row>
    <row r="29" spans="1:23" ht="17.25" x14ac:dyDescent="0.3">
      <c r="A29" s="10" t="s">
        <v>94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6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3">
        <v>0</v>
      </c>
      <c r="Q29" s="38" t="e">
        <f t="shared" si="13"/>
        <v>#DIV/0!</v>
      </c>
      <c r="R29" s="39" t="e">
        <f t="shared" si="14"/>
        <v>#DIV/0!</v>
      </c>
      <c r="S29" s="39" t="e">
        <f t="shared" si="15"/>
        <v>#DIV/0!</v>
      </c>
      <c r="T29" s="40" t="e">
        <f t="shared" si="16"/>
        <v>#DIV/0!</v>
      </c>
      <c r="U29" s="33">
        <v>1</v>
      </c>
      <c r="V29" s="38" t="e">
        <f t="shared" si="17"/>
        <v>#DIV/0!</v>
      </c>
    </row>
    <row r="30" spans="1:23" ht="17.25" x14ac:dyDescent="0.3">
      <c r="A30" s="10" t="s">
        <v>51</v>
      </c>
      <c r="B30" s="1">
        <v>1</v>
      </c>
      <c r="C30" s="1">
        <v>0</v>
      </c>
      <c r="D30" s="1">
        <v>0</v>
      </c>
      <c r="E30" s="1">
        <v>0</v>
      </c>
      <c r="F30" s="1">
        <v>3</v>
      </c>
      <c r="G30" s="1">
        <v>2</v>
      </c>
      <c r="H30" s="6">
        <v>0.33333299999999999</v>
      </c>
      <c r="I30" s="1">
        <v>1</v>
      </c>
      <c r="J30" s="1">
        <v>0</v>
      </c>
      <c r="K30" s="1">
        <v>1</v>
      </c>
      <c r="L30" s="1">
        <v>0</v>
      </c>
      <c r="M30" s="1">
        <v>0</v>
      </c>
      <c r="N30" s="1">
        <v>0</v>
      </c>
      <c r="O30" s="1">
        <v>0</v>
      </c>
      <c r="P30" s="3">
        <f t="shared" ref="P30:P35" si="18">+O30*9/H30</f>
        <v>0</v>
      </c>
      <c r="Q30" s="38">
        <f t="shared" si="13"/>
        <v>3.0000030000030002</v>
      </c>
      <c r="R30" s="39">
        <f t="shared" si="14"/>
        <v>3.0000030000030002</v>
      </c>
      <c r="S30" s="39">
        <f t="shared" si="15"/>
        <v>0.33333299999999999</v>
      </c>
      <c r="T30" s="40">
        <f t="shared" si="16"/>
        <v>0</v>
      </c>
      <c r="U30" s="33">
        <v>1</v>
      </c>
      <c r="V30" s="38">
        <f t="shared" si="17"/>
        <v>6.0000060000060005</v>
      </c>
    </row>
    <row r="31" spans="1:23" ht="17.25" x14ac:dyDescent="0.3">
      <c r="A31" s="10" t="s">
        <v>15</v>
      </c>
      <c r="B31" s="1">
        <v>4</v>
      </c>
      <c r="C31" s="1">
        <v>0</v>
      </c>
      <c r="D31" s="1">
        <v>1</v>
      </c>
      <c r="E31" s="1">
        <v>1</v>
      </c>
      <c r="F31" s="1">
        <v>54</v>
      </c>
      <c r="G31" s="1">
        <v>48</v>
      </c>
      <c r="H31" s="6">
        <v>9</v>
      </c>
      <c r="I31" s="1">
        <v>21</v>
      </c>
      <c r="J31" s="1">
        <v>1</v>
      </c>
      <c r="K31" s="1">
        <v>6</v>
      </c>
      <c r="L31" s="1">
        <v>0</v>
      </c>
      <c r="M31" s="1">
        <v>10</v>
      </c>
      <c r="N31" s="1">
        <v>19</v>
      </c>
      <c r="O31" s="1">
        <v>16</v>
      </c>
      <c r="P31" s="3">
        <f t="shared" si="18"/>
        <v>16</v>
      </c>
      <c r="Q31" s="38">
        <f t="shared" si="13"/>
        <v>0.66666666666666663</v>
      </c>
      <c r="R31" s="39">
        <f t="shared" si="14"/>
        <v>2.3333333333333335</v>
      </c>
      <c r="S31" s="39">
        <f t="shared" si="15"/>
        <v>2.25</v>
      </c>
      <c r="T31" s="40">
        <f t="shared" si="16"/>
        <v>1.1111111111111112</v>
      </c>
      <c r="U31" s="33">
        <f t="shared" ref="U31:U36" si="19">O31/N31</f>
        <v>0.84210526315789469</v>
      </c>
      <c r="V31" s="38">
        <f t="shared" si="17"/>
        <v>3</v>
      </c>
    </row>
    <row r="32" spans="1:23" ht="17.25" x14ac:dyDescent="0.3">
      <c r="A32" s="10" t="s">
        <v>50</v>
      </c>
      <c r="B32" s="1">
        <v>5</v>
      </c>
      <c r="C32" s="1">
        <v>2</v>
      </c>
      <c r="D32" s="1">
        <v>2</v>
      </c>
      <c r="E32" s="1">
        <v>0</v>
      </c>
      <c r="F32" s="1">
        <v>55</v>
      </c>
      <c r="G32" s="1">
        <v>35</v>
      </c>
      <c r="H32" s="6">
        <v>6</v>
      </c>
      <c r="I32" s="1">
        <v>16</v>
      </c>
      <c r="J32" s="1">
        <v>0</v>
      </c>
      <c r="K32" s="1">
        <v>19</v>
      </c>
      <c r="L32" s="1">
        <v>1</v>
      </c>
      <c r="M32" s="1">
        <v>6</v>
      </c>
      <c r="N32" s="1">
        <v>29</v>
      </c>
      <c r="O32" s="1">
        <v>24</v>
      </c>
      <c r="P32" s="3">
        <f t="shared" si="18"/>
        <v>36</v>
      </c>
      <c r="Q32" s="38">
        <f t="shared" si="13"/>
        <v>3.3333333333333335</v>
      </c>
      <c r="R32" s="39">
        <f t="shared" si="14"/>
        <v>2.6666666666666665</v>
      </c>
      <c r="S32" s="39">
        <f t="shared" si="15"/>
        <v>1.2</v>
      </c>
      <c r="T32" s="40">
        <f t="shared" si="16"/>
        <v>1</v>
      </c>
      <c r="U32" s="33">
        <f t="shared" si="19"/>
        <v>0.82758620689655171</v>
      </c>
      <c r="V32" s="38">
        <f t="shared" si="17"/>
        <v>6</v>
      </c>
    </row>
    <row r="33" spans="1:22" ht="17.25" x14ac:dyDescent="0.3">
      <c r="A33" s="10" t="s">
        <v>33</v>
      </c>
      <c r="B33" s="1">
        <v>5</v>
      </c>
      <c r="C33" s="1">
        <v>1</v>
      </c>
      <c r="D33" s="1">
        <v>2</v>
      </c>
      <c r="E33" s="1">
        <v>0</v>
      </c>
      <c r="F33" s="1">
        <f>67+14</f>
        <v>81</v>
      </c>
      <c r="G33" s="1">
        <v>58</v>
      </c>
      <c r="H33" s="6">
        <v>11.333299999999999</v>
      </c>
      <c r="I33" s="1">
        <v>28</v>
      </c>
      <c r="J33" s="1">
        <v>0</v>
      </c>
      <c r="K33" s="1">
        <v>19</v>
      </c>
      <c r="L33" s="1">
        <v>2</v>
      </c>
      <c r="M33" s="1">
        <v>15</v>
      </c>
      <c r="N33" s="1">
        <v>35</v>
      </c>
      <c r="O33" s="1">
        <v>29</v>
      </c>
      <c r="P33" s="3">
        <f t="shared" si="18"/>
        <v>23.029479498469115</v>
      </c>
      <c r="Q33" s="38">
        <f t="shared" si="13"/>
        <v>1.852946626313607</v>
      </c>
      <c r="R33" s="39">
        <f t="shared" si="14"/>
        <v>2.4705955017514758</v>
      </c>
      <c r="S33" s="39">
        <f t="shared" si="15"/>
        <v>2.2666599999999999</v>
      </c>
      <c r="T33" s="40">
        <f t="shared" si="16"/>
        <v>1.3235333045097193</v>
      </c>
      <c r="U33" s="33">
        <f t="shared" si="19"/>
        <v>0.82857142857142863</v>
      </c>
      <c r="V33" s="38">
        <f t="shared" si="17"/>
        <v>4.3235421280650828</v>
      </c>
    </row>
    <row r="34" spans="1:22" ht="17.25" x14ac:dyDescent="0.3">
      <c r="A34" s="10" t="s">
        <v>47</v>
      </c>
      <c r="B34" s="1">
        <v>1</v>
      </c>
      <c r="C34" s="1">
        <v>0</v>
      </c>
      <c r="D34" s="1">
        <v>0</v>
      </c>
      <c r="E34" s="1">
        <v>1</v>
      </c>
      <c r="F34" s="1">
        <v>2</v>
      </c>
      <c r="G34" s="1">
        <v>1</v>
      </c>
      <c r="H34" s="6">
        <v>0.33333333333300003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0</v>
      </c>
      <c r="P34" s="3">
        <f t="shared" si="18"/>
        <v>0</v>
      </c>
      <c r="Q34" s="38">
        <f t="shared" si="13"/>
        <v>3.0000000000029998</v>
      </c>
      <c r="R34" s="39">
        <f t="shared" si="14"/>
        <v>0</v>
      </c>
      <c r="S34" s="39">
        <f t="shared" si="15"/>
        <v>0.33333333333300003</v>
      </c>
      <c r="T34" s="40">
        <f t="shared" si="16"/>
        <v>0</v>
      </c>
      <c r="U34" s="33">
        <f t="shared" si="19"/>
        <v>0</v>
      </c>
      <c r="V34" s="38">
        <f t="shared" si="17"/>
        <v>3.0000000000029998</v>
      </c>
    </row>
    <row r="35" spans="1:22" ht="17.25" x14ac:dyDescent="0.3">
      <c r="A35" s="10" t="s">
        <v>22</v>
      </c>
      <c r="B35" s="1">
        <v>3</v>
      </c>
      <c r="C35" s="1">
        <v>0</v>
      </c>
      <c r="D35" s="1">
        <v>0</v>
      </c>
      <c r="E35" s="1">
        <v>0</v>
      </c>
      <c r="F35" s="1">
        <v>25</v>
      </c>
      <c r="G35" s="1">
        <v>19</v>
      </c>
      <c r="H35" s="6">
        <v>3.6666666600000002</v>
      </c>
      <c r="I35" s="1">
        <v>8</v>
      </c>
      <c r="J35" s="1">
        <v>0</v>
      </c>
      <c r="K35" s="1">
        <v>3</v>
      </c>
      <c r="L35" s="1">
        <v>3</v>
      </c>
      <c r="M35" s="1">
        <v>5</v>
      </c>
      <c r="N35" s="1">
        <v>8</v>
      </c>
      <c r="O35" s="1">
        <v>8</v>
      </c>
      <c r="P35" s="3">
        <f t="shared" si="18"/>
        <v>19.636363672066114</v>
      </c>
      <c r="Q35" s="38">
        <f t="shared" si="13"/>
        <v>1.636363639338843</v>
      </c>
      <c r="R35" s="39">
        <f t="shared" si="14"/>
        <v>2.181818185785124</v>
      </c>
      <c r="S35" s="39">
        <f t="shared" si="15"/>
        <v>1.2222222200000001</v>
      </c>
      <c r="T35" s="40">
        <f t="shared" si="16"/>
        <v>1.3636363661157025</v>
      </c>
      <c r="U35" s="33">
        <f t="shared" si="19"/>
        <v>1</v>
      </c>
      <c r="V35" s="38">
        <f t="shared" si="17"/>
        <v>3.818181825123967</v>
      </c>
    </row>
    <row r="36" spans="1:22" ht="17.25" x14ac:dyDescent="0.3">
      <c r="A36" s="11" t="s">
        <v>10</v>
      </c>
      <c r="B36" s="11"/>
      <c r="C36" s="11">
        <f t="shared" ref="C36:O36" si="20">SUM(C28:C35)</f>
        <v>3</v>
      </c>
      <c r="D36" s="11">
        <f t="shared" si="20"/>
        <v>5</v>
      </c>
      <c r="E36" s="11">
        <f t="shared" si="20"/>
        <v>2</v>
      </c>
      <c r="F36" s="11">
        <f t="shared" si="20"/>
        <v>226</v>
      </c>
      <c r="G36" s="11">
        <f t="shared" si="20"/>
        <v>166</v>
      </c>
      <c r="H36" s="15">
        <f t="shared" si="20"/>
        <v>30.999632993333002</v>
      </c>
      <c r="I36" s="11">
        <f t="shared" si="20"/>
        <v>75</v>
      </c>
      <c r="J36" s="11">
        <f t="shared" si="20"/>
        <v>1</v>
      </c>
      <c r="K36" s="11">
        <f t="shared" si="20"/>
        <v>51</v>
      </c>
      <c r="L36" s="11">
        <f t="shared" si="20"/>
        <v>7</v>
      </c>
      <c r="M36" s="11">
        <f t="shared" si="20"/>
        <v>36</v>
      </c>
      <c r="N36" s="11">
        <f t="shared" si="20"/>
        <v>97</v>
      </c>
      <c r="O36" s="11">
        <f t="shared" si="20"/>
        <v>80</v>
      </c>
      <c r="P36" s="16">
        <f t="shared" ref="P36" si="21">+O36*9/H36</f>
        <v>23.226081423442924</v>
      </c>
      <c r="Q36" s="34">
        <f t="shared" si="13"/>
        <v>1.8709898924440134</v>
      </c>
      <c r="R36" s="35">
        <f t="shared" si="14"/>
        <v>2.4193834816086381</v>
      </c>
      <c r="S36" s="35"/>
      <c r="T36" s="36">
        <f t="shared" si="16"/>
        <v>1.1613040711721463</v>
      </c>
      <c r="U36" s="37">
        <f t="shared" si="19"/>
        <v>0.82474226804123707</v>
      </c>
      <c r="V36" s="34">
        <f t="shared" si="17"/>
        <v>4.2903733740526508</v>
      </c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167C6-1F6A-4F17-8A23-2E6049D735AF}">
  <dimension ref="A1:Y36"/>
  <sheetViews>
    <sheetView zoomScale="70" zoomScaleNormal="70" workbookViewId="0">
      <selection activeCell="C6" sqref="C6"/>
    </sheetView>
  </sheetViews>
  <sheetFormatPr defaultColWidth="9" defaultRowHeight="16.5" x14ac:dyDescent="0.3"/>
  <cols>
    <col min="1" max="18" width="8.125" customWidth="1"/>
    <col min="19" max="19" width="10.75" customWidth="1"/>
    <col min="20" max="20" width="8.125" customWidth="1"/>
  </cols>
  <sheetData>
    <row r="1" spans="1:25" ht="26.25" x14ac:dyDescent="0.3">
      <c r="A1" s="24" t="s">
        <v>92</v>
      </c>
    </row>
    <row r="2" spans="1:25" ht="17.25" x14ac:dyDescent="0.3">
      <c r="A2" s="4" t="s">
        <v>1</v>
      </c>
    </row>
    <row r="3" spans="1:25" ht="34.5" x14ac:dyDescent="0.3">
      <c r="A3" s="10" t="s">
        <v>32</v>
      </c>
      <c r="B3" s="10" t="s">
        <v>13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79</v>
      </c>
      <c r="H3" s="10" t="s">
        <v>72</v>
      </c>
      <c r="I3" s="10" t="s">
        <v>0</v>
      </c>
      <c r="J3" s="10" t="s">
        <v>82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43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  <c r="W3" s="10" t="s">
        <v>88</v>
      </c>
    </row>
    <row r="4" spans="1:25" ht="17.25" x14ac:dyDescent="0.3">
      <c r="A4" s="10" t="s">
        <v>59</v>
      </c>
      <c r="B4" s="1">
        <v>2</v>
      </c>
      <c r="C4" s="2">
        <f>+F4/E4</f>
        <v>0</v>
      </c>
      <c r="D4" s="1">
        <v>1</v>
      </c>
      <c r="E4" s="1">
        <v>1</v>
      </c>
      <c r="F4" s="1">
        <v>0</v>
      </c>
      <c r="G4" s="1">
        <f t="shared" ref="G4:G23" si="0">+F4-(H4+I4+J4)</f>
        <v>0</v>
      </c>
      <c r="H4" s="1">
        <v>0</v>
      </c>
      <c r="I4" s="1">
        <v>0</v>
      </c>
      <c r="J4" s="1">
        <v>0</v>
      </c>
      <c r="K4" s="1">
        <v>1</v>
      </c>
      <c r="L4" s="1">
        <v>0</v>
      </c>
      <c r="M4" s="1">
        <v>2</v>
      </c>
      <c r="N4" s="1">
        <v>0</v>
      </c>
      <c r="O4" s="1">
        <v>1</v>
      </c>
      <c r="P4" s="79">
        <f>+O4/D4</f>
        <v>1</v>
      </c>
      <c r="Q4" s="46">
        <f>+(G4*1+H4*2+I4*3+J4*4)/E4</f>
        <v>0</v>
      </c>
      <c r="R4" s="2">
        <f>+(F4+N4)/D4</f>
        <v>0</v>
      </c>
      <c r="S4" s="58">
        <f>+R4+Q4</f>
        <v>0</v>
      </c>
      <c r="T4" s="76">
        <f>O4/(D4-(F4+N4))</f>
        <v>1</v>
      </c>
      <c r="U4" s="61">
        <f t="shared" ref="U4:U23" si="1">RANK(R4,$R$4:$R$23)</f>
        <v>17</v>
      </c>
      <c r="V4" s="69">
        <f t="shared" ref="V4:V23" si="2">RANK(S4,$S$4:$S$23)</f>
        <v>17</v>
      </c>
      <c r="W4" s="25"/>
      <c r="Y4" s="80"/>
    </row>
    <row r="5" spans="1:25" ht="17.25" x14ac:dyDescent="0.3">
      <c r="A5" s="10" t="s">
        <v>34</v>
      </c>
      <c r="B5" s="1">
        <v>0</v>
      </c>
      <c r="C5" s="2">
        <v>0</v>
      </c>
      <c r="D5" s="1">
        <v>0</v>
      </c>
      <c r="E5" s="1">
        <v>0</v>
      </c>
      <c r="F5" s="1">
        <v>0</v>
      </c>
      <c r="G5" s="1">
        <f t="shared" si="0"/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30"/>
      <c r="Q5" s="46"/>
      <c r="R5" s="2"/>
      <c r="S5" s="58"/>
      <c r="T5" s="76"/>
      <c r="U5" s="61">
        <f t="shared" si="1"/>
        <v>17</v>
      </c>
      <c r="V5" s="69">
        <f t="shared" si="2"/>
        <v>17</v>
      </c>
      <c r="W5" s="25"/>
      <c r="Y5" s="80"/>
    </row>
    <row r="6" spans="1:25" ht="17.25" x14ac:dyDescent="0.3">
      <c r="A6" s="10" t="s">
        <v>44</v>
      </c>
      <c r="B6" s="1">
        <v>5</v>
      </c>
      <c r="C6" s="2">
        <f>+F6/E6</f>
        <v>0.46666666666666667</v>
      </c>
      <c r="D6" s="1">
        <v>16</v>
      </c>
      <c r="E6" s="1">
        <v>15</v>
      </c>
      <c r="F6" s="1">
        <v>7</v>
      </c>
      <c r="G6" s="1">
        <f t="shared" si="0"/>
        <v>4</v>
      </c>
      <c r="H6" s="1">
        <v>3</v>
      </c>
      <c r="I6" s="1">
        <v>0</v>
      </c>
      <c r="J6" s="1">
        <v>0</v>
      </c>
      <c r="K6" s="1">
        <v>4</v>
      </c>
      <c r="L6" s="1">
        <v>8</v>
      </c>
      <c r="M6" s="1">
        <v>4</v>
      </c>
      <c r="N6" s="1">
        <v>1</v>
      </c>
      <c r="O6" s="1">
        <v>0</v>
      </c>
      <c r="P6" s="30">
        <f>+O6/D6</f>
        <v>0</v>
      </c>
      <c r="Q6" s="46">
        <f>+(G6*1+H6*2+I6*3+J6*4)/E6</f>
        <v>0.66666666666666663</v>
      </c>
      <c r="R6" s="2">
        <f>+(F6+N6)/D6</f>
        <v>0.5</v>
      </c>
      <c r="S6" s="58">
        <f>+R6+Q6</f>
        <v>1.1666666666666665</v>
      </c>
      <c r="T6" s="76">
        <f>O6/(D6-(F6+N6))</f>
        <v>0</v>
      </c>
      <c r="U6" s="61">
        <f t="shared" si="1"/>
        <v>8</v>
      </c>
      <c r="V6" s="69">
        <f t="shared" si="2"/>
        <v>4</v>
      </c>
      <c r="W6" s="25">
        <v>1</v>
      </c>
      <c r="Y6" s="80"/>
    </row>
    <row r="7" spans="1:25" ht="17.25" x14ac:dyDescent="0.3">
      <c r="A7" s="10" t="s">
        <v>9</v>
      </c>
      <c r="B7" s="1">
        <v>1</v>
      </c>
      <c r="C7" s="2">
        <v>0</v>
      </c>
      <c r="D7" s="1">
        <v>3</v>
      </c>
      <c r="E7" s="1">
        <v>0</v>
      </c>
      <c r="F7" s="1">
        <v>0</v>
      </c>
      <c r="G7" s="1">
        <f t="shared" si="0"/>
        <v>0</v>
      </c>
      <c r="H7" s="1">
        <v>0</v>
      </c>
      <c r="I7" s="1">
        <v>0</v>
      </c>
      <c r="J7" s="1">
        <v>0</v>
      </c>
      <c r="K7" s="1">
        <v>2</v>
      </c>
      <c r="L7" s="1">
        <v>2</v>
      </c>
      <c r="M7" s="1">
        <v>1</v>
      </c>
      <c r="N7" s="1">
        <v>3</v>
      </c>
      <c r="O7" s="1">
        <v>0</v>
      </c>
      <c r="P7" s="30">
        <f>+O7/D7</f>
        <v>0</v>
      </c>
      <c r="Q7" s="46">
        <v>0</v>
      </c>
      <c r="R7" s="2">
        <f>+(F7+N7)/D7</f>
        <v>1</v>
      </c>
      <c r="S7" s="58">
        <f>+R7+Q7</f>
        <v>1</v>
      </c>
      <c r="T7" s="76">
        <v>0</v>
      </c>
      <c r="U7" s="61">
        <f t="shared" si="1"/>
        <v>1</v>
      </c>
      <c r="V7" s="69">
        <f t="shared" si="2"/>
        <v>10</v>
      </c>
      <c r="W7" s="25"/>
      <c r="Y7" s="80"/>
    </row>
    <row r="8" spans="1:25" ht="17.25" x14ac:dyDescent="0.3">
      <c r="A8" s="10" t="s">
        <v>4</v>
      </c>
      <c r="B8" s="1">
        <v>1</v>
      </c>
      <c r="C8" s="2">
        <f>+F8/E8</f>
        <v>0.5</v>
      </c>
      <c r="D8" s="1">
        <v>3</v>
      </c>
      <c r="E8" s="1">
        <v>2</v>
      </c>
      <c r="F8" s="1">
        <v>1</v>
      </c>
      <c r="G8" s="1">
        <f t="shared" si="0"/>
        <v>1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1</v>
      </c>
      <c r="P8" s="79">
        <f>+O8/D8</f>
        <v>0.33333333333333331</v>
      </c>
      <c r="Q8" s="46">
        <f>+(G8*1+H8*2+I8*3+J8*4)/E8</f>
        <v>0.5</v>
      </c>
      <c r="R8" s="2">
        <f>+(F8+N8)/D8</f>
        <v>0.66666666666666663</v>
      </c>
      <c r="S8" s="58">
        <f>+R8+Q8</f>
        <v>1.1666666666666665</v>
      </c>
      <c r="T8" s="76">
        <f>O8/(D8-(F8+N8))</f>
        <v>1</v>
      </c>
      <c r="U8" s="61">
        <f t="shared" si="1"/>
        <v>2</v>
      </c>
      <c r="V8" s="69">
        <f t="shared" si="2"/>
        <v>4</v>
      </c>
      <c r="W8" s="25"/>
      <c r="Y8" s="80"/>
    </row>
    <row r="9" spans="1:25" ht="17.25" x14ac:dyDescent="0.3">
      <c r="A9" s="10" t="s">
        <v>51</v>
      </c>
      <c r="B9" s="1">
        <v>0</v>
      </c>
      <c r="C9" s="2">
        <v>0</v>
      </c>
      <c r="D9" s="1">
        <v>0</v>
      </c>
      <c r="E9" s="1">
        <v>4</v>
      </c>
      <c r="F9" s="1">
        <v>0</v>
      </c>
      <c r="G9" s="1">
        <f t="shared" si="0"/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30"/>
      <c r="Q9" s="46"/>
      <c r="R9" s="2"/>
      <c r="S9" s="58"/>
      <c r="T9" s="76"/>
      <c r="U9" s="61">
        <f t="shared" si="1"/>
        <v>17</v>
      </c>
      <c r="V9" s="69">
        <f t="shared" si="2"/>
        <v>17</v>
      </c>
      <c r="W9" s="25"/>
      <c r="Y9" s="80"/>
    </row>
    <row r="10" spans="1:25" ht="17.25" x14ac:dyDescent="0.3">
      <c r="A10" s="10" t="s">
        <v>25</v>
      </c>
      <c r="B10" s="1">
        <v>4</v>
      </c>
      <c r="C10" s="2">
        <f t="shared" ref="C10:C23" si="3">+F10/E10</f>
        <v>0.7</v>
      </c>
      <c r="D10" s="1">
        <v>12</v>
      </c>
      <c r="E10" s="1">
        <v>10</v>
      </c>
      <c r="F10" s="1">
        <v>7</v>
      </c>
      <c r="G10" s="1">
        <f t="shared" si="0"/>
        <v>4</v>
      </c>
      <c r="H10" s="1">
        <v>2</v>
      </c>
      <c r="I10" s="1">
        <v>1</v>
      </c>
      <c r="J10" s="1">
        <v>0</v>
      </c>
      <c r="K10" s="1">
        <v>5</v>
      </c>
      <c r="L10" s="1">
        <v>4</v>
      </c>
      <c r="M10" s="1">
        <v>4</v>
      </c>
      <c r="N10" s="1">
        <v>0</v>
      </c>
      <c r="O10" s="1">
        <v>0</v>
      </c>
      <c r="P10" s="30">
        <f t="shared" ref="P10:P23" si="4">+O10/D10</f>
        <v>0</v>
      </c>
      <c r="Q10" s="46">
        <f t="shared" ref="Q10:Q23" si="5">+(G10*1+H10*2+I10*3+J10*4)/E10</f>
        <v>1.1000000000000001</v>
      </c>
      <c r="R10" s="2">
        <f t="shared" ref="R10:R23" si="6">+(F10+N10)/D10</f>
        <v>0.58333333333333337</v>
      </c>
      <c r="S10" s="58">
        <f t="shared" ref="S10:S23" si="7">+R10+Q10</f>
        <v>1.6833333333333336</v>
      </c>
      <c r="T10" s="76">
        <f t="shared" ref="T10:T23" si="8">O10/(D10-(F10+N10))</f>
        <v>0</v>
      </c>
      <c r="U10" s="61">
        <f t="shared" si="1"/>
        <v>5</v>
      </c>
      <c r="V10" s="69">
        <f t="shared" si="2"/>
        <v>1</v>
      </c>
      <c r="W10" s="25">
        <v>2</v>
      </c>
      <c r="Y10" s="80"/>
    </row>
    <row r="11" spans="1:25" ht="17.25" x14ac:dyDescent="0.3">
      <c r="A11" s="10" t="s">
        <v>21</v>
      </c>
      <c r="B11" s="1">
        <v>4</v>
      </c>
      <c r="C11" s="2">
        <f t="shared" si="3"/>
        <v>0.2857142857142857</v>
      </c>
      <c r="D11" s="1">
        <v>7</v>
      </c>
      <c r="E11" s="1">
        <v>7</v>
      </c>
      <c r="F11" s="1">
        <v>2</v>
      </c>
      <c r="G11" s="1">
        <f t="shared" si="0"/>
        <v>2</v>
      </c>
      <c r="H11" s="1">
        <v>0</v>
      </c>
      <c r="I11" s="1">
        <v>0</v>
      </c>
      <c r="J11" s="1">
        <v>0</v>
      </c>
      <c r="K11" s="1">
        <v>3</v>
      </c>
      <c r="L11" s="1">
        <v>0</v>
      </c>
      <c r="M11" s="1">
        <v>2</v>
      </c>
      <c r="N11" s="1">
        <v>0</v>
      </c>
      <c r="O11" s="1">
        <v>1</v>
      </c>
      <c r="P11" s="30">
        <f t="shared" si="4"/>
        <v>0.14285714285714285</v>
      </c>
      <c r="Q11" s="46">
        <f t="shared" si="5"/>
        <v>0.2857142857142857</v>
      </c>
      <c r="R11" s="2">
        <f t="shared" si="6"/>
        <v>0.2857142857142857</v>
      </c>
      <c r="S11" s="58">
        <f t="shared" si="7"/>
        <v>0.5714285714285714</v>
      </c>
      <c r="T11" s="76">
        <f t="shared" si="8"/>
        <v>0.2</v>
      </c>
      <c r="U11" s="61">
        <f t="shared" si="1"/>
        <v>15</v>
      </c>
      <c r="V11" s="69">
        <f t="shared" si="2"/>
        <v>13</v>
      </c>
      <c r="W11" s="25">
        <v>1</v>
      </c>
      <c r="Y11" s="80"/>
    </row>
    <row r="12" spans="1:25" ht="17.25" x14ac:dyDescent="0.3">
      <c r="A12" s="10" t="s">
        <v>8</v>
      </c>
      <c r="B12" s="1">
        <v>5</v>
      </c>
      <c r="C12" s="2">
        <f t="shared" si="3"/>
        <v>0</v>
      </c>
      <c r="D12" s="1">
        <v>8</v>
      </c>
      <c r="E12" s="1">
        <v>4</v>
      </c>
      <c r="F12" s="1">
        <v>0</v>
      </c>
      <c r="G12" s="1">
        <f t="shared" si="0"/>
        <v>0</v>
      </c>
      <c r="H12" s="1">
        <v>0</v>
      </c>
      <c r="I12" s="1">
        <v>0</v>
      </c>
      <c r="J12" s="1">
        <v>0</v>
      </c>
      <c r="K12" s="1">
        <v>4</v>
      </c>
      <c r="L12" s="1">
        <v>0</v>
      </c>
      <c r="M12" s="1">
        <v>3</v>
      </c>
      <c r="N12" s="1">
        <v>3</v>
      </c>
      <c r="O12" s="1">
        <v>1</v>
      </c>
      <c r="P12" s="30">
        <f t="shared" si="4"/>
        <v>0.125</v>
      </c>
      <c r="Q12" s="46">
        <f t="shared" si="5"/>
        <v>0</v>
      </c>
      <c r="R12" s="2">
        <f t="shared" si="6"/>
        <v>0.375</v>
      </c>
      <c r="S12" s="58">
        <f t="shared" si="7"/>
        <v>0.375</v>
      </c>
      <c r="T12" s="76">
        <f t="shared" si="8"/>
        <v>0.2</v>
      </c>
      <c r="U12" s="61">
        <f t="shared" si="1"/>
        <v>13</v>
      </c>
      <c r="V12" s="69">
        <f t="shared" si="2"/>
        <v>16</v>
      </c>
      <c r="W12" s="25">
        <v>1</v>
      </c>
      <c r="Y12" s="80"/>
    </row>
    <row r="13" spans="1:25" ht="17.25" x14ac:dyDescent="0.3">
      <c r="A13" s="10" t="s">
        <v>15</v>
      </c>
      <c r="B13" s="1">
        <v>7</v>
      </c>
      <c r="C13" s="2">
        <f t="shared" si="3"/>
        <v>0.53333333333333333</v>
      </c>
      <c r="D13" s="1">
        <v>19</v>
      </c>
      <c r="E13" s="1">
        <v>15</v>
      </c>
      <c r="F13" s="1">
        <v>8</v>
      </c>
      <c r="G13" s="1">
        <f t="shared" si="0"/>
        <v>6</v>
      </c>
      <c r="H13" s="1">
        <v>2</v>
      </c>
      <c r="I13" s="1">
        <v>0</v>
      </c>
      <c r="J13" s="1">
        <v>0</v>
      </c>
      <c r="K13" s="1">
        <v>7</v>
      </c>
      <c r="L13" s="1">
        <v>4</v>
      </c>
      <c r="M13" s="1">
        <v>6</v>
      </c>
      <c r="N13" s="1">
        <v>4</v>
      </c>
      <c r="O13" s="1">
        <v>0</v>
      </c>
      <c r="P13" s="30">
        <f t="shared" si="4"/>
        <v>0</v>
      </c>
      <c r="Q13" s="46">
        <f t="shared" si="5"/>
        <v>0.66666666666666663</v>
      </c>
      <c r="R13" s="2">
        <f t="shared" si="6"/>
        <v>0.63157894736842102</v>
      </c>
      <c r="S13" s="58">
        <f t="shared" si="7"/>
        <v>1.2982456140350878</v>
      </c>
      <c r="T13" s="76">
        <f t="shared" si="8"/>
        <v>0</v>
      </c>
      <c r="U13" s="61">
        <f t="shared" si="1"/>
        <v>4</v>
      </c>
      <c r="V13" s="69">
        <f t="shared" si="2"/>
        <v>2</v>
      </c>
      <c r="W13" s="25">
        <v>1</v>
      </c>
      <c r="Y13" s="80"/>
    </row>
    <row r="14" spans="1:25" ht="17.25" x14ac:dyDescent="0.3">
      <c r="A14" s="10" t="s">
        <v>23</v>
      </c>
      <c r="B14" s="1">
        <v>5</v>
      </c>
      <c r="C14" s="2">
        <f t="shared" si="3"/>
        <v>0.14285714285714285</v>
      </c>
      <c r="D14" s="1">
        <v>16</v>
      </c>
      <c r="E14" s="1">
        <v>14</v>
      </c>
      <c r="F14" s="1">
        <v>2</v>
      </c>
      <c r="G14" s="1">
        <f t="shared" si="0"/>
        <v>0</v>
      </c>
      <c r="H14" s="1">
        <v>2</v>
      </c>
      <c r="I14" s="1">
        <v>0</v>
      </c>
      <c r="J14" s="1">
        <v>0</v>
      </c>
      <c r="K14" s="1">
        <v>3</v>
      </c>
      <c r="L14" s="1">
        <v>5</v>
      </c>
      <c r="M14" s="1">
        <v>1</v>
      </c>
      <c r="N14" s="1">
        <v>2</v>
      </c>
      <c r="O14" s="1">
        <v>8</v>
      </c>
      <c r="P14" s="79">
        <f t="shared" si="4"/>
        <v>0.5</v>
      </c>
      <c r="Q14" s="46">
        <f t="shared" si="5"/>
        <v>0.2857142857142857</v>
      </c>
      <c r="R14" s="2">
        <f t="shared" si="6"/>
        <v>0.25</v>
      </c>
      <c r="S14" s="58">
        <f t="shared" si="7"/>
        <v>0.5357142857142857</v>
      </c>
      <c r="T14" s="76">
        <f t="shared" si="8"/>
        <v>0.66666666666666663</v>
      </c>
      <c r="U14" s="61">
        <f t="shared" si="1"/>
        <v>16</v>
      </c>
      <c r="V14" s="69">
        <f t="shared" si="2"/>
        <v>14</v>
      </c>
      <c r="W14" s="25">
        <v>4</v>
      </c>
      <c r="Y14" s="80"/>
    </row>
    <row r="15" spans="1:25" ht="17.25" x14ac:dyDescent="0.3">
      <c r="A15" s="10" t="s">
        <v>50</v>
      </c>
      <c r="B15" s="1">
        <v>5</v>
      </c>
      <c r="C15" s="2">
        <f t="shared" si="3"/>
        <v>0.46153846153846156</v>
      </c>
      <c r="D15" s="1">
        <v>15</v>
      </c>
      <c r="E15" s="1">
        <v>13</v>
      </c>
      <c r="F15" s="1">
        <v>6</v>
      </c>
      <c r="G15" s="1">
        <f t="shared" si="0"/>
        <v>5</v>
      </c>
      <c r="H15" s="1">
        <v>1</v>
      </c>
      <c r="I15" s="1">
        <v>0</v>
      </c>
      <c r="J15" s="1">
        <v>0</v>
      </c>
      <c r="K15" s="1">
        <v>7</v>
      </c>
      <c r="L15" s="1">
        <v>8</v>
      </c>
      <c r="M15" s="1">
        <v>5</v>
      </c>
      <c r="N15" s="1">
        <v>2</v>
      </c>
      <c r="O15" s="1">
        <v>1</v>
      </c>
      <c r="P15" s="30">
        <f t="shared" si="4"/>
        <v>6.6666666666666666E-2</v>
      </c>
      <c r="Q15" s="46">
        <f t="shared" si="5"/>
        <v>0.53846153846153844</v>
      </c>
      <c r="R15" s="2">
        <f t="shared" si="6"/>
        <v>0.53333333333333333</v>
      </c>
      <c r="S15" s="58">
        <f t="shared" si="7"/>
        <v>1.0717948717948718</v>
      </c>
      <c r="T15" s="76">
        <f t="shared" si="8"/>
        <v>0.14285714285714285</v>
      </c>
      <c r="U15" s="61">
        <f t="shared" si="1"/>
        <v>6</v>
      </c>
      <c r="V15" s="69">
        <f t="shared" si="2"/>
        <v>8</v>
      </c>
      <c r="W15" s="25"/>
      <c r="Y15" s="80"/>
    </row>
    <row r="16" spans="1:25" ht="17.25" x14ac:dyDescent="0.3">
      <c r="A16" s="10" t="s">
        <v>33</v>
      </c>
      <c r="B16" s="1">
        <v>6</v>
      </c>
      <c r="C16" s="2">
        <f t="shared" si="3"/>
        <v>0.375</v>
      </c>
      <c r="D16" s="1">
        <v>20</v>
      </c>
      <c r="E16" s="1">
        <v>16</v>
      </c>
      <c r="F16" s="1">
        <v>6</v>
      </c>
      <c r="G16" s="1">
        <f t="shared" si="0"/>
        <v>4</v>
      </c>
      <c r="H16" s="1">
        <v>1</v>
      </c>
      <c r="I16" s="1">
        <v>1</v>
      </c>
      <c r="J16" s="1">
        <v>0</v>
      </c>
      <c r="K16" s="1">
        <v>7</v>
      </c>
      <c r="L16" s="1">
        <v>4</v>
      </c>
      <c r="M16" s="1">
        <v>6</v>
      </c>
      <c r="N16" s="1">
        <v>4</v>
      </c>
      <c r="O16" s="1">
        <v>3</v>
      </c>
      <c r="P16" s="30">
        <f t="shared" si="4"/>
        <v>0.15</v>
      </c>
      <c r="Q16" s="46">
        <f t="shared" si="5"/>
        <v>0.5625</v>
      </c>
      <c r="R16" s="2">
        <f t="shared" si="6"/>
        <v>0.5</v>
      </c>
      <c r="S16" s="58">
        <f t="shared" si="7"/>
        <v>1.0625</v>
      </c>
      <c r="T16" s="76">
        <f t="shared" si="8"/>
        <v>0.3</v>
      </c>
      <c r="U16" s="61">
        <f t="shared" si="1"/>
        <v>8</v>
      </c>
      <c r="V16" s="69">
        <f t="shared" si="2"/>
        <v>9</v>
      </c>
      <c r="W16" s="25">
        <v>1</v>
      </c>
      <c r="Y16" s="80"/>
    </row>
    <row r="17" spans="1:25" ht="17.25" x14ac:dyDescent="0.3">
      <c r="A17" s="10" t="s">
        <v>60</v>
      </c>
      <c r="B17" s="1">
        <v>5</v>
      </c>
      <c r="C17" s="2">
        <f t="shared" si="3"/>
        <v>0.25</v>
      </c>
      <c r="D17" s="1">
        <v>9</v>
      </c>
      <c r="E17" s="1">
        <v>8</v>
      </c>
      <c r="F17" s="1">
        <v>2</v>
      </c>
      <c r="G17" s="1">
        <f t="shared" si="0"/>
        <v>2</v>
      </c>
      <c r="H17" s="1">
        <v>0</v>
      </c>
      <c r="I17" s="1">
        <v>0</v>
      </c>
      <c r="J17" s="1">
        <v>0</v>
      </c>
      <c r="K17" s="1">
        <v>4</v>
      </c>
      <c r="L17" s="1">
        <v>0</v>
      </c>
      <c r="M17" s="1">
        <v>1</v>
      </c>
      <c r="N17" s="1">
        <v>1</v>
      </c>
      <c r="O17" s="1">
        <v>1</v>
      </c>
      <c r="P17" s="30">
        <f t="shared" si="4"/>
        <v>0.1111111111111111</v>
      </c>
      <c r="Q17" s="46">
        <f t="shared" si="5"/>
        <v>0.25</v>
      </c>
      <c r="R17" s="2">
        <f t="shared" si="6"/>
        <v>0.33333333333333331</v>
      </c>
      <c r="S17" s="58">
        <f t="shared" si="7"/>
        <v>0.58333333333333326</v>
      </c>
      <c r="T17" s="76">
        <f t="shared" si="8"/>
        <v>0.16666666666666666</v>
      </c>
      <c r="U17" s="61">
        <f t="shared" si="1"/>
        <v>14</v>
      </c>
      <c r="V17" s="69">
        <f t="shared" si="2"/>
        <v>12</v>
      </c>
      <c r="W17" s="25"/>
      <c r="Y17" s="80"/>
    </row>
    <row r="18" spans="1:25" ht="17.25" x14ac:dyDescent="0.3">
      <c r="A18" s="10" t="s">
        <v>12</v>
      </c>
      <c r="B18" s="1">
        <v>2</v>
      </c>
      <c r="C18" s="2">
        <f t="shared" si="3"/>
        <v>0.5</v>
      </c>
      <c r="D18" s="1">
        <v>6</v>
      </c>
      <c r="E18" s="1">
        <v>4</v>
      </c>
      <c r="F18" s="1">
        <v>2</v>
      </c>
      <c r="G18" s="1">
        <f t="shared" si="0"/>
        <v>2</v>
      </c>
      <c r="H18" s="1">
        <v>0</v>
      </c>
      <c r="I18" s="1">
        <v>0</v>
      </c>
      <c r="J18" s="1">
        <v>0</v>
      </c>
      <c r="K18" s="1">
        <v>1</v>
      </c>
      <c r="L18" s="1">
        <v>1</v>
      </c>
      <c r="M18" s="1">
        <v>0</v>
      </c>
      <c r="N18" s="1">
        <v>2</v>
      </c>
      <c r="O18" s="1">
        <v>0</v>
      </c>
      <c r="P18" s="30">
        <f t="shared" si="4"/>
        <v>0</v>
      </c>
      <c r="Q18" s="46">
        <f t="shared" si="5"/>
        <v>0.5</v>
      </c>
      <c r="R18" s="2">
        <f t="shared" si="6"/>
        <v>0.66666666666666663</v>
      </c>
      <c r="S18" s="58">
        <f t="shared" si="7"/>
        <v>1.1666666666666665</v>
      </c>
      <c r="T18" s="76">
        <f t="shared" si="8"/>
        <v>0</v>
      </c>
      <c r="U18" s="61">
        <f t="shared" si="1"/>
        <v>2</v>
      </c>
      <c r="V18" s="69">
        <f t="shared" si="2"/>
        <v>4</v>
      </c>
      <c r="W18" s="25"/>
      <c r="Y18" s="80"/>
    </row>
    <row r="19" spans="1:25" ht="17.25" x14ac:dyDescent="0.3">
      <c r="A19" s="10" t="s">
        <v>24</v>
      </c>
      <c r="B19" s="1">
        <v>1</v>
      </c>
      <c r="C19" s="2">
        <f t="shared" si="3"/>
        <v>0</v>
      </c>
      <c r="D19" s="1">
        <v>1</v>
      </c>
      <c r="E19" s="1">
        <v>1</v>
      </c>
      <c r="F19" s="1">
        <v>0</v>
      </c>
      <c r="G19" s="1">
        <f t="shared" si="0"/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</v>
      </c>
      <c r="P19" s="79">
        <f t="shared" si="4"/>
        <v>1</v>
      </c>
      <c r="Q19" s="46">
        <f t="shared" si="5"/>
        <v>0</v>
      </c>
      <c r="R19" s="2">
        <f t="shared" si="6"/>
        <v>0</v>
      </c>
      <c r="S19" s="58">
        <f t="shared" si="7"/>
        <v>0</v>
      </c>
      <c r="T19" s="76">
        <f t="shared" si="8"/>
        <v>1</v>
      </c>
      <c r="U19" s="61">
        <f t="shared" si="1"/>
        <v>17</v>
      </c>
      <c r="V19" s="69">
        <f t="shared" si="2"/>
        <v>17</v>
      </c>
      <c r="W19" s="25">
        <v>3</v>
      </c>
      <c r="Y19" s="80"/>
    </row>
    <row r="20" spans="1:25" ht="17.25" x14ac:dyDescent="0.3">
      <c r="A20" s="10" t="s">
        <v>14</v>
      </c>
      <c r="B20" s="1">
        <v>6</v>
      </c>
      <c r="C20" s="2">
        <f t="shared" si="3"/>
        <v>0.46666666666666667</v>
      </c>
      <c r="D20" s="1">
        <v>15</v>
      </c>
      <c r="E20" s="1">
        <v>15</v>
      </c>
      <c r="F20" s="1">
        <v>7</v>
      </c>
      <c r="G20" s="1">
        <f t="shared" si="0"/>
        <v>3</v>
      </c>
      <c r="H20" s="1">
        <v>4</v>
      </c>
      <c r="I20" s="1">
        <v>0</v>
      </c>
      <c r="J20" s="1">
        <v>0</v>
      </c>
      <c r="K20" s="1">
        <v>6</v>
      </c>
      <c r="L20" s="1">
        <v>8</v>
      </c>
      <c r="M20" s="1">
        <v>0</v>
      </c>
      <c r="N20" s="1">
        <v>0</v>
      </c>
      <c r="O20" s="1">
        <v>1</v>
      </c>
      <c r="P20" s="30">
        <f t="shared" si="4"/>
        <v>6.6666666666666666E-2</v>
      </c>
      <c r="Q20" s="46">
        <f t="shared" si="5"/>
        <v>0.73333333333333328</v>
      </c>
      <c r="R20" s="2">
        <f t="shared" si="6"/>
        <v>0.46666666666666667</v>
      </c>
      <c r="S20" s="58">
        <f t="shared" si="7"/>
        <v>1.2</v>
      </c>
      <c r="T20" s="76">
        <f t="shared" si="8"/>
        <v>0.125</v>
      </c>
      <c r="U20" s="61">
        <f t="shared" si="1"/>
        <v>11</v>
      </c>
      <c r="V20" s="69">
        <f t="shared" si="2"/>
        <v>3</v>
      </c>
      <c r="W20" s="25">
        <v>2</v>
      </c>
      <c r="Y20" s="80"/>
    </row>
    <row r="21" spans="1:25" ht="17.25" x14ac:dyDescent="0.3">
      <c r="A21" s="10" t="s">
        <v>47</v>
      </c>
      <c r="B21" s="1">
        <v>3</v>
      </c>
      <c r="C21" s="2">
        <f t="shared" si="3"/>
        <v>0.25</v>
      </c>
      <c r="D21" s="1">
        <v>6</v>
      </c>
      <c r="E21" s="1">
        <v>4</v>
      </c>
      <c r="F21" s="1">
        <v>1</v>
      </c>
      <c r="G21" s="1">
        <f t="shared" si="0"/>
        <v>1</v>
      </c>
      <c r="H21" s="1">
        <v>0</v>
      </c>
      <c r="I21" s="1">
        <v>0</v>
      </c>
      <c r="J21" s="1">
        <v>0</v>
      </c>
      <c r="K21" s="1">
        <v>1</v>
      </c>
      <c r="L21" s="1">
        <v>1</v>
      </c>
      <c r="M21" s="1">
        <v>1</v>
      </c>
      <c r="N21" s="1">
        <v>2</v>
      </c>
      <c r="O21" s="1">
        <v>2</v>
      </c>
      <c r="P21" s="79">
        <f t="shared" si="4"/>
        <v>0.33333333333333331</v>
      </c>
      <c r="Q21" s="46">
        <f t="shared" si="5"/>
        <v>0.25</v>
      </c>
      <c r="R21" s="2">
        <f t="shared" si="6"/>
        <v>0.5</v>
      </c>
      <c r="S21" s="58">
        <f t="shared" si="7"/>
        <v>0.75</v>
      </c>
      <c r="T21" s="76">
        <f t="shared" si="8"/>
        <v>0.66666666666666663</v>
      </c>
      <c r="U21" s="61">
        <f t="shared" si="1"/>
        <v>8</v>
      </c>
      <c r="V21" s="69">
        <f t="shared" si="2"/>
        <v>11</v>
      </c>
      <c r="W21" s="25"/>
      <c r="Y21" s="80"/>
    </row>
    <row r="22" spans="1:25" ht="17.25" x14ac:dyDescent="0.3">
      <c r="A22" s="10" t="s">
        <v>22</v>
      </c>
      <c r="B22" s="1">
        <v>6</v>
      </c>
      <c r="C22" s="2">
        <f t="shared" si="3"/>
        <v>0.36363636363636365</v>
      </c>
      <c r="D22" s="1">
        <v>15</v>
      </c>
      <c r="E22" s="1">
        <v>11</v>
      </c>
      <c r="F22" s="1">
        <v>4</v>
      </c>
      <c r="G22" s="1">
        <f t="shared" si="0"/>
        <v>3</v>
      </c>
      <c r="H22" s="1">
        <v>0</v>
      </c>
      <c r="I22" s="1">
        <v>1</v>
      </c>
      <c r="J22" s="1">
        <v>0</v>
      </c>
      <c r="K22" s="1">
        <v>4</v>
      </c>
      <c r="L22" s="1">
        <v>4</v>
      </c>
      <c r="M22" s="1">
        <v>3</v>
      </c>
      <c r="N22" s="1">
        <v>4</v>
      </c>
      <c r="O22" s="1">
        <v>3</v>
      </c>
      <c r="P22" s="30">
        <f t="shared" si="4"/>
        <v>0.2</v>
      </c>
      <c r="Q22" s="46">
        <f t="shared" si="5"/>
        <v>0.54545454545454541</v>
      </c>
      <c r="R22" s="2">
        <f t="shared" si="6"/>
        <v>0.53333333333333333</v>
      </c>
      <c r="S22" s="58">
        <f t="shared" si="7"/>
        <v>1.0787878787878786</v>
      </c>
      <c r="T22" s="76">
        <f t="shared" si="8"/>
        <v>0.42857142857142855</v>
      </c>
      <c r="U22" s="61">
        <f t="shared" si="1"/>
        <v>6</v>
      </c>
      <c r="V22" s="69">
        <f t="shared" si="2"/>
        <v>7</v>
      </c>
      <c r="W22" s="25">
        <v>2</v>
      </c>
      <c r="Y22" s="80"/>
    </row>
    <row r="23" spans="1:25" ht="17.25" x14ac:dyDescent="0.3">
      <c r="A23" s="10" t="s">
        <v>54</v>
      </c>
      <c r="B23" s="1">
        <v>4</v>
      </c>
      <c r="C23" s="2">
        <f t="shared" si="3"/>
        <v>0</v>
      </c>
      <c r="D23" s="1">
        <v>7</v>
      </c>
      <c r="E23" s="1">
        <v>2</v>
      </c>
      <c r="F23" s="1">
        <v>0</v>
      </c>
      <c r="G23" s="1">
        <f t="shared" si="0"/>
        <v>0</v>
      </c>
      <c r="H23" s="1">
        <v>0</v>
      </c>
      <c r="I23" s="1">
        <v>0</v>
      </c>
      <c r="J23" s="1">
        <v>0</v>
      </c>
      <c r="K23" s="1">
        <v>3</v>
      </c>
      <c r="L23" s="1">
        <v>0</v>
      </c>
      <c r="M23" s="1">
        <v>1</v>
      </c>
      <c r="N23" s="1">
        <v>3</v>
      </c>
      <c r="O23" s="1">
        <v>2</v>
      </c>
      <c r="P23" s="30">
        <f t="shared" si="4"/>
        <v>0.2857142857142857</v>
      </c>
      <c r="Q23" s="46">
        <f t="shared" si="5"/>
        <v>0</v>
      </c>
      <c r="R23" s="2">
        <f t="shared" si="6"/>
        <v>0.42857142857142855</v>
      </c>
      <c r="S23" s="58">
        <f t="shared" si="7"/>
        <v>0.42857142857142855</v>
      </c>
      <c r="T23" s="76">
        <f t="shared" si="8"/>
        <v>0.5</v>
      </c>
      <c r="U23" s="61">
        <f t="shared" si="1"/>
        <v>12</v>
      </c>
      <c r="V23" s="69">
        <f t="shared" si="2"/>
        <v>15</v>
      </c>
      <c r="W23" s="25"/>
      <c r="Y23" s="80"/>
    </row>
    <row r="24" spans="1:25" ht="17.25" x14ac:dyDescent="0.3">
      <c r="A24" s="11" t="s">
        <v>10</v>
      </c>
      <c r="B24" s="11"/>
      <c r="C24" s="17">
        <f t="shared" ref="C24" si="9">+F24/E24</f>
        <v>0.37671232876712329</v>
      </c>
      <c r="D24" s="11">
        <f t="shared" ref="D24:O24" si="10">SUM(D4:D23)</f>
        <v>179</v>
      </c>
      <c r="E24" s="11">
        <f t="shared" si="10"/>
        <v>146</v>
      </c>
      <c r="F24" s="11">
        <f t="shared" si="10"/>
        <v>55</v>
      </c>
      <c r="G24" s="11">
        <f t="shared" si="10"/>
        <v>37</v>
      </c>
      <c r="H24" s="11">
        <f t="shared" si="10"/>
        <v>15</v>
      </c>
      <c r="I24" s="11">
        <f t="shared" si="10"/>
        <v>3</v>
      </c>
      <c r="J24" s="11">
        <f t="shared" si="10"/>
        <v>0</v>
      </c>
      <c r="K24" s="11">
        <f t="shared" si="10"/>
        <v>62</v>
      </c>
      <c r="L24" s="11">
        <f t="shared" si="10"/>
        <v>50</v>
      </c>
      <c r="M24" s="11">
        <f t="shared" si="10"/>
        <v>41</v>
      </c>
      <c r="N24" s="11">
        <f t="shared" si="10"/>
        <v>32</v>
      </c>
      <c r="O24" s="11">
        <f t="shared" si="10"/>
        <v>26</v>
      </c>
      <c r="P24" s="29">
        <f t="shared" ref="P24" si="11">+O24/D24</f>
        <v>0.14525139664804471</v>
      </c>
      <c r="Q24" s="17"/>
      <c r="R24" s="17"/>
      <c r="S24" s="57"/>
      <c r="T24" s="68"/>
      <c r="U24" s="68"/>
      <c r="V24" s="68"/>
      <c r="W24" s="81">
        <f>SUM(W4:W23)</f>
        <v>18</v>
      </c>
    </row>
    <row r="25" spans="1:25" ht="17.25" x14ac:dyDescent="0.3">
      <c r="A25" s="22"/>
      <c r="B25" s="22"/>
      <c r="C25" s="23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3"/>
      <c r="R25" s="23"/>
    </row>
    <row r="26" spans="1:25" ht="17.25" x14ac:dyDescent="0.3">
      <c r="A26" s="4" t="s">
        <v>3</v>
      </c>
    </row>
    <row r="27" spans="1:25" ht="34.5" x14ac:dyDescent="0.3">
      <c r="A27" s="10" t="s">
        <v>27</v>
      </c>
      <c r="B27" s="10" t="s">
        <v>46</v>
      </c>
      <c r="C27" s="10" t="s">
        <v>55</v>
      </c>
      <c r="D27" s="10" t="s">
        <v>41</v>
      </c>
      <c r="E27" s="10" t="s">
        <v>48</v>
      </c>
      <c r="F27" s="10" t="s">
        <v>45</v>
      </c>
      <c r="G27" s="10" t="s">
        <v>38</v>
      </c>
      <c r="H27" s="10" t="s">
        <v>5</v>
      </c>
      <c r="I27" s="10" t="s">
        <v>17</v>
      </c>
      <c r="J27" s="10" t="s">
        <v>26</v>
      </c>
      <c r="K27" s="10" t="s">
        <v>30</v>
      </c>
      <c r="L27" s="10" t="s">
        <v>89</v>
      </c>
      <c r="M27" s="10" t="s">
        <v>6</v>
      </c>
      <c r="N27" s="10" t="s">
        <v>42</v>
      </c>
      <c r="O27" s="10" t="s">
        <v>35</v>
      </c>
      <c r="P27" s="10" t="s">
        <v>49</v>
      </c>
      <c r="Q27" s="10" t="s">
        <v>56</v>
      </c>
      <c r="R27" s="10" t="s">
        <v>66</v>
      </c>
      <c r="S27" s="10" t="s">
        <v>90</v>
      </c>
      <c r="T27" s="10" t="s">
        <v>70</v>
      </c>
      <c r="U27" s="10" t="s">
        <v>69</v>
      </c>
      <c r="V27" s="10" t="s">
        <v>68</v>
      </c>
    </row>
    <row r="28" spans="1:25" ht="17.25" x14ac:dyDescent="0.3">
      <c r="A28" s="10" t="s">
        <v>59</v>
      </c>
      <c r="B28" s="1"/>
      <c r="C28" s="1"/>
      <c r="D28" s="1"/>
      <c r="E28" s="1"/>
      <c r="F28" s="1"/>
      <c r="G28" s="1"/>
      <c r="H28" s="6"/>
      <c r="I28" s="1"/>
      <c r="J28" s="1"/>
      <c r="K28" s="1"/>
      <c r="L28" s="1"/>
      <c r="M28" s="1"/>
      <c r="N28" s="1"/>
      <c r="O28" s="1"/>
      <c r="P28" s="3"/>
      <c r="Q28" s="38"/>
      <c r="R28" s="39"/>
      <c r="S28" s="39"/>
      <c r="T28" s="40"/>
      <c r="U28" s="33"/>
      <c r="V28" s="38"/>
    </row>
    <row r="29" spans="1:25" ht="17.25" x14ac:dyDescent="0.3">
      <c r="A29" s="10" t="s">
        <v>94</v>
      </c>
      <c r="B29" s="1"/>
      <c r="C29" s="1"/>
      <c r="D29" s="1"/>
      <c r="E29" s="1"/>
      <c r="F29" s="1"/>
      <c r="G29" s="1"/>
      <c r="H29" s="6"/>
      <c r="I29" s="1"/>
      <c r="J29" s="1"/>
      <c r="K29" s="1"/>
      <c r="L29" s="1"/>
      <c r="M29" s="1"/>
      <c r="N29" s="1"/>
      <c r="O29" s="1"/>
      <c r="P29" s="3"/>
      <c r="Q29" s="38"/>
      <c r="R29" s="39"/>
      <c r="S29" s="39"/>
      <c r="T29" s="40"/>
      <c r="U29" s="33"/>
      <c r="V29" s="38"/>
    </row>
    <row r="30" spans="1:25" ht="17.25" x14ac:dyDescent="0.3">
      <c r="A30" s="10" t="s">
        <v>51</v>
      </c>
      <c r="B30" s="1"/>
      <c r="C30" s="1"/>
      <c r="D30" s="1"/>
      <c r="E30" s="1"/>
      <c r="F30" s="1"/>
      <c r="G30" s="1"/>
      <c r="H30" s="6"/>
      <c r="I30" s="1"/>
      <c r="J30" s="1"/>
      <c r="K30" s="1"/>
      <c r="L30" s="1"/>
      <c r="M30" s="1"/>
      <c r="N30" s="1"/>
      <c r="O30" s="1"/>
      <c r="P30" s="3"/>
      <c r="Q30" s="38"/>
      <c r="R30" s="39"/>
      <c r="S30" s="39"/>
      <c r="T30" s="40"/>
      <c r="U30" s="33"/>
      <c r="V30" s="38"/>
    </row>
    <row r="31" spans="1:25" ht="17.25" x14ac:dyDescent="0.3">
      <c r="A31" s="10" t="s">
        <v>15</v>
      </c>
      <c r="B31" s="1">
        <v>5</v>
      </c>
      <c r="C31" s="1">
        <v>3</v>
      </c>
      <c r="D31" s="1">
        <v>1</v>
      </c>
      <c r="E31" s="1">
        <v>0</v>
      </c>
      <c r="F31" s="1">
        <v>99</v>
      </c>
      <c r="G31" s="1">
        <v>76</v>
      </c>
      <c r="H31" s="6">
        <v>18</v>
      </c>
      <c r="I31" s="1">
        <v>14</v>
      </c>
      <c r="J31" s="1">
        <v>0</v>
      </c>
      <c r="K31" s="1">
        <v>18</v>
      </c>
      <c r="L31" s="1">
        <v>5</v>
      </c>
      <c r="M31" s="1">
        <v>27</v>
      </c>
      <c r="N31" s="1">
        <v>24</v>
      </c>
      <c r="O31" s="1">
        <v>18</v>
      </c>
      <c r="P31" s="3">
        <f t="shared" ref="P31:P35" si="12">+O31*9/H31</f>
        <v>9</v>
      </c>
      <c r="Q31" s="38">
        <f t="shared" ref="Q31:Q36" si="13">(K31+L31)/H31</f>
        <v>1.2777777777777777</v>
      </c>
      <c r="R31" s="39">
        <f t="shared" ref="R31:R36" si="14">I31/H31</f>
        <v>0.77777777777777779</v>
      </c>
      <c r="S31" s="39">
        <f t="shared" ref="S31:S35" si="15">H31/B31</f>
        <v>3.6</v>
      </c>
      <c r="T31" s="40">
        <f t="shared" ref="T31:T36" si="16">M31/H31</f>
        <v>1.5</v>
      </c>
      <c r="U31" s="33">
        <f t="shared" ref="U31:U36" si="17">O31/N31</f>
        <v>0.75</v>
      </c>
      <c r="V31" s="38">
        <f t="shared" ref="V31:V36" si="18">(I31+K31+L31)/H31</f>
        <v>2.0555555555555554</v>
      </c>
    </row>
    <row r="32" spans="1:25" ht="17.25" x14ac:dyDescent="0.3">
      <c r="A32" s="10" t="s">
        <v>50</v>
      </c>
      <c r="B32" s="1"/>
      <c r="C32" s="1"/>
      <c r="D32" s="1"/>
      <c r="E32" s="1"/>
      <c r="F32" s="1"/>
      <c r="G32" s="1"/>
      <c r="H32" s="6"/>
      <c r="I32" s="1"/>
      <c r="J32" s="1"/>
      <c r="K32" s="1"/>
      <c r="L32" s="1"/>
      <c r="M32" s="1"/>
      <c r="N32" s="1"/>
      <c r="O32" s="1"/>
      <c r="P32" s="3"/>
      <c r="Q32" s="38"/>
      <c r="R32" s="39"/>
      <c r="S32" s="39"/>
      <c r="T32" s="40"/>
      <c r="U32" s="33"/>
      <c r="V32" s="38"/>
    </row>
    <row r="33" spans="1:22" ht="17.25" x14ac:dyDescent="0.3">
      <c r="A33" s="10" t="s">
        <v>33</v>
      </c>
      <c r="B33" s="1">
        <v>2</v>
      </c>
      <c r="C33" s="1">
        <v>0</v>
      </c>
      <c r="D33" s="1">
        <v>0</v>
      </c>
      <c r="E33" s="1">
        <v>0</v>
      </c>
      <c r="F33" s="1">
        <v>29</v>
      </c>
      <c r="G33" s="1">
        <v>20</v>
      </c>
      <c r="H33" s="6">
        <v>2.6666660000000002</v>
      </c>
      <c r="I33" s="1">
        <v>13</v>
      </c>
      <c r="J33" s="1">
        <v>0</v>
      </c>
      <c r="K33" s="1">
        <v>4</v>
      </c>
      <c r="L33" s="1">
        <v>4</v>
      </c>
      <c r="M33" s="1">
        <v>2</v>
      </c>
      <c r="N33" s="1">
        <v>16</v>
      </c>
      <c r="O33" s="1">
        <v>15</v>
      </c>
      <c r="P33" s="3">
        <f t="shared" si="12"/>
        <v>50.625012656253162</v>
      </c>
      <c r="Q33" s="38">
        <f t="shared" si="13"/>
        <v>3.0000007500001873</v>
      </c>
      <c r="R33" s="39">
        <f t="shared" si="14"/>
        <v>4.8750012187503042</v>
      </c>
      <c r="S33" s="39">
        <f t="shared" si="15"/>
        <v>1.3333330000000001</v>
      </c>
      <c r="T33" s="40">
        <f t="shared" si="16"/>
        <v>0.75000018750004682</v>
      </c>
      <c r="U33" s="33">
        <f t="shared" si="17"/>
        <v>0.9375</v>
      </c>
      <c r="V33" s="38">
        <f t="shared" si="18"/>
        <v>7.8750019687504915</v>
      </c>
    </row>
    <row r="34" spans="1:22" ht="17.25" x14ac:dyDescent="0.3">
      <c r="A34" s="10" t="s">
        <v>47</v>
      </c>
      <c r="B34" s="1"/>
      <c r="C34" s="1"/>
      <c r="D34" s="1"/>
      <c r="E34" s="1"/>
      <c r="F34" s="1"/>
      <c r="G34" s="1"/>
      <c r="H34" s="6"/>
      <c r="I34" s="1"/>
      <c r="J34" s="1"/>
      <c r="K34" s="1"/>
      <c r="L34" s="1"/>
      <c r="M34" s="1"/>
      <c r="N34" s="1"/>
      <c r="O34" s="1"/>
      <c r="P34" s="3"/>
      <c r="Q34" s="38"/>
      <c r="R34" s="39"/>
      <c r="S34" s="39"/>
      <c r="T34" s="40"/>
      <c r="U34" s="33"/>
      <c r="V34" s="38"/>
    </row>
    <row r="35" spans="1:22" ht="17.25" x14ac:dyDescent="0.3">
      <c r="A35" s="10" t="s">
        <v>22</v>
      </c>
      <c r="B35" s="1">
        <v>5</v>
      </c>
      <c r="C35" s="1">
        <v>1</v>
      </c>
      <c r="D35" s="1">
        <v>2</v>
      </c>
      <c r="E35" s="1">
        <v>0</v>
      </c>
      <c r="F35" s="1">
        <v>59</v>
      </c>
      <c r="G35" s="1">
        <v>36</v>
      </c>
      <c r="H35" s="6">
        <v>8.3333329999999997</v>
      </c>
      <c r="I35" s="1">
        <v>11</v>
      </c>
      <c r="J35" s="1">
        <v>0</v>
      </c>
      <c r="K35" s="1">
        <v>14</v>
      </c>
      <c r="L35" s="1">
        <v>5</v>
      </c>
      <c r="M35" s="1">
        <v>14</v>
      </c>
      <c r="N35" s="1">
        <v>23</v>
      </c>
      <c r="O35" s="1">
        <v>20</v>
      </c>
      <c r="P35" s="3">
        <f t="shared" si="12"/>
        <v>21.600000864000034</v>
      </c>
      <c r="Q35" s="38">
        <f t="shared" si="13"/>
        <v>2.2800000912000038</v>
      </c>
      <c r="R35" s="39">
        <f t="shared" si="14"/>
        <v>1.3200000528000022</v>
      </c>
      <c r="S35" s="39">
        <f t="shared" si="15"/>
        <v>1.6666665999999999</v>
      </c>
      <c r="T35" s="40">
        <f t="shared" si="16"/>
        <v>1.6800000672000028</v>
      </c>
      <c r="U35" s="33">
        <f t="shared" si="17"/>
        <v>0.86956521739130432</v>
      </c>
      <c r="V35" s="38">
        <f t="shared" si="18"/>
        <v>3.6000001440000058</v>
      </c>
    </row>
    <row r="36" spans="1:22" ht="17.25" x14ac:dyDescent="0.3">
      <c r="A36" s="11" t="s">
        <v>10</v>
      </c>
      <c r="B36" s="11"/>
      <c r="C36" s="11">
        <f t="shared" ref="C36:O36" si="19">SUM(C28:C35)</f>
        <v>4</v>
      </c>
      <c r="D36" s="11">
        <f t="shared" si="19"/>
        <v>3</v>
      </c>
      <c r="E36" s="11">
        <f t="shared" si="19"/>
        <v>0</v>
      </c>
      <c r="F36" s="11">
        <f t="shared" si="19"/>
        <v>187</v>
      </c>
      <c r="G36" s="11">
        <f t="shared" si="19"/>
        <v>132</v>
      </c>
      <c r="H36" s="15">
        <f t="shared" si="19"/>
        <v>28.999998999999999</v>
      </c>
      <c r="I36" s="11">
        <f t="shared" si="19"/>
        <v>38</v>
      </c>
      <c r="J36" s="11">
        <f t="shared" si="19"/>
        <v>0</v>
      </c>
      <c r="K36" s="11">
        <f t="shared" si="19"/>
        <v>36</v>
      </c>
      <c r="L36" s="11">
        <f t="shared" si="19"/>
        <v>14</v>
      </c>
      <c r="M36" s="11">
        <f t="shared" si="19"/>
        <v>43</v>
      </c>
      <c r="N36" s="11">
        <f t="shared" si="19"/>
        <v>63</v>
      </c>
      <c r="O36" s="11">
        <f t="shared" si="19"/>
        <v>53</v>
      </c>
      <c r="P36" s="16">
        <f t="shared" ref="P36" si="20">+O36*9/H36</f>
        <v>16.44827642925091</v>
      </c>
      <c r="Q36" s="34">
        <f t="shared" si="13"/>
        <v>1.7241379904875169</v>
      </c>
      <c r="R36" s="35">
        <f t="shared" si="14"/>
        <v>1.3103448727705129</v>
      </c>
      <c r="S36" s="35" t="e">
        <f t="shared" ref="S36" si="21">H36/B36</f>
        <v>#DIV/0!</v>
      </c>
      <c r="T36" s="36">
        <f t="shared" si="16"/>
        <v>1.4827586718192647</v>
      </c>
      <c r="U36" s="37">
        <f t="shared" si="17"/>
        <v>0.84126984126984128</v>
      </c>
      <c r="V36" s="34">
        <f t="shared" si="18"/>
        <v>3.0344828632580301</v>
      </c>
    </row>
  </sheetData>
  <sortState xmlns:xlrd2="http://schemas.microsoft.com/office/spreadsheetml/2017/richdata2" ref="A4:W23">
    <sortCondition ref="A4:A23"/>
  </sortState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0D8DB-5DCE-4869-94CF-D9D1F9071A33}">
  <dimension ref="A1:Y38"/>
  <sheetViews>
    <sheetView zoomScale="70" zoomScaleNormal="70" workbookViewId="0">
      <selection activeCell="C23" sqref="C23"/>
    </sheetView>
  </sheetViews>
  <sheetFormatPr defaultColWidth="9" defaultRowHeight="16.5" x14ac:dyDescent="0.3"/>
  <cols>
    <col min="1" max="18" width="8.125" customWidth="1"/>
    <col min="19" max="19" width="10.75" customWidth="1"/>
    <col min="20" max="20" width="10.125" bestFit="1" customWidth="1"/>
  </cols>
  <sheetData>
    <row r="1" spans="1:25" ht="26.25" x14ac:dyDescent="0.3">
      <c r="A1" s="24" t="s">
        <v>113</v>
      </c>
    </row>
    <row r="2" spans="1:25" ht="17.25" x14ac:dyDescent="0.3">
      <c r="A2" s="4" t="s">
        <v>1</v>
      </c>
    </row>
    <row r="3" spans="1:25" ht="34.5" x14ac:dyDescent="0.3">
      <c r="A3" s="10" t="s">
        <v>32</v>
      </c>
      <c r="B3" s="10" t="s">
        <v>13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79</v>
      </c>
      <c r="H3" s="10" t="s">
        <v>72</v>
      </c>
      <c r="I3" s="10" t="s">
        <v>0</v>
      </c>
      <c r="J3" s="10" t="s">
        <v>82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43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  <c r="W3" s="10" t="s">
        <v>88</v>
      </c>
    </row>
    <row r="4" spans="1:25" ht="17.25" x14ac:dyDescent="0.3">
      <c r="A4" s="10" t="s">
        <v>59</v>
      </c>
      <c r="B4" s="1">
        <v>3</v>
      </c>
      <c r="C4" s="122"/>
      <c r="D4" s="1">
        <v>0</v>
      </c>
      <c r="E4" s="1">
        <v>0</v>
      </c>
      <c r="F4" s="1">
        <v>0</v>
      </c>
      <c r="G4" s="1">
        <f t="shared" ref="G4:G5" si="0">+F4-(H4+I4+J4)</f>
        <v>0</v>
      </c>
      <c r="H4" s="1">
        <v>0</v>
      </c>
      <c r="I4" s="1">
        <v>0</v>
      </c>
      <c r="J4" s="1"/>
      <c r="K4" s="1">
        <v>3</v>
      </c>
      <c r="L4" s="1">
        <v>0</v>
      </c>
      <c r="M4" s="1">
        <v>3</v>
      </c>
      <c r="N4" s="1">
        <v>0</v>
      </c>
      <c r="O4" s="1">
        <v>0</v>
      </c>
      <c r="P4" s="79"/>
      <c r="Q4" s="46"/>
      <c r="R4" s="2"/>
      <c r="S4" s="58">
        <f t="shared" ref="S4:S23" si="1">+R4+Q4</f>
        <v>0</v>
      </c>
      <c r="T4" s="76"/>
      <c r="U4" s="61" t="e">
        <f t="shared" ref="U4:U23" si="2">RANK(R4,$R$4:$R$23)</f>
        <v>#N/A</v>
      </c>
      <c r="V4" s="69">
        <f t="shared" ref="V4:V23" si="3">RANK(S4,$S$4:$S$23)</f>
        <v>18</v>
      </c>
      <c r="W4" s="25"/>
      <c r="Y4" s="80"/>
    </row>
    <row r="5" spans="1:25" ht="17.25" x14ac:dyDescent="0.3">
      <c r="A5" s="10" t="s">
        <v>34</v>
      </c>
      <c r="B5" s="1"/>
      <c r="C5" s="122"/>
      <c r="D5" s="1"/>
      <c r="E5" s="1"/>
      <c r="F5" s="1"/>
      <c r="G5" s="1">
        <f t="shared" si="0"/>
        <v>0</v>
      </c>
      <c r="H5" s="1"/>
      <c r="I5" s="1"/>
      <c r="J5" s="1"/>
      <c r="K5" s="1"/>
      <c r="L5" s="1"/>
      <c r="M5" s="1"/>
      <c r="N5" s="1"/>
      <c r="O5" s="1"/>
      <c r="P5" s="79"/>
      <c r="Q5" s="46"/>
      <c r="R5" s="2"/>
      <c r="S5" s="58">
        <f t="shared" si="1"/>
        <v>0</v>
      </c>
      <c r="T5" s="76"/>
      <c r="U5" s="61" t="e">
        <f t="shared" si="2"/>
        <v>#N/A</v>
      </c>
      <c r="V5" s="69">
        <f t="shared" si="3"/>
        <v>18</v>
      </c>
      <c r="W5" s="25"/>
      <c r="Y5" s="80"/>
    </row>
    <row r="6" spans="1:25" ht="17.25" x14ac:dyDescent="0.3">
      <c r="A6" s="10" t="s">
        <v>44</v>
      </c>
      <c r="B6" s="1">
        <v>6</v>
      </c>
      <c r="C6" s="122">
        <f>+F6/E6</f>
        <v>0.6</v>
      </c>
      <c r="D6" s="1">
        <v>23</v>
      </c>
      <c r="E6" s="1">
        <v>20</v>
      </c>
      <c r="F6" s="1">
        <v>12</v>
      </c>
      <c r="G6" s="1">
        <f>+F6-(H6+I6+J6)</f>
        <v>8</v>
      </c>
      <c r="H6" s="1">
        <v>1</v>
      </c>
      <c r="I6" s="1">
        <v>2</v>
      </c>
      <c r="J6" s="1">
        <v>1</v>
      </c>
      <c r="K6" s="1">
        <v>9</v>
      </c>
      <c r="L6" s="1">
        <v>9</v>
      </c>
      <c r="M6" s="1">
        <v>4</v>
      </c>
      <c r="N6" s="1">
        <v>3</v>
      </c>
      <c r="O6" s="1">
        <v>4</v>
      </c>
      <c r="P6" s="79">
        <f>+O6/D6</f>
        <v>0.17391304347826086</v>
      </c>
      <c r="Q6" s="46">
        <f>+(G6*1+H6*2+I6*3+J6*4)/E6</f>
        <v>1</v>
      </c>
      <c r="R6" s="2">
        <f>+(F6+N6)/D6</f>
        <v>0.65217391304347827</v>
      </c>
      <c r="S6" s="58">
        <f t="shared" si="1"/>
        <v>1.6521739130434783</v>
      </c>
      <c r="T6" s="76">
        <f>O6/(D6-(F6+N6))</f>
        <v>0.5</v>
      </c>
      <c r="U6" s="61">
        <f t="shared" si="2"/>
        <v>4</v>
      </c>
      <c r="V6" s="69">
        <f t="shared" si="3"/>
        <v>1</v>
      </c>
      <c r="W6" s="25"/>
      <c r="Y6" s="80"/>
    </row>
    <row r="7" spans="1:25" ht="17.25" x14ac:dyDescent="0.3">
      <c r="A7" s="10" t="s">
        <v>9</v>
      </c>
      <c r="B7" s="1"/>
      <c r="C7" s="122"/>
      <c r="D7" s="1"/>
      <c r="E7" s="1"/>
      <c r="F7" s="1"/>
      <c r="G7" s="1">
        <f t="shared" ref="G7:G23" si="4">+F7-(H7+I7+J7)</f>
        <v>0</v>
      </c>
      <c r="H7" s="1"/>
      <c r="I7" s="1"/>
      <c r="J7" s="1"/>
      <c r="K7" s="1"/>
      <c r="L7" s="1"/>
      <c r="M7" s="1"/>
      <c r="N7" s="1"/>
      <c r="O7" s="1"/>
      <c r="P7" s="79"/>
      <c r="Q7" s="46"/>
      <c r="R7" s="2"/>
      <c r="S7" s="58">
        <f t="shared" si="1"/>
        <v>0</v>
      </c>
      <c r="T7" s="76"/>
      <c r="U7" s="61" t="e">
        <f t="shared" si="2"/>
        <v>#N/A</v>
      </c>
      <c r="V7" s="69">
        <f t="shared" si="3"/>
        <v>18</v>
      </c>
      <c r="W7" s="25"/>
      <c r="Y7" s="80"/>
    </row>
    <row r="8" spans="1:25" ht="17.25" x14ac:dyDescent="0.3">
      <c r="A8" s="10" t="s">
        <v>4</v>
      </c>
      <c r="B8" s="1">
        <v>4</v>
      </c>
      <c r="C8" s="122">
        <f t="shared" ref="C8:C23" si="5">+F8/E8</f>
        <v>0.16666666666666666</v>
      </c>
      <c r="D8" s="1">
        <v>8</v>
      </c>
      <c r="E8" s="1">
        <v>6</v>
      </c>
      <c r="F8" s="1">
        <v>1</v>
      </c>
      <c r="G8" s="1">
        <f t="shared" si="4"/>
        <v>1</v>
      </c>
      <c r="H8" s="1">
        <v>0</v>
      </c>
      <c r="I8" s="1">
        <v>0</v>
      </c>
      <c r="J8" s="1">
        <v>0</v>
      </c>
      <c r="K8" s="1">
        <v>1</v>
      </c>
      <c r="L8" s="1">
        <v>0</v>
      </c>
      <c r="M8" s="1">
        <v>2</v>
      </c>
      <c r="N8" s="1">
        <v>2</v>
      </c>
      <c r="O8" s="1">
        <v>3</v>
      </c>
      <c r="P8" s="79">
        <f t="shared" ref="P8:P23" si="6">+O8/D8</f>
        <v>0.375</v>
      </c>
      <c r="Q8" s="46">
        <f t="shared" ref="Q8:Q23" si="7">+(G8*1+H8*2+I8*3+J8*4)/E8</f>
        <v>0.16666666666666666</v>
      </c>
      <c r="R8" s="2">
        <f t="shared" ref="R8:R23" si="8">+(F8+N8)/D8</f>
        <v>0.375</v>
      </c>
      <c r="S8" s="58">
        <f t="shared" si="1"/>
        <v>0.54166666666666663</v>
      </c>
      <c r="T8" s="76">
        <f t="shared" ref="T8:T23" si="9">O8/(D8-(F8+N8))</f>
        <v>0.6</v>
      </c>
      <c r="U8" s="61">
        <f t="shared" si="2"/>
        <v>15</v>
      </c>
      <c r="V8" s="69">
        <f t="shared" si="3"/>
        <v>15</v>
      </c>
      <c r="W8" s="25"/>
      <c r="Y8" s="80"/>
    </row>
    <row r="9" spans="1:25" ht="17.25" x14ac:dyDescent="0.3">
      <c r="A9" s="10" t="s">
        <v>51</v>
      </c>
      <c r="B9" s="1">
        <v>2</v>
      </c>
      <c r="C9" s="122">
        <f t="shared" si="5"/>
        <v>0.5</v>
      </c>
      <c r="D9" s="1">
        <v>3</v>
      </c>
      <c r="E9" s="1">
        <v>4</v>
      </c>
      <c r="F9" s="1">
        <v>2</v>
      </c>
      <c r="G9" s="1">
        <f t="shared" si="4"/>
        <v>2</v>
      </c>
      <c r="H9" s="1">
        <v>0</v>
      </c>
      <c r="I9" s="1">
        <v>0</v>
      </c>
      <c r="J9" s="1">
        <v>0</v>
      </c>
      <c r="K9" s="1">
        <v>1</v>
      </c>
      <c r="L9" s="1">
        <v>1</v>
      </c>
      <c r="M9" s="1">
        <v>0</v>
      </c>
      <c r="N9" s="1">
        <v>0</v>
      </c>
      <c r="O9" s="1">
        <v>0</v>
      </c>
      <c r="P9" s="79">
        <f t="shared" si="6"/>
        <v>0</v>
      </c>
      <c r="Q9" s="46">
        <f t="shared" si="7"/>
        <v>0.5</v>
      </c>
      <c r="R9" s="2">
        <f t="shared" si="8"/>
        <v>0.66666666666666663</v>
      </c>
      <c r="S9" s="58">
        <f t="shared" si="1"/>
        <v>1.1666666666666665</v>
      </c>
      <c r="T9" s="76">
        <f t="shared" si="9"/>
        <v>0</v>
      </c>
      <c r="U9" s="61">
        <f t="shared" si="2"/>
        <v>1</v>
      </c>
      <c r="V9" s="69">
        <f t="shared" si="3"/>
        <v>5</v>
      </c>
      <c r="W9" s="25"/>
      <c r="Y9" s="80"/>
    </row>
    <row r="10" spans="1:25" ht="17.25" x14ac:dyDescent="0.3">
      <c r="A10" s="10" t="s">
        <v>25</v>
      </c>
      <c r="B10" s="1">
        <v>9</v>
      </c>
      <c r="C10" s="122">
        <f t="shared" si="5"/>
        <v>0.54838709677419351</v>
      </c>
      <c r="D10" s="1">
        <v>35</v>
      </c>
      <c r="E10" s="1">
        <v>31</v>
      </c>
      <c r="F10" s="1">
        <v>17</v>
      </c>
      <c r="G10" s="1">
        <f t="shared" si="4"/>
        <v>15</v>
      </c>
      <c r="H10" s="1">
        <v>0</v>
      </c>
      <c r="I10" s="1">
        <v>2</v>
      </c>
      <c r="J10" s="1">
        <v>0</v>
      </c>
      <c r="K10" s="1">
        <v>16</v>
      </c>
      <c r="L10" s="1">
        <v>11</v>
      </c>
      <c r="M10" s="1">
        <v>13</v>
      </c>
      <c r="N10" s="1">
        <v>3</v>
      </c>
      <c r="O10" s="1">
        <v>0</v>
      </c>
      <c r="P10" s="79">
        <f t="shared" si="6"/>
        <v>0</v>
      </c>
      <c r="Q10" s="46">
        <f t="shared" si="7"/>
        <v>0.67741935483870963</v>
      </c>
      <c r="R10" s="2">
        <f t="shared" si="8"/>
        <v>0.5714285714285714</v>
      </c>
      <c r="S10" s="58">
        <f t="shared" si="1"/>
        <v>1.2488479262672811</v>
      </c>
      <c r="T10" s="76">
        <f t="shared" si="9"/>
        <v>0</v>
      </c>
      <c r="U10" s="61">
        <f t="shared" si="2"/>
        <v>7</v>
      </c>
      <c r="V10" s="69">
        <f t="shared" si="3"/>
        <v>4</v>
      </c>
      <c r="W10" s="25"/>
      <c r="Y10" s="80"/>
    </row>
    <row r="11" spans="1:25" ht="17.25" x14ac:dyDescent="0.3">
      <c r="A11" s="10" t="s">
        <v>21</v>
      </c>
      <c r="B11" s="1">
        <v>6</v>
      </c>
      <c r="C11" s="122">
        <f t="shared" si="5"/>
        <v>0.25</v>
      </c>
      <c r="D11" s="1">
        <v>10</v>
      </c>
      <c r="E11" s="1">
        <v>8</v>
      </c>
      <c r="F11" s="1">
        <v>2</v>
      </c>
      <c r="G11" s="1">
        <f t="shared" si="4"/>
        <v>2</v>
      </c>
      <c r="H11" s="1">
        <v>0</v>
      </c>
      <c r="I11" s="1">
        <v>0</v>
      </c>
      <c r="J11" s="1">
        <v>0</v>
      </c>
      <c r="K11" s="1">
        <v>2</v>
      </c>
      <c r="L11" s="1">
        <v>4</v>
      </c>
      <c r="M11" s="1">
        <v>0</v>
      </c>
      <c r="N11" s="1">
        <v>2</v>
      </c>
      <c r="O11" s="1">
        <v>2</v>
      </c>
      <c r="P11" s="79">
        <f t="shared" si="6"/>
        <v>0.2</v>
      </c>
      <c r="Q11" s="46">
        <f t="shared" si="7"/>
        <v>0.25</v>
      </c>
      <c r="R11" s="2">
        <f t="shared" si="8"/>
        <v>0.4</v>
      </c>
      <c r="S11" s="58">
        <f t="shared" si="1"/>
        <v>0.65</v>
      </c>
      <c r="T11" s="76">
        <f t="shared" si="9"/>
        <v>0.33333333333333331</v>
      </c>
      <c r="U11" s="61">
        <f t="shared" si="2"/>
        <v>12</v>
      </c>
      <c r="V11" s="69">
        <f t="shared" si="3"/>
        <v>13</v>
      </c>
      <c r="W11" s="25"/>
      <c r="Y11" s="80"/>
    </row>
    <row r="12" spans="1:25" ht="17.25" x14ac:dyDescent="0.3">
      <c r="A12" s="10" t="s">
        <v>8</v>
      </c>
      <c r="B12" s="1">
        <v>3</v>
      </c>
      <c r="C12" s="122">
        <f t="shared" si="5"/>
        <v>0.33333333333333331</v>
      </c>
      <c r="D12" s="1">
        <v>7</v>
      </c>
      <c r="E12" s="1">
        <v>3</v>
      </c>
      <c r="F12" s="1">
        <v>1</v>
      </c>
      <c r="G12" s="1">
        <f t="shared" si="4"/>
        <v>1</v>
      </c>
      <c r="H12" s="1">
        <v>0</v>
      </c>
      <c r="I12" s="1">
        <v>0</v>
      </c>
      <c r="J12" s="1">
        <v>0</v>
      </c>
      <c r="K12" s="1">
        <v>2</v>
      </c>
      <c r="L12" s="1">
        <v>1</v>
      </c>
      <c r="M12" s="1">
        <v>0</v>
      </c>
      <c r="N12" s="1">
        <v>2</v>
      </c>
      <c r="O12" s="1">
        <v>0</v>
      </c>
      <c r="P12" s="79">
        <f t="shared" si="6"/>
        <v>0</v>
      </c>
      <c r="Q12" s="46">
        <f t="shared" si="7"/>
        <v>0.33333333333333331</v>
      </c>
      <c r="R12" s="2">
        <f t="shared" si="8"/>
        <v>0.42857142857142855</v>
      </c>
      <c r="S12" s="58">
        <f t="shared" si="1"/>
        <v>0.76190476190476186</v>
      </c>
      <c r="T12" s="76">
        <f t="shared" si="9"/>
        <v>0</v>
      </c>
      <c r="U12" s="61">
        <f t="shared" si="2"/>
        <v>10</v>
      </c>
      <c r="V12" s="69">
        <f t="shared" si="3"/>
        <v>11</v>
      </c>
      <c r="W12" s="25"/>
      <c r="Y12" s="80"/>
    </row>
    <row r="13" spans="1:25" ht="17.25" x14ac:dyDescent="0.3">
      <c r="A13" s="10" t="s">
        <v>15</v>
      </c>
      <c r="B13" s="1">
        <v>10</v>
      </c>
      <c r="C13" s="122">
        <f t="shared" si="5"/>
        <v>0.51851851851851849</v>
      </c>
      <c r="D13" s="1">
        <v>34</v>
      </c>
      <c r="E13" s="1">
        <v>27</v>
      </c>
      <c r="F13" s="1">
        <v>14</v>
      </c>
      <c r="G13" s="1">
        <f t="shared" si="4"/>
        <v>8</v>
      </c>
      <c r="H13" s="1">
        <v>5</v>
      </c>
      <c r="I13" s="1">
        <v>1</v>
      </c>
      <c r="J13" s="1">
        <v>0</v>
      </c>
      <c r="K13" s="1">
        <v>11</v>
      </c>
      <c r="L13" s="1">
        <v>13</v>
      </c>
      <c r="M13" s="1">
        <v>4</v>
      </c>
      <c r="N13" s="1">
        <v>7</v>
      </c>
      <c r="O13" s="1">
        <v>0</v>
      </c>
      <c r="P13" s="79">
        <f t="shared" si="6"/>
        <v>0</v>
      </c>
      <c r="Q13" s="46">
        <f t="shared" si="7"/>
        <v>0.77777777777777779</v>
      </c>
      <c r="R13" s="2">
        <f t="shared" si="8"/>
        <v>0.61764705882352944</v>
      </c>
      <c r="S13" s="58">
        <f t="shared" si="1"/>
        <v>1.3954248366013071</v>
      </c>
      <c r="T13" s="76">
        <f t="shared" si="9"/>
        <v>0</v>
      </c>
      <c r="U13" s="61">
        <f t="shared" si="2"/>
        <v>6</v>
      </c>
      <c r="V13" s="69">
        <f t="shared" si="3"/>
        <v>3</v>
      </c>
      <c r="W13" s="25"/>
      <c r="Y13" s="80"/>
    </row>
    <row r="14" spans="1:25" ht="17.25" x14ac:dyDescent="0.3">
      <c r="A14" s="10" t="s">
        <v>23</v>
      </c>
      <c r="B14" s="1">
        <v>9</v>
      </c>
      <c r="C14" s="122">
        <f t="shared" si="5"/>
        <v>0.33333333333333331</v>
      </c>
      <c r="D14" s="1">
        <v>17</v>
      </c>
      <c r="E14" s="1">
        <v>9</v>
      </c>
      <c r="F14" s="1">
        <v>3</v>
      </c>
      <c r="G14" s="1">
        <f t="shared" si="4"/>
        <v>3</v>
      </c>
      <c r="H14" s="1">
        <v>0</v>
      </c>
      <c r="I14" s="1">
        <v>0</v>
      </c>
      <c r="J14" s="1">
        <v>0</v>
      </c>
      <c r="K14" s="1">
        <v>3</v>
      </c>
      <c r="L14" s="1">
        <v>3</v>
      </c>
      <c r="M14" s="1">
        <v>3</v>
      </c>
      <c r="N14" s="1">
        <v>8</v>
      </c>
      <c r="O14" s="1">
        <v>4</v>
      </c>
      <c r="P14" s="79">
        <f t="shared" si="6"/>
        <v>0.23529411764705882</v>
      </c>
      <c r="Q14" s="46">
        <f t="shared" si="7"/>
        <v>0.33333333333333331</v>
      </c>
      <c r="R14" s="2">
        <f t="shared" si="8"/>
        <v>0.6470588235294118</v>
      </c>
      <c r="S14" s="58">
        <f t="shared" si="1"/>
        <v>0.98039215686274517</v>
      </c>
      <c r="T14" s="76">
        <f t="shared" si="9"/>
        <v>0.66666666666666663</v>
      </c>
      <c r="U14" s="61">
        <f t="shared" si="2"/>
        <v>5</v>
      </c>
      <c r="V14" s="69">
        <f t="shared" si="3"/>
        <v>7</v>
      </c>
      <c r="W14" s="25"/>
      <c r="Y14" s="80"/>
    </row>
    <row r="15" spans="1:25" ht="17.25" x14ac:dyDescent="0.3">
      <c r="A15" s="10" t="s">
        <v>50</v>
      </c>
      <c r="B15" s="1">
        <v>6</v>
      </c>
      <c r="C15" s="122">
        <f t="shared" si="5"/>
        <v>9.0909090909090912E-2</v>
      </c>
      <c r="D15" s="1">
        <v>11</v>
      </c>
      <c r="E15" s="1">
        <v>11</v>
      </c>
      <c r="F15" s="1">
        <v>1</v>
      </c>
      <c r="G15" s="1">
        <f t="shared" si="4"/>
        <v>1</v>
      </c>
      <c r="H15" s="1">
        <v>0</v>
      </c>
      <c r="I15" s="1">
        <v>0</v>
      </c>
      <c r="J15" s="1">
        <v>0</v>
      </c>
      <c r="K15" s="1">
        <v>1</v>
      </c>
      <c r="L15" s="1">
        <v>1</v>
      </c>
      <c r="M15" s="1">
        <v>1</v>
      </c>
      <c r="N15" s="1">
        <v>0</v>
      </c>
      <c r="O15" s="1">
        <v>4</v>
      </c>
      <c r="P15" s="79">
        <f t="shared" si="6"/>
        <v>0.36363636363636365</v>
      </c>
      <c r="Q15" s="46">
        <f t="shared" si="7"/>
        <v>9.0909090909090912E-2</v>
      </c>
      <c r="R15" s="2">
        <f t="shared" si="8"/>
        <v>9.0909090909090912E-2</v>
      </c>
      <c r="S15" s="58">
        <f t="shared" si="1"/>
        <v>0.18181818181818182</v>
      </c>
      <c r="T15" s="76">
        <f t="shared" si="9"/>
        <v>0.4</v>
      </c>
      <c r="U15" s="61">
        <f t="shared" si="2"/>
        <v>17</v>
      </c>
      <c r="V15" s="69">
        <f t="shared" si="3"/>
        <v>17</v>
      </c>
      <c r="W15" s="25"/>
      <c r="Y15" s="80"/>
    </row>
    <row r="16" spans="1:25" ht="17.25" x14ac:dyDescent="0.3">
      <c r="A16" s="10" t="s">
        <v>33</v>
      </c>
      <c r="B16" s="1">
        <v>9</v>
      </c>
      <c r="C16" s="122">
        <f t="shared" si="5"/>
        <v>0.31818181818181818</v>
      </c>
      <c r="D16" s="1">
        <v>31</v>
      </c>
      <c r="E16" s="1">
        <v>22</v>
      </c>
      <c r="F16" s="1">
        <v>7</v>
      </c>
      <c r="G16" s="1">
        <f t="shared" si="4"/>
        <v>5</v>
      </c>
      <c r="H16" s="1">
        <v>1</v>
      </c>
      <c r="I16" s="1">
        <v>1</v>
      </c>
      <c r="J16" s="1">
        <v>0</v>
      </c>
      <c r="K16" s="1">
        <v>9</v>
      </c>
      <c r="L16" s="1">
        <v>4</v>
      </c>
      <c r="M16" s="1">
        <v>10</v>
      </c>
      <c r="N16" s="1">
        <v>8</v>
      </c>
      <c r="O16" s="1">
        <v>4</v>
      </c>
      <c r="P16" s="79">
        <f t="shared" si="6"/>
        <v>0.12903225806451613</v>
      </c>
      <c r="Q16" s="46">
        <f t="shared" si="7"/>
        <v>0.45454545454545453</v>
      </c>
      <c r="R16" s="2">
        <f t="shared" si="8"/>
        <v>0.4838709677419355</v>
      </c>
      <c r="S16" s="58">
        <f t="shared" si="1"/>
        <v>0.93841642228739008</v>
      </c>
      <c r="T16" s="76">
        <f t="shared" si="9"/>
        <v>0.25</v>
      </c>
      <c r="U16" s="61">
        <f t="shared" si="2"/>
        <v>9</v>
      </c>
      <c r="V16" s="69">
        <f t="shared" si="3"/>
        <v>8</v>
      </c>
      <c r="W16" s="25"/>
      <c r="Y16" s="80"/>
    </row>
    <row r="17" spans="1:25" ht="17.25" x14ac:dyDescent="0.3">
      <c r="A17" s="10" t="s">
        <v>60</v>
      </c>
      <c r="B17" s="1">
        <v>7</v>
      </c>
      <c r="C17" s="122">
        <f t="shared" si="5"/>
        <v>0.33333333333333331</v>
      </c>
      <c r="D17" s="1">
        <v>15</v>
      </c>
      <c r="E17" s="1">
        <v>12</v>
      </c>
      <c r="F17" s="1">
        <v>4</v>
      </c>
      <c r="G17" s="1">
        <f t="shared" si="4"/>
        <v>3</v>
      </c>
      <c r="H17" s="1">
        <v>1</v>
      </c>
      <c r="I17" s="1">
        <v>0</v>
      </c>
      <c r="J17" s="1">
        <v>0</v>
      </c>
      <c r="K17" s="1">
        <v>3</v>
      </c>
      <c r="L17" s="1">
        <v>2</v>
      </c>
      <c r="M17" s="1">
        <v>1</v>
      </c>
      <c r="N17" s="1">
        <v>2</v>
      </c>
      <c r="O17" s="1">
        <v>2</v>
      </c>
      <c r="P17" s="79">
        <f t="shared" si="6"/>
        <v>0.13333333333333333</v>
      </c>
      <c r="Q17" s="46">
        <f t="shared" si="7"/>
        <v>0.41666666666666669</v>
      </c>
      <c r="R17" s="2">
        <f t="shared" si="8"/>
        <v>0.4</v>
      </c>
      <c r="S17" s="58">
        <f t="shared" si="1"/>
        <v>0.81666666666666665</v>
      </c>
      <c r="T17" s="76">
        <f t="shared" si="9"/>
        <v>0.22222222222222221</v>
      </c>
      <c r="U17" s="61">
        <f t="shared" si="2"/>
        <v>12</v>
      </c>
      <c r="V17" s="69">
        <f t="shared" si="3"/>
        <v>10</v>
      </c>
      <c r="W17" s="25"/>
      <c r="Y17" s="80"/>
    </row>
    <row r="18" spans="1:25" ht="17.25" x14ac:dyDescent="0.3">
      <c r="A18" s="10" t="s">
        <v>12</v>
      </c>
      <c r="B18" s="1">
        <v>8</v>
      </c>
      <c r="C18" s="122">
        <f t="shared" si="5"/>
        <v>0.3</v>
      </c>
      <c r="D18" s="1">
        <v>25</v>
      </c>
      <c r="E18" s="1">
        <v>20</v>
      </c>
      <c r="F18" s="1">
        <v>6</v>
      </c>
      <c r="G18" s="1">
        <f t="shared" si="4"/>
        <v>6</v>
      </c>
      <c r="H18" s="1">
        <v>0</v>
      </c>
      <c r="I18" s="1">
        <v>0</v>
      </c>
      <c r="J18" s="1">
        <v>0</v>
      </c>
      <c r="K18" s="1">
        <v>5</v>
      </c>
      <c r="L18" s="1">
        <v>6</v>
      </c>
      <c r="M18" s="1">
        <v>0</v>
      </c>
      <c r="N18" s="1">
        <v>4</v>
      </c>
      <c r="O18" s="1">
        <v>5</v>
      </c>
      <c r="P18" s="79">
        <f t="shared" si="6"/>
        <v>0.2</v>
      </c>
      <c r="Q18" s="46">
        <f t="shared" si="7"/>
        <v>0.3</v>
      </c>
      <c r="R18" s="2">
        <f t="shared" si="8"/>
        <v>0.4</v>
      </c>
      <c r="S18" s="58">
        <f t="shared" si="1"/>
        <v>0.7</v>
      </c>
      <c r="T18" s="76">
        <f t="shared" si="9"/>
        <v>0.33333333333333331</v>
      </c>
      <c r="U18" s="61">
        <f t="shared" si="2"/>
        <v>12</v>
      </c>
      <c r="V18" s="69">
        <f t="shared" si="3"/>
        <v>12</v>
      </c>
      <c r="W18" s="25"/>
      <c r="Y18" s="80"/>
    </row>
    <row r="19" spans="1:25" ht="17.25" x14ac:dyDescent="0.3">
      <c r="A19" s="10" t="s">
        <v>24</v>
      </c>
      <c r="B19" s="1">
        <v>2</v>
      </c>
      <c r="C19" s="122">
        <f t="shared" si="5"/>
        <v>0</v>
      </c>
      <c r="D19" s="1">
        <v>4</v>
      </c>
      <c r="E19" s="1">
        <v>2</v>
      </c>
      <c r="F19" s="1">
        <v>0</v>
      </c>
      <c r="G19" s="1">
        <f t="shared" si="4"/>
        <v>0</v>
      </c>
      <c r="H19" s="1">
        <v>0</v>
      </c>
      <c r="I19" s="1">
        <v>0</v>
      </c>
      <c r="J19" s="1">
        <v>0</v>
      </c>
      <c r="K19" s="1">
        <v>1</v>
      </c>
      <c r="L19" s="1">
        <v>0</v>
      </c>
      <c r="M19" s="1">
        <v>0</v>
      </c>
      <c r="N19" s="1">
        <v>2</v>
      </c>
      <c r="O19" s="1">
        <v>0</v>
      </c>
      <c r="P19" s="79">
        <f t="shared" si="6"/>
        <v>0</v>
      </c>
      <c r="Q19" s="46">
        <f t="shared" si="7"/>
        <v>0</v>
      </c>
      <c r="R19" s="2">
        <f t="shared" si="8"/>
        <v>0.5</v>
      </c>
      <c r="S19" s="58">
        <f t="shared" si="1"/>
        <v>0.5</v>
      </c>
      <c r="T19" s="76">
        <f t="shared" si="9"/>
        <v>0</v>
      </c>
      <c r="U19" s="61">
        <f t="shared" si="2"/>
        <v>8</v>
      </c>
      <c r="V19" s="69">
        <f t="shared" si="3"/>
        <v>16</v>
      </c>
      <c r="W19" s="25"/>
      <c r="Y19" s="80"/>
    </row>
    <row r="20" spans="1:25" ht="17.25" x14ac:dyDescent="0.3">
      <c r="A20" s="10" t="s">
        <v>14</v>
      </c>
      <c r="B20" s="1">
        <v>10</v>
      </c>
      <c r="C20" s="122">
        <f t="shared" si="5"/>
        <v>0.58333333333333337</v>
      </c>
      <c r="D20" s="1">
        <v>29</v>
      </c>
      <c r="E20" s="1">
        <v>24</v>
      </c>
      <c r="F20" s="1">
        <v>14</v>
      </c>
      <c r="G20" s="1">
        <f t="shared" si="4"/>
        <v>9</v>
      </c>
      <c r="H20" s="1">
        <v>4</v>
      </c>
      <c r="I20" s="1">
        <v>0</v>
      </c>
      <c r="J20" s="1">
        <v>1</v>
      </c>
      <c r="K20" s="1">
        <v>12</v>
      </c>
      <c r="L20" s="1">
        <v>13</v>
      </c>
      <c r="M20" s="1">
        <v>6</v>
      </c>
      <c r="N20" s="1">
        <v>5</v>
      </c>
      <c r="O20" s="1">
        <v>0</v>
      </c>
      <c r="P20" s="79">
        <f t="shared" si="6"/>
        <v>0</v>
      </c>
      <c r="Q20" s="46">
        <f t="shared" si="7"/>
        <v>0.875</v>
      </c>
      <c r="R20" s="2">
        <f t="shared" si="8"/>
        <v>0.65517241379310343</v>
      </c>
      <c r="S20" s="58">
        <f t="shared" si="1"/>
        <v>1.5301724137931034</v>
      </c>
      <c r="T20" s="76">
        <f t="shared" si="9"/>
        <v>0</v>
      </c>
      <c r="U20" s="61">
        <f t="shared" si="2"/>
        <v>3</v>
      </c>
      <c r="V20" s="69">
        <f t="shared" si="3"/>
        <v>2</v>
      </c>
      <c r="W20" s="25"/>
      <c r="Y20" s="80"/>
    </row>
    <row r="21" spans="1:25" ht="17.25" x14ac:dyDescent="0.3">
      <c r="A21" s="10" t="s">
        <v>47</v>
      </c>
      <c r="B21" s="1">
        <v>7</v>
      </c>
      <c r="C21" s="122">
        <f t="shared" si="5"/>
        <v>0.18181818181818182</v>
      </c>
      <c r="D21" s="1">
        <v>13</v>
      </c>
      <c r="E21" s="1">
        <v>11</v>
      </c>
      <c r="F21" s="1">
        <v>2</v>
      </c>
      <c r="G21" s="1">
        <f t="shared" si="4"/>
        <v>1</v>
      </c>
      <c r="H21" s="1">
        <v>1</v>
      </c>
      <c r="I21" s="1">
        <v>0</v>
      </c>
      <c r="J21" s="1">
        <v>0</v>
      </c>
      <c r="K21" s="1">
        <v>3</v>
      </c>
      <c r="L21" s="1">
        <v>2</v>
      </c>
      <c r="M21" s="1">
        <v>0</v>
      </c>
      <c r="N21" s="1">
        <v>2</v>
      </c>
      <c r="O21" s="1">
        <v>5</v>
      </c>
      <c r="P21" s="79">
        <f t="shared" si="6"/>
        <v>0.38461538461538464</v>
      </c>
      <c r="Q21" s="46">
        <f t="shared" si="7"/>
        <v>0.27272727272727271</v>
      </c>
      <c r="R21" s="2">
        <f t="shared" si="8"/>
        <v>0.30769230769230771</v>
      </c>
      <c r="S21" s="58">
        <f t="shared" si="1"/>
        <v>0.58041958041958042</v>
      </c>
      <c r="T21" s="76">
        <f t="shared" si="9"/>
        <v>0.55555555555555558</v>
      </c>
      <c r="U21" s="61">
        <f t="shared" si="2"/>
        <v>16</v>
      </c>
      <c r="V21" s="69">
        <f t="shared" si="3"/>
        <v>14</v>
      </c>
      <c r="W21" s="25"/>
      <c r="Y21" s="80"/>
    </row>
    <row r="22" spans="1:25" ht="17.25" x14ac:dyDescent="0.3">
      <c r="A22" s="10" t="s">
        <v>22</v>
      </c>
      <c r="B22" s="1">
        <v>6</v>
      </c>
      <c r="C22" s="122">
        <f t="shared" si="5"/>
        <v>0.2857142857142857</v>
      </c>
      <c r="D22" s="1">
        <v>17</v>
      </c>
      <c r="E22" s="1">
        <v>14</v>
      </c>
      <c r="F22" s="1">
        <v>4</v>
      </c>
      <c r="G22" s="1">
        <f t="shared" si="4"/>
        <v>2</v>
      </c>
      <c r="H22" s="1">
        <v>2</v>
      </c>
      <c r="I22" s="1">
        <v>0</v>
      </c>
      <c r="J22" s="1">
        <v>0</v>
      </c>
      <c r="K22" s="1">
        <v>4</v>
      </c>
      <c r="L22" s="1">
        <v>1</v>
      </c>
      <c r="M22" s="1">
        <v>4</v>
      </c>
      <c r="N22" s="1">
        <v>3</v>
      </c>
      <c r="O22" s="1">
        <v>1</v>
      </c>
      <c r="P22" s="79">
        <f t="shared" si="6"/>
        <v>5.8823529411764705E-2</v>
      </c>
      <c r="Q22" s="46">
        <f t="shared" si="7"/>
        <v>0.42857142857142855</v>
      </c>
      <c r="R22" s="2">
        <f t="shared" si="8"/>
        <v>0.41176470588235292</v>
      </c>
      <c r="S22" s="58">
        <f t="shared" si="1"/>
        <v>0.84033613445378141</v>
      </c>
      <c r="T22" s="76">
        <f t="shared" si="9"/>
        <v>0.1</v>
      </c>
      <c r="U22" s="61">
        <f t="shared" si="2"/>
        <v>11</v>
      </c>
      <c r="V22" s="69">
        <f t="shared" si="3"/>
        <v>9</v>
      </c>
      <c r="W22" s="25"/>
      <c r="Y22" s="80"/>
    </row>
    <row r="23" spans="1:25" ht="17.25" x14ac:dyDescent="0.3">
      <c r="A23" s="10" t="s">
        <v>54</v>
      </c>
      <c r="B23" s="1">
        <v>4</v>
      </c>
      <c r="C23" s="122">
        <f t="shared" si="5"/>
        <v>0.5</v>
      </c>
      <c r="D23" s="1">
        <v>12</v>
      </c>
      <c r="E23" s="1">
        <v>8</v>
      </c>
      <c r="F23" s="1">
        <v>4</v>
      </c>
      <c r="G23" s="1">
        <f t="shared" si="4"/>
        <v>4</v>
      </c>
      <c r="H23" s="1">
        <v>0</v>
      </c>
      <c r="I23" s="1">
        <v>0</v>
      </c>
      <c r="J23" s="1">
        <v>0</v>
      </c>
      <c r="K23" s="1">
        <v>6</v>
      </c>
      <c r="L23" s="1">
        <v>2</v>
      </c>
      <c r="M23" s="1">
        <v>1</v>
      </c>
      <c r="N23" s="1">
        <v>4</v>
      </c>
      <c r="O23" s="1">
        <v>1</v>
      </c>
      <c r="P23" s="79">
        <f t="shared" si="6"/>
        <v>8.3333333333333329E-2</v>
      </c>
      <c r="Q23" s="46">
        <f t="shared" si="7"/>
        <v>0.5</v>
      </c>
      <c r="R23" s="2">
        <f t="shared" si="8"/>
        <v>0.66666666666666663</v>
      </c>
      <c r="S23" s="58">
        <f t="shared" si="1"/>
        <v>1.1666666666666665</v>
      </c>
      <c r="T23" s="76">
        <f t="shared" si="9"/>
        <v>0.25</v>
      </c>
      <c r="U23" s="61">
        <f t="shared" si="2"/>
        <v>1</v>
      </c>
      <c r="V23" s="69">
        <f t="shared" si="3"/>
        <v>5</v>
      </c>
      <c r="W23" s="25"/>
      <c r="Y23" s="80"/>
    </row>
    <row r="24" spans="1:25" ht="17.25" x14ac:dyDescent="0.3">
      <c r="A24" s="11" t="s">
        <v>10</v>
      </c>
      <c r="B24" s="11"/>
      <c r="C24" s="17">
        <f t="shared" ref="C24" si="10">+F24/E24</f>
        <v>0.40517241379310343</v>
      </c>
      <c r="D24" s="11">
        <f t="shared" ref="D24:O24" si="11">SUM(D4:D23)</f>
        <v>294</v>
      </c>
      <c r="E24" s="11">
        <f t="shared" si="11"/>
        <v>232</v>
      </c>
      <c r="F24" s="11">
        <f t="shared" si="11"/>
        <v>94</v>
      </c>
      <c r="G24" s="11">
        <f t="shared" si="11"/>
        <v>71</v>
      </c>
      <c r="H24" s="11">
        <f t="shared" si="11"/>
        <v>15</v>
      </c>
      <c r="I24" s="11">
        <f t="shared" si="11"/>
        <v>6</v>
      </c>
      <c r="J24" s="11">
        <f t="shared" si="11"/>
        <v>2</v>
      </c>
      <c r="K24" s="11">
        <f t="shared" si="11"/>
        <v>92</v>
      </c>
      <c r="L24" s="11">
        <f t="shared" si="11"/>
        <v>73</v>
      </c>
      <c r="M24" s="11">
        <f t="shared" si="11"/>
        <v>52</v>
      </c>
      <c r="N24" s="11">
        <f t="shared" si="11"/>
        <v>57</v>
      </c>
      <c r="O24" s="11">
        <f t="shared" si="11"/>
        <v>35</v>
      </c>
      <c r="P24" s="29">
        <f t="shared" ref="P24" si="12">+O24/D24</f>
        <v>0.11904761904761904</v>
      </c>
      <c r="Q24" s="17"/>
      <c r="R24" s="17"/>
      <c r="S24" s="57"/>
      <c r="T24" s="68"/>
      <c r="U24" s="68"/>
      <c r="V24" s="68"/>
      <c r="W24" s="81">
        <f>SUM(W4:W23)</f>
        <v>0</v>
      </c>
    </row>
    <row r="25" spans="1:25" ht="17.25" x14ac:dyDescent="0.3">
      <c r="A25" s="22"/>
      <c r="B25" s="22"/>
      <c r="C25" s="23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3"/>
      <c r="R25" s="23"/>
    </row>
    <row r="26" spans="1:25" ht="17.25" x14ac:dyDescent="0.3">
      <c r="A26" s="4" t="s">
        <v>3</v>
      </c>
    </row>
    <row r="27" spans="1:25" ht="34.5" x14ac:dyDescent="0.3">
      <c r="A27" s="10" t="s">
        <v>27</v>
      </c>
      <c r="B27" s="10" t="s">
        <v>46</v>
      </c>
      <c r="C27" s="10" t="s">
        <v>55</v>
      </c>
      <c r="D27" s="10" t="s">
        <v>41</v>
      </c>
      <c r="E27" s="10" t="s">
        <v>48</v>
      </c>
      <c r="F27" s="10" t="s">
        <v>45</v>
      </c>
      <c r="G27" s="10" t="s">
        <v>38</v>
      </c>
      <c r="H27" s="10" t="s">
        <v>5</v>
      </c>
      <c r="I27" s="10" t="s">
        <v>17</v>
      </c>
      <c r="J27" s="10" t="s">
        <v>26</v>
      </c>
      <c r="K27" s="10" t="s">
        <v>30</v>
      </c>
      <c r="L27" s="10" t="s">
        <v>89</v>
      </c>
      <c r="M27" s="10" t="s">
        <v>6</v>
      </c>
      <c r="N27" s="10" t="s">
        <v>42</v>
      </c>
      <c r="O27" s="10" t="s">
        <v>35</v>
      </c>
      <c r="P27" s="10" t="s">
        <v>49</v>
      </c>
      <c r="Q27" s="10" t="s">
        <v>56</v>
      </c>
      <c r="R27" s="10" t="s">
        <v>66</v>
      </c>
      <c r="S27" s="10" t="s">
        <v>90</v>
      </c>
      <c r="T27" s="10" t="s">
        <v>70</v>
      </c>
      <c r="U27" s="10" t="s">
        <v>69</v>
      </c>
      <c r="V27" s="10" t="s">
        <v>68</v>
      </c>
    </row>
    <row r="28" spans="1:25" ht="17.25" x14ac:dyDescent="0.3">
      <c r="A28" s="10" t="s">
        <v>59</v>
      </c>
      <c r="B28" s="1"/>
      <c r="C28" s="1"/>
      <c r="D28" s="1"/>
      <c r="E28" s="1"/>
      <c r="F28" s="1"/>
      <c r="G28" s="1"/>
      <c r="H28" s="6"/>
      <c r="I28" s="1"/>
      <c r="J28" s="1"/>
      <c r="K28" s="1"/>
      <c r="L28" s="1"/>
      <c r="M28" s="1"/>
      <c r="N28" s="1"/>
      <c r="O28" s="1"/>
      <c r="P28" s="3"/>
      <c r="Q28" s="38"/>
      <c r="R28" s="39"/>
      <c r="S28" s="39"/>
      <c r="T28" s="40"/>
      <c r="U28" s="33"/>
      <c r="V28" s="38"/>
    </row>
    <row r="29" spans="1:25" ht="17.25" x14ac:dyDescent="0.3">
      <c r="A29" s="10" t="s">
        <v>74</v>
      </c>
      <c r="B29" s="1"/>
      <c r="C29" s="1"/>
      <c r="D29" s="1"/>
      <c r="E29" s="1"/>
      <c r="F29" s="1"/>
      <c r="G29" s="1"/>
      <c r="H29" s="6"/>
      <c r="I29" s="1"/>
      <c r="J29" s="1"/>
      <c r="K29" s="1"/>
      <c r="L29" s="1"/>
      <c r="M29" s="1"/>
      <c r="N29" s="1"/>
      <c r="O29" s="1"/>
      <c r="P29" s="3"/>
      <c r="Q29" s="38"/>
      <c r="R29" s="39"/>
      <c r="S29" s="39"/>
      <c r="T29" s="40"/>
      <c r="U29" s="33"/>
      <c r="V29" s="38"/>
    </row>
    <row r="30" spans="1:25" ht="17.25" x14ac:dyDescent="0.3">
      <c r="A30" s="10" t="s">
        <v>51</v>
      </c>
      <c r="B30" s="1"/>
      <c r="C30" s="1"/>
      <c r="D30" s="1"/>
      <c r="E30" s="1"/>
      <c r="F30" s="1"/>
      <c r="G30" s="1"/>
      <c r="H30" s="6"/>
      <c r="I30" s="1"/>
      <c r="J30" s="1"/>
      <c r="K30" s="1"/>
      <c r="L30" s="1"/>
      <c r="M30" s="1"/>
      <c r="N30" s="1"/>
      <c r="O30" s="1"/>
      <c r="P30" s="120"/>
      <c r="Q30" s="38"/>
      <c r="R30" s="39"/>
      <c r="S30" s="39"/>
      <c r="T30" s="40"/>
      <c r="U30" s="33"/>
      <c r="V30" s="38"/>
    </row>
    <row r="31" spans="1:25" ht="17.25" x14ac:dyDescent="0.3">
      <c r="A31" s="10" t="s">
        <v>15</v>
      </c>
      <c r="B31" s="1">
        <v>7</v>
      </c>
      <c r="C31" s="1">
        <v>5</v>
      </c>
      <c r="D31" s="1">
        <v>2</v>
      </c>
      <c r="E31" s="1">
        <v>0</v>
      </c>
      <c r="F31" s="1">
        <v>171</v>
      </c>
      <c r="G31" s="1">
        <v>152</v>
      </c>
      <c r="H31" s="6">
        <v>34</v>
      </c>
      <c r="I31" s="1">
        <v>36</v>
      </c>
      <c r="J31" s="1">
        <v>0</v>
      </c>
      <c r="K31" s="1">
        <v>21</v>
      </c>
      <c r="L31" s="1">
        <v>5</v>
      </c>
      <c r="M31" s="1">
        <v>45</v>
      </c>
      <c r="N31" s="1">
        <v>36</v>
      </c>
      <c r="O31" s="1">
        <v>16</v>
      </c>
      <c r="P31" s="120">
        <f>+O31*9/H31</f>
        <v>4.2352941176470589</v>
      </c>
      <c r="Q31" s="38">
        <f>(K31+L31)/H31</f>
        <v>0.76470588235294112</v>
      </c>
      <c r="R31" s="39">
        <f>I31/H31</f>
        <v>1.0588235294117647</v>
      </c>
      <c r="S31" s="39">
        <f>H31/B31</f>
        <v>4.8571428571428568</v>
      </c>
      <c r="T31" s="40">
        <f>M31/H31</f>
        <v>1.3235294117647058</v>
      </c>
      <c r="U31" s="33">
        <f>O31/N31</f>
        <v>0.44444444444444442</v>
      </c>
      <c r="V31" s="38">
        <f>(I31+K31)/H31</f>
        <v>1.6764705882352942</v>
      </c>
      <c r="Y31">
        <v>3.29</v>
      </c>
    </row>
    <row r="32" spans="1:25" ht="17.25" x14ac:dyDescent="0.3">
      <c r="A32" s="10" t="s">
        <v>127</v>
      </c>
      <c r="B32" s="1"/>
      <c r="C32" s="1"/>
      <c r="D32" s="1"/>
      <c r="E32" s="1"/>
      <c r="F32" s="1"/>
      <c r="G32" s="1"/>
      <c r="H32" s="6"/>
      <c r="I32" s="1"/>
      <c r="J32" s="1"/>
      <c r="K32" s="1"/>
      <c r="L32" s="1"/>
      <c r="M32" s="1"/>
      <c r="N32" s="1"/>
      <c r="O32" s="1"/>
      <c r="P32" s="120"/>
      <c r="Q32" s="38"/>
      <c r="R32" s="39"/>
      <c r="S32" s="39"/>
      <c r="T32" s="40"/>
      <c r="U32" s="33"/>
      <c r="V32" s="38"/>
    </row>
    <row r="33" spans="1:22" ht="17.25" x14ac:dyDescent="0.3">
      <c r="A33" s="10" t="s">
        <v>50</v>
      </c>
      <c r="B33" s="1"/>
      <c r="C33" s="1"/>
      <c r="D33" s="1"/>
      <c r="E33" s="1"/>
      <c r="F33" s="1"/>
      <c r="G33" s="1"/>
      <c r="H33" s="6"/>
      <c r="I33" s="1"/>
      <c r="J33" s="1"/>
      <c r="K33" s="1"/>
      <c r="L33" s="1"/>
      <c r="M33" s="1"/>
      <c r="N33" s="1"/>
      <c r="O33" s="1"/>
      <c r="P33" s="120"/>
      <c r="Q33" s="38"/>
      <c r="R33" s="39"/>
      <c r="S33" s="39"/>
      <c r="T33" s="40"/>
      <c r="U33" s="33"/>
      <c r="V33" s="38"/>
    </row>
    <row r="34" spans="1:22" ht="17.25" x14ac:dyDescent="0.3">
      <c r="A34" s="10" t="s">
        <v>33</v>
      </c>
      <c r="B34" s="1">
        <v>3</v>
      </c>
      <c r="C34" s="1">
        <v>1</v>
      </c>
      <c r="D34" s="1">
        <v>0</v>
      </c>
      <c r="E34" s="1">
        <v>0</v>
      </c>
      <c r="F34" s="1">
        <v>34</v>
      </c>
      <c r="G34" s="1">
        <v>25</v>
      </c>
      <c r="H34" s="6">
        <v>6</v>
      </c>
      <c r="I34" s="1">
        <v>10</v>
      </c>
      <c r="J34" s="1">
        <v>0</v>
      </c>
      <c r="K34" s="1">
        <v>8</v>
      </c>
      <c r="L34" s="1">
        <v>0</v>
      </c>
      <c r="M34" s="1">
        <v>4</v>
      </c>
      <c r="N34" s="1">
        <v>9</v>
      </c>
      <c r="O34" s="1">
        <v>7</v>
      </c>
      <c r="P34" s="120">
        <f>+O34*9/H34</f>
        <v>10.5</v>
      </c>
      <c r="Q34" s="38">
        <f>(K34+L34)/H34</f>
        <v>1.3333333333333333</v>
      </c>
      <c r="R34" s="39">
        <f>I34/H34</f>
        <v>1.6666666666666667</v>
      </c>
      <c r="S34" s="39">
        <f>H34/B34</f>
        <v>2</v>
      </c>
      <c r="T34" s="40">
        <f>M34/H34</f>
        <v>0.66666666666666663</v>
      </c>
      <c r="U34" s="33">
        <f>O34/N34</f>
        <v>0.77777777777777779</v>
      </c>
      <c r="V34" s="38">
        <f>(I34+K34)/H34</f>
        <v>3</v>
      </c>
    </row>
    <row r="35" spans="1:22" ht="17.25" x14ac:dyDescent="0.3">
      <c r="A35" s="10" t="s">
        <v>126</v>
      </c>
      <c r="B35" s="1"/>
      <c r="C35" s="1"/>
      <c r="D35" s="1"/>
      <c r="E35" s="1"/>
      <c r="F35" s="1"/>
      <c r="G35" s="1"/>
      <c r="H35" s="6"/>
      <c r="I35" s="1"/>
      <c r="J35" s="1"/>
      <c r="K35" s="1"/>
      <c r="L35" s="1"/>
      <c r="M35" s="1"/>
      <c r="N35" s="1"/>
      <c r="O35" s="1"/>
      <c r="P35" s="120"/>
      <c r="Q35" s="38"/>
      <c r="R35" s="39"/>
      <c r="S35" s="39"/>
      <c r="T35" s="40"/>
      <c r="U35" s="33"/>
      <c r="V35" s="38"/>
    </row>
    <row r="36" spans="1:22" ht="17.25" x14ac:dyDescent="0.3">
      <c r="A36" s="10" t="s">
        <v>47</v>
      </c>
      <c r="B36" s="1"/>
      <c r="C36" s="1"/>
      <c r="D36" s="1"/>
      <c r="E36" s="1"/>
      <c r="F36" s="1"/>
      <c r="G36" s="1"/>
      <c r="H36" s="6"/>
      <c r="I36" s="1"/>
      <c r="J36" s="1"/>
      <c r="K36" s="1"/>
      <c r="L36" s="1"/>
      <c r="M36" s="1"/>
      <c r="N36" s="1"/>
      <c r="O36" s="1"/>
      <c r="P36" s="120"/>
      <c r="Q36" s="38"/>
      <c r="R36" s="39"/>
      <c r="S36" s="39"/>
      <c r="T36" s="40"/>
      <c r="U36" s="33"/>
      <c r="V36" s="38"/>
    </row>
    <row r="37" spans="1:22" ht="17.25" x14ac:dyDescent="0.3">
      <c r="A37" s="10" t="s">
        <v>22</v>
      </c>
      <c r="B37" s="1">
        <v>2</v>
      </c>
      <c r="C37" s="1">
        <v>2</v>
      </c>
      <c r="D37" s="1">
        <v>0</v>
      </c>
      <c r="E37" s="1">
        <v>0</v>
      </c>
      <c r="F37" s="1">
        <v>36</v>
      </c>
      <c r="G37" s="1">
        <v>27</v>
      </c>
      <c r="H37" s="6">
        <v>8</v>
      </c>
      <c r="I37" s="1">
        <v>3</v>
      </c>
      <c r="J37" s="1">
        <v>0</v>
      </c>
      <c r="K37" s="1">
        <v>8</v>
      </c>
      <c r="L37" s="1">
        <v>1</v>
      </c>
      <c r="M37" s="1">
        <v>10</v>
      </c>
      <c r="N37" s="1">
        <v>4</v>
      </c>
      <c r="O37" s="1">
        <v>1</v>
      </c>
      <c r="P37" s="120">
        <f>+O37*9/H37</f>
        <v>1.125</v>
      </c>
      <c r="Q37" s="38">
        <f>(K37+L37)/H37</f>
        <v>1.125</v>
      </c>
      <c r="R37" s="39">
        <f>I37/H37</f>
        <v>0.375</v>
      </c>
      <c r="S37" s="39">
        <f>H37/B37</f>
        <v>4</v>
      </c>
      <c r="T37" s="40">
        <f>M37/H37</f>
        <v>1.25</v>
      </c>
      <c r="U37" s="33">
        <f>O37/N37</f>
        <v>0.25</v>
      </c>
      <c r="V37" s="38">
        <f>(I37+K37)/H37</f>
        <v>1.375</v>
      </c>
    </row>
    <row r="38" spans="1:22" ht="17.25" x14ac:dyDescent="0.3">
      <c r="A38" s="11" t="s">
        <v>10</v>
      </c>
      <c r="B38" s="11"/>
      <c r="C38" s="11">
        <f t="shared" ref="C38:O38" si="13">SUM(C28:C37)</f>
        <v>8</v>
      </c>
      <c r="D38" s="11">
        <f t="shared" si="13"/>
        <v>2</v>
      </c>
      <c r="E38" s="11">
        <f t="shared" si="13"/>
        <v>0</v>
      </c>
      <c r="F38" s="11">
        <f t="shared" si="13"/>
        <v>241</v>
      </c>
      <c r="G38" s="11">
        <f t="shared" si="13"/>
        <v>204</v>
      </c>
      <c r="H38" s="15">
        <f t="shared" si="13"/>
        <v>48</v>
      </c>
      <c r="I38" s="11">
        <f t="shared" si="13"/>
        <v>49</v>
      </c>
      <c r="J38" s="11">
        <f t="shared" si="13"/>
        <v>0</v>
      </c>
      <c r="K38" s="11">
        <f t="shared" si="13"/>
        <v>37</v>
      </c>
      <c r="L38" s="11">
        <f t="shared" si="13"/>
        <v>6</v>
      </c>
      <c r="M38" s="11">
        <f t="shared" si="13"/>
        <v>59</v>
      </c>
      <c r="N38" s="11">
        <f t="shared" si="13"/>
        <v>49</v>
      </c>
      <c r="O38" s="11">
        <f t="shared" si="13"/>
        <v>24</v>
      </c>
      <c r="P38" s="16">
        <f t="shared" ref="P38" si="14">+O38*9/H38</f>
        <v>4.5</v>
      </c>
      <c r="Q38" s="34">
        <f>(K38+L38)/H38</f>
        <v>0.89583333333333337</v>
      </c>
      <c r="R38" s="35">
        <f>I38/H38</f>
        <v>1.0208333333333333</v>
      </c>
      <c r="S38" s="35" t="e">
        <f t="shared" ref="S38" si="15">H38/B38</f>
        <v>#DIV/0!</v>
      </c>
      <c r="T38" s="36">
        <f>M38/H38</f>
        <v>1.2291666666666667</v>
      </c>
      <c r="U38" s="37">
        <f>O38/N38</f>
        <v>0.48979591836734693</v>
      </c>
      <c r="V38" s="34">
        <f>(I38+K38+L38)/H38</f>
        <v>1.9166666666666667</v>
      </c>
    </row>
  </sheetData>
  <sortState xmlns:xlrd2="http://schemas.microsoft.com/office/spreadsheetml/2017/richdata2" ref="A4:W23">
    <sortCondition ref="A4:A23"/>
  </sortState>
  <phoneticPr fontId="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D316-CCEF-4FB8-BA27-E2F31366E61E}">
  <dimension ref="A1:Y38"/>
  <sheetViews>
    <sheetView zoomScale="70" zoomScaleNormal="70" workbookViewId="0">
      <selection activeCell="C23" sqref="C23"/>
    </sheetView>
  </sheetViews>
  <sheetFormatPr defaultColWidth="9" defaultRowHeight="16.5" x14ac:dyDescent="0.3"/>
  <cols>
    <col min="1" max="18" width="8.125" customWidth="1"/>
    <col min="19" max="19" width="10.75" customWidth="1"/>
    <col min="20" max="20" width="8.125" customWidth="1"/>
  </cols>
  <sheetData>
    <row r="1" spans="1:25" ht="26.25" x14ac:dyDescent="0.3">
      <c r="A1" s="24" t="s">
        <v>114</v>
      </c>
    </row>
    <row r="2" spans="1:25" ht="17.25" x14ac:dyDescent="0.3">
      <c r="A2" s="4" t="s">
        <v>1</v>
      </c>
    </row>
    <row r="3" spans="1:25" ht="34.5" x14ac:dyDescent="0.3">
      <c r="A3" s="10" t="s">
        <v>32</v>
      </c>
      <c r="B3" s="10" t="s">
        <v>13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79</v>
      </c>
      <c r="H3" s="10" t="s">
        <v>72</v>
      </c>
      <c r="I3" s="10" t="s">
        <v>0</v>
      </c>
      <c r="J3" s="10" t="s">
        <v>82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43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  <c r="W3" s="10" t="s">
        <v>88</v>
      </c>
    </row>
    <row r="4" spans="1:25" ht="17.25" x14ac:dyDescent="0.3">
      <c r="A4" s="10" t="s">
        <v>59</v>
      </c>
      <c r="B4" s="1">
        <v>5</v>
      </c>
      <c r="C4" s="122">
        <f t="shared" ref="C4:C24" si="0">+F4/E4</f>
        <v>9.0909090909090912E-2</v>
      </c>
      <c r="D4" s="115">
        <v>14</v>
      </c>
      <c r="E4" s="115">
        <v>11</v>
      </c>
      <c r="F4" s="115">
        <v>1</v>
      </c>
      <c r="G4" s="1">
        <f>+F4-(H4+I4+J4)</f>
        <v>1</v>
      </c>
      <c r="H4" s="115">
        <v>0</v>
      </c>
      <c r="I4" s="115">
        <v>0</v>
      </c>
      <c r="J4" s="115">
        <v>0</v>
      </c>
      <c r="K4" s="115">
        <v>3</v>
      </c>
      <c r="L4" s="115">
        <v>1</v>
      </c>
      <c r="M4" s="115">
        <v>3</v>
      </c>
      <c r="N4" s="115">
        <v>3</v>
      </c>
      <c r="O4" s="115">
        <v>5</v>
      </c>
      <c r="P4" s="79">
        <f>+O4/D4</f>
        <v>0.35714285714285715</v>
      </c>
      <c r="Q4" s="46">
        <f>+(G4*1+H4*2+I4*3+J4*4)/E4</f>
        <v>9.0909090909090912E-2</v>
      </c>
      <c r="R4" s="2">
        <f>+(F4+N4)/D4</f>
        <v>0.2857142857142857</v>
      </c>
      <c r="S4" s="58">
        <f>+R4+Q4</f>
        <v>0.37662337662337664</v>
      </c>
      <c r="T4" s="76">
        <f>O4/(D4-(F4+N4))</f>
        <v>0.5</v>
      </c>
      <c r="U4" s="61">
        <f>RANK(R4,$R$4:$R$23)</f>
        <v>15</v>
      </c>
      <c r="V4" s="69">
        <f>RANK(S4,$S$4:$S$23)</f>
        <v>16</v>
      </c>
      <c r="W4" s="25"/>
      <c r="Y4" s="80"/>
    </row>
    <row r="5" spans="1:25" ht="17.25" x14ac:dyDescent="0.3">
      <c r="A5" s="10" t="s">
        <v>34</v>
      </c>
      <c r="B5" s="1">
        <v>5</v>
      </c>
      <c r="C5" s="122">
        <f t="shared" si="0"/>
        <v>0</v>
      </c>
      <c r="D5" s="115">
        <v>9</v>
      </c>
      <c r="E5" s="115">
        <v>6</v>
      </c>
      <c r="F5" s="115">
        <v>0</v>
      </c>
      <c r="G5" s="1">
        <f t="shared" ref="G5:G23" si="1">+F5-(H5+I5+J5)</f>
        <v>0</v>
      </c>
      <c r="H5" s="115">
        <v>0</v>
      </c>
      <c r="I5" s="115">
        <v>0</v>
      </c>
      <c r="J5" s="115">
        <v>0</v>
      </c>
      <c r="K5" s="115">
        <v>1</v>
      </c>
      <c r="L5" s="115">
        <v>0</v>
      </c>
      <c r="M5" s="115">
        <v>0</v>
      </c>
      <c r="N5" s="115">
        <v>3</v>
      </c>
      <c r="O5" s="115">
        <v>5</v>
      </c>
      <c r="P5" s="79">
        <f>+O5/D5</f>
        <v>0.55555555555555558</v>
      </c>
      <c r="Q5" s="46">
        <f>+(G5*1+H5*2+I5*3+J5*4)/E5</f>
        <v>0</v>
      </c>
      <c r="R5" s="2">
        <f>+(F5+N5)/D5</f>
        <v>0.33333333333333331</v>
      </c>
      <c r="S5" s="58">
        <f>+R5+Q5</f>
        <v>0.33333333333333331</v>
      </c>
      <c r="T5" s="76">
        <f>O5/(D5-(F5+N5))</f>
        <v>0.83333333333333337</v>
      </c>
      <c r="U5" s="61">
        <f>RANK(R5,$R$4:$R$23)</f>
        <v>13</v>
      </c>
      <c r="V5" s="69">
        <f>RANK(S5,$S$4:$S$23)</f>
        <v>17</v>
      </c>
      <c r="W5" s="25"/>
      <c r="Y5" s="80"/>
    </row>
    <row r="6" spans="1:25" ht="17.25" x14ac:dyDescent="0.3">
      <c r="A6" s="10" t="s">
        <v>44</v>
      </c>
      <c r="B6" s="1">
        <v>5</v>
      </c>
      <c r="C6" s="122">
        <f t="shared" si="0"/>
        <v>0.6</v>
      </c>
      <c r="D6" s="115">
        <v>10</v>
      </c>
      <c r="E6" s="115">
        <v>10</v>
      </c>
      <c r="F6" s="115">
        <v>6</v>
      </c>
      <c r="G6" s="1">
        <f t="shared" si="1"/>
        <v>5</v>
      </c>
      <c r="H6" s="115">
        <v>1</v>
      </c>
      <c r="I6" s="115">
        <v>0</v>
      </c>
      <c r="J6" s="115">
        <v>0</v>
      </c>
      <c r="K6" s="115">
        <v>1</v>
      </c>
      <c r="L6" s="115">
        <v>8</v>
      </c>
      <c r="M6" s="115">
        <v>1</v>
      </c>
      <c r="N6" s="115">
        <v>0</v>
      </c>
      <c r="O6" s="115">
        <v>0</v>
      </c>
      <c r="P6" s="79">
        <f>+O6/D6</f>
        <v>0</v>
      </c>
      <c r="Q6" s="46">
        <f>+(G6*1+H6*2+I6*3+J6*4)/E6</f>
        <v>0.7</v>
      </c>
      <c r="R6" s="2">
        <f>+(F6+N6)/D6</f>
        <v>0.6</v>
      </c>
      <c r="S6" s="58">
        <f>+R6+Q6</f>
        <v>1.2999999999999998</v>
      </c>
      <c r="T6" s="76"/>
      <c r="U6" s="61">
        <f>RANK(R6,$R$4:$R$23)</f>
        <v>5</v>
      </c>
      <c r="V6" s="69">
        <f>RANK(S6,$S$4:$S$23)</f>
        <v>4</v>
      </c>
      <c r="W6" s="25"/>
      <c r="Y6" s="80"/>
    </row>
    <row r="7" spans="1:25" ht="17.25" x14ac:dyDescent="0.3">
      <c r="A7" s="10" t="s">
        <v>9</v>
      </c>
      <c r="B7" s="1">
        <v>1</v>
      </c>
      <c r="C7" s="122">
        <f t="shared" si="0"/>
        <v>0</v>
      </c>
      <c r="D7" s="115">
        <v>1</v>
      </c>
      <c r="E7" s="115">
        <v>1</v>
      </c>
      <c r="F7" s="115">
        <v>0</v>
      </c>
      <c r="G7" s="1">
        <f t="shared" si="1"/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1</v>
      </c>
      <c r="P7" s="118"/>
      <c r="Q7" s="117"/>
      <c r="R7" s="113"/>
      <c r="S7" s="58"/>
      <c r="T7" s="76"/>
      <c r="U7" s="61"/>
      <c r="V7" s="69"/>
      <c r="W7" s="25"/>
      <c r="Y7" s="80"/>
    </row>
    <row r="8" spans="1:25" ht="17.25" x14ac:dyDescent="0.3">
      <c r="A8" s="10" t="s">
        <v>4</v>
      </c>
      <c r="B8" s="1">
        <v>7</v>
      </c>
      <c r="C8" s="122">
        <f t="shared" si="0"/>
        <v>0.5</v>
      </c>
      <c r="D8" s="115">
        <v>20</v>
      </c>
      <c r="E8" s="115">
        <v>14</v>
      </c>
      <c r="F8" s="115">
        <v>7</v>
      </c>
      <c r="G8" s="1">
        <f t="shared" si="1"/>
        <v>4</v>
      </c>
      <c r="H8" s="115">
        <v>2</v>
      </c>
      <c r="I8" s="115">
        <v>0</v>
      </c>
      <c r="J8" s="115">
        <v>1</v>
      </c>
      <c r="K8" s="115">
        <v>9</v>
      </c>
      <c r="L8" s="115">
        <v>7</v>
      </c>
      <c r="M8" s="115">
        <v>2</v>
      </c>
      <c r="N8" s="115">
        <v>6</v>
      </c>
      <c r="O8" s="115">
        <v>2</v>
      </c>
      <c r="P8" s="79">
        <f t="shared" ref="P8:P23" si="2">+O8/D8</f>
        <v>0.1</v>
      </c>
      <c r="Q8" s="46">
        <f t="shared" ref="Q8:Q19" si="3">+(G8*1+H8*2+I8*3+J8*4)/E8</f>
        <v>0.8571428571428571</v>
      </c>
      <c r="R8" s="2">
        <f t="shared" ref="R8:R23" si="4">+(F8+N8)/D8</f>
        <v>0.65</v>
      </c>
      <c r="S8" s="58">
        <f t="shared" ref="S8:S23" si="5">+R8+Q8</f>
        <v>1.5071428571428571</v>
      </c>
      <c r="T8" s="76">
        <f>O8/(D8-(F8+N8))</f>
        <v>0.2857142857142857</v>
      </c>
      <c r="U8" s="61">
        <f t="shared" ref="U8:U23" si="6">RANK(R8,$R$4:$R$23)</f>
        <v>4</v>
      </c>
      <c r="V8" s="69">
        <f t="shared" ref="V8:V23" si="7">RANK(S8,$S$4:$S$23)</f>
        <v>1</v>
      </c>
      <c r="W8" s="25">
        <v>1</v>
      </c>
      <c r="Y8" s="80"/>
    </row>
    <row r="9" spans="1:25" ht="17.25" x14ac:dyDescent="0.3">
      <c r="A9" s="10" t="s">
        <v>51</v>
      </c>
      <c r="B9" s="1">
        <v>2</v>
      </c>
      <c r="C9" s="122">
        <f t="shared" si="0"/>
        <v>0.25</v>
      </c>
      <c r="D9" s="115">
        <v>5</v>
      </c>
      <c r="E9" s="115">
        <v>4</v>
      </c>
      <c r="F9" s="115">
        <v>1</v>
      </c>
      <c r="G9" s="1">
        <f t="shared" si="1"/>
        <v>1</v>
      </c>
      <c r="H9" s="115">
        <v>0</v>
      </c>
      <c r="I9" s="115">
        <v>0</v>
      </c>
      <c r="J9" s="115">
        <v>0</v>
      </c>
      <c r="K9" s="115">
        <v>2</v>
      </c>
      <c r="L9" s="115">
        <v>1</v>
      </c>
      <c r="M9" s="115">
        <v>1</v>
      </c>
      <c r="N9" s="115">
        <v>1</v>
      </c>
      <c r="O9" s="115">
        <v>0</v>
      </c>
      <c r="P9" s="118">
        <f t="shared" si="2"/>
        <v>0</v>
      </c>
      <c r="Q9" s="117">
        <f t="shared" si="3"/>
        <v>0.25</v>
      </c>
      <c r="R9" s="113">
        <f t="shared" si="4"/>
        <v>0.4</v>
      </c>
      <c r="S9" s="58">
        <f t="shared" si="5"/>
        <v>0.65</v>
      </c>
      <c r="T9" s="76"/>
      <c r="U9" s="61">
        <f t="shared" si="6"/>
        <v>10</v>
      </c>
      <c r="V9" s="69">
        <f t="shared" si="7"/>
        <v>14</v>
      </c>
      <c r="W9" s="25"/>
      <c r="Y9" s="80"/>
    </row>
    <row r="10" spans="1:25" ht="17.25" x14ac:dyDescent="0.3">
      <c r="A10" s="10" t="s">
        <v>25</v>
      </c>
      <c r="B10" s="1">
        <v>6</v>
      </c>
      <c r="C10" s="122">
        <f t="shared" si="0"/>
        <v>0.5</v>
      </c>
      <c r="D10" s="115">
        <v>12</v>
      </c>
      <c r="E10" s="115">
        <v>10</v>
      </c>
      <c r="F10" s="115">
        <v>5</v>
      </c>
      <c r="G10" s="1">
        <f t="shared" si="1"/>
        <v>4</v>
      </c>
      <c r="H10" s="115">
        <v>1</v>
      </c>
      <c r="I10" s="115">
        <v>0</v>
      </c>
      <c r="J10" s="115">
        <v>0</v>
      </c>
      <c r="K10" s="115">
        <v>3</v>
      </c>
      <c r="L10" s="115">
        <v>3</v>
      </c>
      <c r="M10" s="115">
        <v>10</v>
      </c>
      <c r="N10" s="115">
        <v>2</v>
      </c>
      <c r="O10" s="115">
        <v>2</v>
      </c>
      <c r="P10" s="79">
        <f t="shared" si="2"/>
        <v>0.16666666666666666</v>
      </c>
      <c r="Q10" s="46">
        <f t="shared" si="3"/>
        <v>0.6</v>
      </c>
      <c r="R10" s="2">
        <f t="shared" si="4"/>
        <v>0.58333333333333337</v>
      </c>
      <c r="S10" s="58">
        <f t="shared" si="5"/>
        <v>1.1833333333333333</v>
      </c>
      <c r="T10" s="76"/>
      <c r="U10" s="61">
        <f t="shared" si="6"/>
        <v>6</v>
      </c>
      <c r="V10" s="69">
        <f t="shared" si="7"/>
        <v>6</v>
      </c>
      <c r="W10" s="25"/>
      <c r="Y10" s="80"/>
    </row>
    <row r="11" spans="1:25" ht="17.25" x14ac:dyDescent="0.3">
      <c r="A11" s="10" t="s">
        <v>21</v>
      </c>
      <c r="B11" s="1">
        <v>5</v>
      </c>
      <c r="C11" s="122">
        <f t="shared" si="0"/>
        <v>0.3</v>
      </c>
      <c r="D11" s="115">
        <v>11</v>
      </c>
      <c r="E11" s="115">
        <v>10</v>
      </c>
      <c r="F11" s="115">
        <v>3</v>
      </c>
      <c r="G11" s="1">
        <f t="shared" si="1"/>
        <v>2</v>
      </c>
      <c r="H11" s="115">
        <v>1</v>
      </c>
      <c r="I11" s="115">
        <v>0</v>
      </c>
      <c r="J11" s="115">
        <v>0</v>
      </c>
      <c r="K11" s="115">
        <v>2</v>
      </c>
      <c r="L11" s="115">
        <v>1</v>
      </c>
      <c r="M11" s="115">
        <v>5</v>
      </c>
      <c r="N11" s="115">
        <v>1</v>
      </c>
      <c r="O11" s="115">
        <v>2</v>
      </c>
      <c r="P11" s="79">
        <f t="shared" si="2"/>
        <v>0.18181818181818182</v>
      </c>
      <c r="Q11" s="46">
        <f t="shared" si="3"/>
        <v>0.4</v>
      </c>
      <c r="R11" s="2">
        <f t="shared" si="4"/>
        <v>0.36363636363636365</v>
      </c>
      <c r="S11" s="58">
        <f t="shared" si="5"/>
        <v>0.76363636363636367</v>
      </c>
      <c r="T11" s="76">
        <f>O11/(D11-(F11+N11))</f>
        <v>0.2857142857142857</v>
      </c>
      <c r="U11" s="61">
        <f t="shared" si="6"/>
        <v>12</v>
      </c>
      <c r="V11" s="69">
        <f t="shared" si="7"/>
        <v>11</v>
      </c>
      <c r="W11" s="25"/>
      <c r="Y11" s="80"/>
    </row>
    <row r="12" spans="1:25" ht="17.25" x14ac:dyDescent="0.3">
      <c r="A12" s="10" t="s">
        <v>8</v>
      </c>
      <c r="B12" s="1">
        <v>3</v>
      </c>
      <c r="C12" s="122">
        <f t="shared" si="0"/>
        <v>0.2857142857142857</v>
      </c>
      <c r="D12" s="115">
        <v>8</v>
      </c>
      <c r="E12" s="115">
        <v>7</v>
      </c>
      <c r="F12" s="115">
        <v>2</v>
      </c>
      <c r="G12" s="1">
        <f t="shared" si="1"/>
        <v>2</v>
      </c>
      <c r="H12" s="115">
        <v>0</v>
      </c>
      <c r="I12" s="115">
        <v>0</v>
      </c>
      <c r="J12" s="115">
        <v>0</v>
      </c>
      <c r="K12" s="115">
        <v>4</v>
      </c>
      <c r="L12" s="115">
        <v>3</v>
      </c>
      <c r="M12" s="115">
        <v>2</v>
      </c>
      <c r="N12" s="115">
        <v>0</v>
      </c>
      <c r="O12" s="115">
        <v>0</v>
      </c>
      <c r="P12" s="79">
        <f t="shared" si="2"/>
        <v>0</v>
      </c>
      <c r="Q12" s="46">
        <f t="shared" si="3"/>
        <v>0.2857142857142857</v>
      </c>
      <c r="R12" s="2">
        <f t="shared" si="4"/>
        <v>0.25</v>
      </c>
      <c r="S12" s="58">
        <f t="shared" si="5"/>
        <v>0.5357142857142857</v>
      </c>
      <c r="T12" s="76">
        <f>O12/(D12-(F12+N12))</f>
        <v>0</v>
      </c>
      <c r="U12" s="61">
        <f t="shared" si="6"/>
        <v>16</v>
      </c>
      <c r="V12" s="69">
        <f t="shared" si="7"/>
        <v>15</v>
      </c>
      <c r="W12" s="25"/>
      <c r="Y12" s="80"/>
    </row>
    <row r="13" spans="1:25" ht="17.25" x14ac:dyDescent="0.3">
      <c r="A13" s="10" t="s">
        <v>15</v>
      </c>
      <c r="B13" s="1">
        <v>1</v>
      </c>
      <c r="C13" s="122">
        <f t="shared" si="0"/>
        <v>0</v>
      </c>
      <c r="D13" s="115">
        <v>2</v>
      </c>
      <c r="E13" s="115">
        <v>2</v>
      </c>
      <c r="F13" s="115">
        <v>0</v>
      </c>
      <c r="G13" s="1">
        <f t="shared" si="1"/>
        <v>0</v>
      </c>
      <c r="H13" s="115">
        <v>0</v>
      </c>
      <c r="I13" s="115">
        <v>0</v>
      </c>
      <c r="J13" s="115">
        <v>0</v>
      </c>
      <c r="K13" s="115">
        <v>0</v>
      </c>
      <c r="L13" s="115">
        <v>0</v>
      </c>
      <c r="M13" s="115">
        <v>0</v>
      </c>
      <c r="N13" s="115">
        <v>0</v>
      </c>
      <c r="O13" s="115">
        <v>0</v>
      </c>
      <c r="P13" s="118">
        <f t="shared" si="2"/>
        <v>0</v>
      </c>
      <c r="Q13" s="117">
        <f t="shared" si="3"/>
        <v>0</v>
      </c>
      <c r="R13" s="113">
        <f t="shared" si="4"/>
        <v>0</v>
      </c>
      <c r="S13" s="58">
        <f t="shared" si="5"/>
        <v>0</v>
      </c>
      <c r="T13" s="76"/>
      <c r="U13" s="61">
        <f t="shared" si="6"/>
        <v>19</v>
      </c>
      <c r="V13" s="69">
        <f t="shared" si="7"/>
        <v>19</v>
      </c>
      <c r="W13" s="25"/>
      <c r="Y13" s="80"/>
    </row>
    <row r="14" spans="1:25" ht="17.25" x14ac:dyDescent="0.3">
      <c r="A14" s="10" t="s">
        <v>23</v>
      </c>
      <c r="B14" s="1">
        <v>7</v>
      </c>
      <c r="C14" s="122">
        <f t="shared" si="0"/>
        <v>0.33333333333333331</v>
      </c>
      <c r="D14" s="115">
        <v>19</v>
      </c>
      <c r="E14" s="115">
        <v>15</v>
      </c>
      <c r="F14" s="115">
        <v>5</v>
      </c>
      <c r="G14" s="1">
        <f t="shared" si="1"/>
        <v>4</v>
      </c>
      <c r="H14" s="115">
        <v>1</v>
      </c>
      <c r="I14" s="115">
        <v>0</v>
      </c>
      <c r="J14" s="115">
        <v>0</v>
      </c>
      <c r="K14" s="115">
        <v>7</v>
      </c>
      <c r="L14" s="115">
        <v>3</v>
      </c>
      <c r="M14" s="115">
        <v>6</v>
      </c>
      <c r="N14" s="115">
        <v>3</v>
      </c>
      <c r="O14" s="115">
        <v>7</v>
      </c>
      <c r="P14" s="79">
        <f t="shared" si="2"/>
        <v>0.36842105263157893</v>
      </c>
      <c r="Q14" s="46">
        <f t="shared" si="3"/>
        <v>0.4</v>
      </c>
      <c r="R14" s="2">
        <f t="shared" si="4"/>
        <v>0.42105263157894735</v>
      </c>
      <c r="S14" s="58">
        <f t="shared" si="5"/>
        <v>0.82105263157894737</v>
      </c>
      <c r="T14" s="76">
        <f>O14/(D14-(F14+N14))</f>
        <v>0.63636363636363635</v>
      </c>
      <c r="U14" s="61">
        <f t="shared" si="6"/>
        <v>9</v>
      </c>
      <c r="V14" s="69">
        <f t="shared" si="7"/>
        <v>9</v>
      </c>
      <c r="W14" s="25"/>
      <c r="Y14" s="80"/>
    </row>
    <row r="15" spans="1:25" ht="17.25" x14ac:dyDescent="0.3">
      <c r="A15" s="43" t="s">
        <v>50</v>
      </c>
      <c r="B15" s="1">
        <v>4</v>
      </c>
      <c r="C15" s="122">
        <f t="shared" si="0"/>
        <v>0.2857142857142857</v>
      </c>
      <c r="D15" s="115">
        <v>8</v>
      </c>
      <c r="E15" s="115">
        <v>7</v>
      </c>
      <c r="F15" s="115">
        <v>2</v>
      </c>
      <c r="G15" s="1">
        <f t="shared" si="1"/>
        <v>1</v>
      </c>
      <c r="H15" s="115">
        <v>1</v>
      </c>
      <c r="I15" s="115">
        <v>0</v>
      </c>
      <c r="J15" s="115">
        <v>0</v>
      </c>
      <c r="K15" s="115">
        <v>3</v>
      </c>
      <c r="L15" s="115">
        <v>2</v>
      </c>
      <c r="M15" s="115">
        <v>1</v>
      </c>
      <c r="N15" s="115">
        <v>0</v>
      </c>
      <c r="O15" s="115">
        <v>2</v>
      </c>
      <c r="P15" s="79">
        <f t="shared" si="2"/>
        <v>0.25</v>
      </c>
      <c r="Q15" s="46">
        <f t="shared" si="3"/>
        <v>0.42857142857142855</v>
      </c>
      <c r="R15" s="2">
        <f t="shared" si="4"/>
        <v>0.25</v>
      </c>
      <c r="S15" s="58">
        <f t="shared" si="5"/>
        <v>0.6785714285714286</v>
      </c>
      <c r="T15" s="76">
        <f>O15/(D15-(F15+N15))</f>
        <v>0.33333333333333331</v>
      </c>
      <c r="U15" s="61">
        <f t="shared" si="6"/>
        <v>16</v>
      </c>
      <c r="V15" s="69">
        <f t="shared" si="7"/>
        <v>12</v>
      </c>
      <c r="W15" s="25"/>
      <c r="Y15" s="80"/>
    </row>
    <row r="16" spans="1:25" ht="17.25" x14ac:dyDescent="0.3">
      <c r="A16" s="133" t="s">
        <v>33</v>
      </c>
      <c r="B16" s="1">
        <v>5</v>
      </c>
      <c r="C16" s="122">
        <f t="shared" si="0"/>
        <v>0.625</v>
      </c>
      <c r="D16" s="115">
        <v>11</v>
      </c>
      <c r="E16" s="115">
        <v>8</v>
      </c>
      <c r="F16" s="115">
        <v>5</v>
      </c>
      <c r="G16" s="1">
        <f t="shared" si="1"/>
        <v>5</v>
      </c>
      <c r="H16" s="115">
        <v>0</v>
      </c>
      <c r="I16" s="115">
        <v>0</v>
      </c>
      <c r="J16" s="115">
        <v>0</v>
      </c>
      <c r="K16" s="115">
        <v>3</v>
      </c>
      <c r="L16" s="115">
        <v>1</v>
      </c>
      <c r="M16" s="115">
        <v>5</v>
      </c>
      <c r="N16" s="115">
        <v>3</v>
      </c>
      <c r="O16" s="115">
        <v>1</v>
      </c>
      <c r="P16" s="79">
        <f t="shared" si="2"/>
        <v>9.0909090909090912E-2</v>
      </c>
      <c r="Q16" s="46">
        <f t="shared" si="3"/>
        <v>0.625</v>
      </c>
      <c r="R16" s="2">
        <f t="shared" si="4"/>
        <v>0.72727272727272729</v>
      </c>
      <c r="S16" s="58">
        <f t="shared" si="5"/>
        <v>1.3522727272727273</v>
      </c>
      <c r="T16" s="76"/>
      <c r="U16" s="61">
        <f t="shared" si="6"/>
        <v>2</v>
      </c>
      <c r="V16" s="69">
        <f t="shared" si="7"/>
        <v>3</v>
      </c>
      <c r="W16" s="25"/>
      <c r="Y16" s="80"/>
    </row>
    <row r="17" spans="1:25" ht="17.25" x14ac:dyDescent="0.3">
      <c r="A17" s="10" t="s">
        <v>60</v>
      </c>
      <c r="B17" s="1">
        <v>7</v>
      </c>
      <c r="C17" s="122">
        <f t="shared" si="0"/>
        <v>0.41176470588235292</v>
      </c>
      <c r="D17" s="115">
        <v>18</v>
      </c>
      <c r="E17" s="115">
        <v>17</v>
      </c>
      <c r="F17" s="115">
        <v>7</v>
      </c>
      <c r="G17" s="1">
        <f t="shared" si="1"/>
        <v>5</v>
      </c>
      <c r="H17" s="115">
        <v>2</v>
      </c>
      <c r="I17" s="115">
        <v>0</v>
      </c>
      <c r="J17" s="115">
        <v>0</v>
      </c>
      <c r="K17" s="115">
        <v>6</v>
      </c>
      <c r="L17" s="115">
        <v>6</v>
      </c>
      <c r="M17" s="115">
        <v>3</v>
      </c>
      <c r="N17" s="115">
        <v>1</v>
      </c>
      <c r="O17" s="115">
        <v>3</v>
      </c>
      <c r="P17" s="79">
        <f t="shared" si="2"/>
        <v>0.16666666666666666</v>
      </c>
      <c r="Q17" s="46">
        <f t="shared" si="3"/>
        <v>0.52941176470588236</v>
      </c>
      <c r="R17" s="2">
        <f t="shared" si="4"/>
        <v>0.44444444444444442</v>
      </c>
      <c r="S17" s="58">
        <f t="shared" si="5"/>
        <v>0.97385620915032678</v>
      </c>
      <c r="T17" s="76">
        <f>O17/(D17-(F17+N17))</f>
        <v>0.3</v>
      </c>
      <c r="U17" s="61">
        <f t="shared" si="6"/>
        <v>8</v>
      </c>
      <c r="V17" s="69">
        <f t="shared" si="7"/>
        <v>7</v>
      </c>
      <c r="W17" s="25">
        <v>1</v>
      </c>
      <c r="Y17" s="80"/>
    </row>
    <row r="18" spans="1:25" ht="17.25" x14ac:dyDescent="0.3">
      <c r="A18" s="10" t="s">
        <v>12</v>
      </c>
      <c r="B18" s="1">
        <v>3</v>
      </c>
      <c r="C18" s="122">
        <f t="shared" si="0"/>
        <v>0.4</v>
      </c>
      <c r="D18" s="115">
        <v>6</v>
      </c>
      <c r="E18" s="115">
        <v>5</v>
      </c>
      <c r="F18" s="115">
        <v>2</v>
      </c>
      <c r="G18" s="1">
        <f t="shared" si="1"/>
        <v>1</v>
      </c>
      <c r="H18" s="115">
        <v>0</v>
      </c>
      <c r="I18" s="115">
        <v>0</v>
      </c>
      <c r="J18" s="115">
        <v>1</v>
      </c>
      <c r="K18" s="115">
        <v>3</v>
      </c>
      <c r="L18" s="115">
        <v>3</v>
      </c>
      <c r="M18" s="115">
        <v>0</v>
      </c>
      <c r="N18" s="115">
        <v>1</v>
      </c>
      <c r="O18" s="115">
        <v>1</v>
      </c>
      <c r="P18" s="79">
        <f t="shared" si="2"/>
        <v>0.16666666666666666</v>
      </c>
      <c r="Q18" s="46">
        <f t="shared" si="3"/>
        <v>1</v>
      </c>
      <c r="R18" s="2">
        <f t="shared" si="4"/>
        <v>0.5</v>
      </c>
      <c r="S18" s="58">
        <f t="shared" si="5"/>
        <v>1.5</v>
      </c>
      <c r="T18" s="76">
        <f>O18/(D18-(F18+N18))</f>
        <v>0.33333333333333331</v>
      </c>
      <c r="U18" s="61">
        <f t="shared" si="6"/>
        <v>7</v>
      </c>
      <c r="V18" s="69">
        <f t="shared" si="7"/>
        <v>2</v>
      </c>
      <c r="W18" s="25">
        <v>1</v>
      </c>
      <c r="Y18" s="80"/>
    </row>
    <row r="19" spans="1:25" ht="17.25" x14ac:dyDescent="0.3">
      <c r="A19" s="10" t="s">
        <v>24</v>
      </c>
      <c r="B19" s="1">
        <v>3</v>
      </c>
      <c r="C19" s="122">
        <f t="shared" si="0"/>
        <v>0</v>
      </c>
      <c r="D19" s="115">
        <v>4</v>
      </c>
      <c r="E19" s="115">
        <v>3</v>
      </c>
      <c r="F19" s="115">
        <v>0</v>
      </c>
      <c r="G19" s="1">
        <f t="shared" si="1"/>
        <v>0</v>
      </c>
      <c r="H19" s="115">
        <v>0</v>
      </c>
      <c r="I19" s="115">
        <v>0</v>
      </c>
      <c r="J19" s="115">
        <v>0</v>
      </c>
      <c r="K19" s="115">
        <v>1</v>
      </c>
      <c r="L19" s="115">
        <v>0</v>
      </c>
      <c r="M19" s="115">
        <v>0</v>
      </c>
      <c r="N19" s="115">
        <v>1</v>
      </c>
      <c r="O19" s="115">
        <v>0</v>
      </c>
      <c r="P19" s="116">
        <f t="shared" si="2"/>
        <v>0</v>
      </c>
      <c r="Q19" s="117">
        <f t="shared" si="3"/>
        <v>0</v>
      </c>
      <c r="R19" s="113">
        <f t="shared" si="4"/>
        <v>0.25</v>
      </c>
      <c r="S19" s="58">
        <f t="shared" si="5"/>
        <v>0.25</v>
      </c>
      <c r="T19" s="76">
        <f>O19/(D19-(F19+N19))</f>
        <v>0</v>
      </c>
      <c r="U19" s="61">
        <f t="shared" si="6"/>
        <v>16</v>
      </c>
      <c r="V19" s="69">
        <f t="shared" si="7"/>
        <v>18</v>
      </c>
      <c r="W19" s="25"/>
      <c r="Y19" s="80"/>
    </row>
    <row r="20" spans="1:25" ht="17.25" x14ac:dyDescent="0.3">
      <c r="A20" s="10" t="s">
        <v>14</v>
      </c>
      <c r="B20" s="1">
        <v>3</v>
      </c>
      <c r="C20" s="122">
        <f t="shared" si="0"/>
        <v>0.75</v>
      </c>
      <c r="D20" s="115">
        <v>5</v>
      </c>
      <c r="E20" s="115">
        <v>4</v>
      </c>
      <c r="F20" s="115">
        <v>3</v>
      </c>
      <c r="G20" s="1">
        <f t="shared" si="1"/>
        <v>3</v>
      </c>
      <c r="H20" s="115">
        <v>0</v>
      </c>
      <c r="I20" s="115">
        <v>0</v>
      </c>
      <c r="J20" s="115">
        <v>0</v>
      </c>
      <c r="K20" s="115">
        <v>2</v>
      </c>
      <c r="L20" s="115">
        <v>0</v>
      </c>
      <c r="M20" s="115">
        <v>0</v>
      </c>
      <c r="N20" s="115">
        <v>1</v>
      </c>
      <c r="O20" s="115">
        <v>0</v>
      </c>
      <c r="P20" s="79">
        <f t="shared" si="2"/>
        <v>0</v>
      </c>
      <c r="Q20" s="46"/>
      <c r="R20" s="2">
        <f t="shared" si="4"/>
        <v>0.8</v>
      </c>
      <c r="S20" s="58">
        <f t="shared" si="5"/>
        <v>0.8</v>
      </c>
      <c r="T20" s="76"/>
      <c r="U20" s="61">
        <f t="shared" si="6"/>
        <v>1</v>
      </c>
      <c r="V20" s="69">
        <f t="shared" si="7"/>
        <v>10</v>
      </c>
      <c r="W20" s="25">
        <v>1</v>
      </c>
      <c r="Y20" s="80"/>
    </row>
    <row r="21" spans="1:25" ht="17.25" x14ac:dyDescent="0.3">
      <c r="A21" s="10" t="s">
        <v>47</v>
      </c>
      <c r="B21" s="1">
        <v>5</v>
      </c>
      <c r="C21" s="122">
        <f t="shared" si="0"/>
        <v>0.5714285714285714</v>
      </c>
      <c r="D21" s="115">
        <v>13</v>
      </c>
      <c r="E21" s="115">
        <v>7</v>
      </c>
      <c r="F21" s="115">
        <v>4</v>
      </c>
      <c r="G21" s="1">
        <f t="shared" si="1"/>
        <v>4</v>
      </c>
      <c r="H21" s="115">
        <v>0</v>
      </c>
      <c r="I21" s="115">
        <v>0</v>
      </c>
      <c r="J21" s="115">
        <v>0</v>
      </c>
      <c r="K21" s="115">
        <v>3</v>
      </c>
      <c r="L21" s="115">
        <v>7</v>
      </c>
      <c r="M21" s="115">
        <v>3</v>
      </c>
      <c r="N21" s="115">
        <v>5</v>
      </c>
      <c r="O21" s="115">
        <v>1</v>
      </c>
      <c r="P21" s="79">
        <f t="shared" si="2"/>
        <v>7.6923076923076927E-2</v>
      </c>
      <c r="Q21" s="46">
        <f>+(G21*1+H21*2+I21*3+J21*4)/E21</f>
        <v>0.5714285714285714</v>
      </c>
      <c r="R21" s="2">
        <f t="shared" si="4"/>
        <v>0.69230769230769229</v>
      </c>
      <c r="S21" s="58">
        <f t="shared" si="5"/>
        <v>1.2637362637362637</v>
      </c>
      <c r="T21" s="76"/>
      <c r="U21" s="61">
        <f t="shared" si="6"/>
        <v>3</v>
      </c>
      <c r="V21" s="69">
        <f t="shared" si="7"/>
        <v>5</v>
      </c>
      <c r="W21" s="25">
        <v>2</v>
      </c>
      <c r="Y21" s="80"/>
    </row>
    <row r="22" spans="1:25" ht="17.25" x14ac:dyDescent="0.3">
      <c r="A22" s="10" t="s">
        <v>22</v>
      </c>
      <c r="B22" s="1">
        <v>4</v>
      </c>
      <c r="C22" s="122">
        <f t="shared" si="0"/>
        <v>0.375</v>
      </c>
      <c r="D22" s="115">
        <v>10</v>
      </c>
      <c r="E22" s="115">
        <v>8</v>
      </c>
      <c r="F22" s="115">
        <v>3</v>
      </c>
      <c r="G22" s="1">
        <f t="shared" si="1"/>
        <v>2</v>
      </c>
      <c r="H22" s="115">
        <v>1</v>
      </c>
      <c r="I22" s="115">
        <v>0</v>
      </c>
      <c r="J22" s="115">
        <v>0</v>
      </c>
      <c r="K22" s="115">
        <v>3</v>
      </c>
      <c r="L22" s="115">
        <v>4</v>
      </c>
      <c r="M22" s="115">
        <v>2</v>
      </c>
      <c r="N22" s="115">
        <v>1</v>
      </c>
      <c r="O22" s="115">
        <v>2</v>
      </c>
      <c r="P22" s="79">
        <f t="shared" si="2"/>
        <v>0.2</v>
      </c>
      <c r="Q22" s="46">
        <f>+(G22*1+H22*2+I22*3+J22*4)/E22</f>
        <v>0.5</v>
      </c>
      <c r="R22" s="2">
        <f t="shared" si="4"/>
        <v>0.4</v>
      </c>
      <c r="S22" s="58">
        <f t="shared" si="5"/>
        <v>0.9</v>
      </c>
      <c r="T22" s="76">
        <f>O22/(D22-(F22+N22))</f>
        <v>0.33333333333333331</v>
      </c>
      <c r="U22" s="61">
        <f t="shared" si="6"/>
        <v>10</v>
      </c>
      <c r="V22" s="69">
        <f t="shared" si="7"/>
        <v>8</v>
      </c>
      <c r="W22" s="25"/>
      <c r="Y22" s="80"/>
    </row>
    <row r="23" spans="1:25" ht="17.25" x14ac:dyDescent="0.3">
      <c r="A23" s="10" t="s">
        <v>54</v>
      </c>
      <c r="B23" s="1">
        <v>3</v>
      </c>
      <c r="C23" s="122">
        <f t="shared" si="0"/>
        <v>0.33333333333333331</v>
      </c>
      <c r="D23" s="115">
        <v>12</v>
      </c>
      <c r="E23" s="115">
        <v>9</v>
      </c>
      <c r="F23" s="115">
        <v>3</v>
      </c>
      <c r="G23" s="1">
        <f t="shared" si="1"/>
        <v>3</v>
      </c>
      <c r="H23" s="115">
        <v>0</v>
      </c>
      <c r="I23" s="115">
        <v>0</v>
      </c>
      <c r="J23" s="115">
        <v>0</v>
      </c>
      <c r="K23" s="115">
        <v>3</v>
      </c>
      <c r="L23" s="115">
        <v>2</v>
      </c>
      <c r="M23" s="115">
        <v>0</v>
      </c>
      <c r="N23" s="115">
        <v>1</v>
      </c>
      <c r="O23" s="115">
        <v>2</v>
      </c>
      <c r="P23" s="79">
        <f t="shared" si="2"/>
        <v>0.16666666666666666</v>
      </c>
      <c r="Q23" s="46">
        <f>+(G23*1+H23*2+I23*3+J23*4)/E23</f>
        <v>0.33333333333333331</v>
      </c>
      <c r="R23" s="113">
        <f t="shared" si="4"/>
        <v>0.33333333333333331</v>
      </c>
      <c r="S23" s="58">
        <f t="shared" si="5"/>
        <v>0.66666666666666663</v>
      </c>
      <c r="T23" s="76">
        <f>O23/(D23-(F23+N23))</f>
        <v>0.25</v>
      </c>
      <c r="U23" s="61">
        <f t="shared" si="6"/>
        <v>13</v>
      </c>
      <c r="V23" s="69">
        <f t="shared" si="7"/>
        <v>13</v>
      </c>
      <c r="W23" s="25"/>
      <c r="Y23" s="80"/>
    </row>
    <row r="24" spans="1:25" ht="17.25" x14ac:dyDescent="0.3">
      <c r="A24" s="11" t="s">
        <v>10</v>
      </c>
      <c r="B24" s="11"/>
      <c r="C24" s="17">
        <f t="shared" si="0"/>
        <v>0.37341772151898733</v>
      </c>
      <c r="D24" s="11">
        <f t="shared" ref="D24:O24" si="8">SUM(D4:D23)</f>
        <v>198</v>
      </c>
      <c r="E24" s="11">
        <f t="shared" si="8"/>
        <v>158</v>
      </c>
      <c r="F24" s="11">
        <f t="shared" si="8"/>
        <v>59</v>
      </c>
      <c r="G24" s="11">
        <f t="shared" si="8"/>
        <v>47</v>
      </c>
      <c r="H24" s="11">
        <f t="shared" si="8"/>
        <v>10</v>
      </c>
      <c r="I24" s="11">
        <f t="shared" si="8"/>
        <v>0</v>
      </c>
      <c r="J24" s="11">
        <f t="shared" si="8"/>
        <v>2</v>
      </c>
      <c r="K24" s="11">
        <f t="shared" si="8"/>
        <v>59</v>
      </c>
      <c r="L24" s="11">
        <f t="shared" si="8"/>
        <v>52</v>
      </c>
      <c r="M24" s="11">
        <f t="shared" si="8"/>
        <v>44</v>
      </c>
      <c r="N24" s="11">
        <f t="shared" si="8"/>
        <v>33</v>
      </c>
      <c r="O24" s="11">
        <f t="shared" si="8"/>
        <v>36</v>
      </c>
      <c r="P24" s="29">
        <f t="shared" ref="P24" si="9">+O24/D24</f>
        <v>0.18181818181818182</v>
      </c>
      <c r="Q24" s="17"/>
      <c r="R24" s="17"/>
      <c r="S24" s="57"/>
      <c r="T24" s="68"/>
      <c r="U24" s="68"/>
      <c r="V24" s="68"/>
      <c r="W24" s="81">
        <f>SUM(W4:W23)</f>
        <v>6</v>
      </c>
    </row>
    <row r="25" spans="1:25" ht="17.25" x14ac:dyDescent="0.3">
      <c r="A25" s="22"/>
      <c r="B25" s="22"/>
      <c r="C25" s="23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3"/>
      <c r="R25" s="23"/>
    </row>
    <row r="26" spans="1:25" ht="17.25" x14ac:dyDescent="0.3">
      <c r="A26" s="4" t="s">
        <v>3</v>
      </c>
    </row>
    <row r="27" spans="1:25" ht="34.5" x14ac:dyDescent="0.3">
      <c r="A27" s="10" t="s">
        <v>27</v>
      </c>
      <c r="B27" s="10" t="s">
        <v>46</v>
      </c>
      <c r="C27" s="10" t="s">
        <v>55</v>
      </c>
      <c r="D27" s="10" t="s">
        <v>41</v>
      </c>
      <c r="E27" s="10" t="s">
        <v>48</v>
      </c>
      <c r="F27" s="10" t="s">
        <v>45</v>
      </c>
      <c r="G27" s="10" t="s">
        <v>38</v>
      </c>
      <c r="H27" s="10" t="s">
        <v>5</v>
      </c>
      <c r="I27" s="10" t="s">
        <v>17</v>
      </c>
      <c r="J27" s="10" t="s">
        <v>26</v>
      </c>
      <c r="K27" s="10" t="s">
        <v>30</v>
      </c>
      <c r="L27" s="10" t="s">
        <v>89</v>
      </c>
      <c r="M27" s="10" t="s">
        <v>6</v>
      </c>
      <c r="N27" s="10" t="s">
        <v>42</v>
      </c>
      <c r="O27" s="10" t="s">
        <v>35</v>
      </c>
      <c r="P27" s="10" t="s">
        <v>49</v>
      </c>
      <c r="Q27" s="10" t="s">
        <v>56</v>
      </c>
      <c r="R27" s="10" t="s">
        <v>66</v>
      </c>
      <c r="S27" s="10" t="s">
        <v>90</v>
      </c>
      <c r="T27" s="10" t="s">
        <v>70</v>
      </c>
      <c r="U27" s="10" t="s">
        <v>69</v>
      </c>
      <c r="V27" s="10" t="s">
        <v>68</v>
      </c>
    </row>
    <row r="28" spans="1:25" ht="17.25" x14ac:dyDescent="0.3">
      <c r="A28" s="10" t="s">
        <v>59</v>
      </c>
      <c r="B28" s="1">
        <v>2</v>
      </c>
      <c r="C28" s="115"/>
      <c r="D28" s="115"/>
      <c r="E28" s="115"/>
      <c r="F28" s="115">
        <v>26</v>
      </c>
      <c r="G28" s="115">
        <v>9</v>
      </c>
      <c r="H28" s="119">
        <v>2.3333333333300001</v>
      </c>
      <c r="I28" s="115">
        <v>3</v>
      </c>
      <c r="J28" s="115">
        <v>0</v>
      </c>
      <c r="K28" s="115">
        <v>16</v>
      </c>
      <c r="L28" s="115">
        <v>0</v>
      </c>
      <c r="M28" s="115">
        <v>1</v>
      </c>
      <c r="N28" s="115">
        <v>17</v>
      </c>
      <c r="O28" s="115">
        <v>14</v>
      </c>
      <c r="P28" s="120">
        <f>+O28*9/H28</f>
        <v>54.000000000077137</v>
      </c>
      <c r="Q28" s="38">
        <f>(K28+L28)/H28</f>
        <v>6.8571428571526525</v>
      </c>
      <c r="R28" s="121">
        <f>I28/H28</f>
        <v>1.2857142857161223</v>
      </c>
      <c r="S28" s="39">
        <f>H28/B28</f>
        <v>1.1666666666650001</v>
      </c>
      <c r="T28" s="40">
        <f>M28/H28</f>
        <v>0.42857142857204078</v>
      </c>
      <c r="U28" s="33">
        <f>O28/N28</f>
        <v>0.82352941176470584</v>
      </c>
      <c r="V28" s="38">
        <f>(I28+K28+L28)/H28</f>
        <v>8.1428571428687757</v>
      </c>
    </row>
    <row r="29" spans="1:25" ht="17.25" x14ac:dyDescent="0.3">
      <c r="A29" s="10" t="s">
        <v>74</v>
      </c>
      <c r="B29" s="1"/>
      <c r="C29" s="115"/>
      <c r="D29" s="115"/>
      <c r="E29" s="115"/>
      <c r="F29" s="115"/>
      <c r="G29" s="115"/>
      <c r="H29" s="119"/>
      <c r="I29" s="115"/>
      <c r="J29" s="115"/>
      <c r="K29" s="115"/>
      <c r="L29" s="115"/>
      <c r="M29" s="115"/>
      <c r="N29" s="115"/>
      <c r="O29" s="115"/>
      <c r="P29" s="120"/>
      <c r="Q29" s="38"/>
      <c r="R29" s="121"/>
      <c r="S29" s="39"/>
      <c r="T29" s="40"/>
      <c r="U29" s="33"/>
      <c r="V29" s="38"/>
    </row>
    <row r="30" spans="1:25" ht="17.25" x14ac:dyDescent="0.3">
      <c r="A30" s="10" t="s">
        <v>51</v>
      </c>
      <c r="B30" s="1">
        <v>2</v>
      </c>
      <c r="C30" s="115">
        <v>1</v>
      </c>
      <c r="D30" s="115"/>
      <c r="E30" s="115"/>
      <c r="F30" s="115">
        <v>12</v>
      </c>
      <c r="G30" s="115">
        <v>9</v>
      </c>
      <c r="H30" s="119">
        <v>1</v>
      </c>
      <c r="I30" s="115">
        <v>3</v>
      </c>
      <c r="J30" s="115">
        <v>0</v>
      </c>
      <c r="K30" s="115">
        <v>3</v>
      </c>
      <c r="L30" s="115">
        <v>0</v>
      </c>
      <c r="M30" s="115">
        <v>2</v>
      </c>
      <c r="N30" s="115">
        <v>7</v>
      </c>
      <c r="O30" s="115">
        <v>1</v>
      </c>
      <c r="P30" s="120">
        <f>+O30*9/H30</f>
        <v>9</v>
      </c>
      <c r="Q30" s="38">
        <f>(K30+L30)/H30</f>
        <v>3</v>
      </c>
      <c r="R30" s="121">
        <f>I30/H30</f>
        <v>3</v>
      </c>
      <c r="S30" s="39">
        <f>H30/B30</f>
        <v>0.5</v>
      </c>
      <c r="T30" s="40">
        <f>M30/H30</f>
        <v>2</v>
      </c>
      <c r="U30" s="33">
        <f>O30/N30</f>
        <v>0.14285714285714285</v>
      </c>
      <c r="V30" s="38">
        <f>(I30+K30+L30)/H30</f>
        <v>6</v>
      </c>
    </row>
    <row r="31" spans="1:25" ht="17.25" x14ac:dyDescent="0.3">
      <c r="A31" s="10" t="s">
        <v>15</v>
      </c>
      <c r="B31" s="1"/>
      <c r="C31" s="115"/>
      <c r="D31" s="115"/>
      <c r="E31" s="115"/>
      <c r="F31" s="115"/>
      <c r="G31" s="115"/>
      <c r="H31" s="119"/>
      <c r="I31" s="115"/>
      <c r="J31" s="115"/>
      <c r="K31" s="115"/>
      <c r="L31" s="115"/>
      <c r="M31" s="115"/>
      <c r="N31" s="115"/>
      <c r="O31" s="115"/>
      <c r="P31" s="120"/>
      <c r="Q31" s="38"/>
      <c r="R31" s="121"/>
      <c r="S31" s="39"/>
      <c r="T31" s="40"/>
      <c r="U31" s="33"/>
      <c r="V31" s="38"/>
    </row>
    <row r="32" spans="1:25" ht="17.25" x14ac:dyDescent="0.3">
      <c r="A32" s="10" t="s">
        <v>127</v>
      </c>
      <c r="B32" s="1">
        <v>1</v>
      </c>
      <c r="C32" s="115"/>
      <c r="D32" s="115"/>
      <c r="E32" s="115"/>
      <c r="F32" s="115">
        <v>3</v>
      </c>
      <c r="G32" s="115">
        <v>1</v>
      </c>
      <c r="H32" s="119">
        <v>0.3333333</v>
      </c>
      <c r="I32" s="115">
        <v>0</v>
      </c>
      <c r="J32" s="115">
        <v>0</v>
      </c>
      <c r="K32" s="115">
        <v>2</v>
      </c>
      <c r="L32" s="115">
        <v>0</v>
      </c>
      <c r="M32" s="115">
        <v>0</v>
      </c>
      <c r="N32" s="115">
        <v>0</v>
      </c>
      <c r="O32" s="115">
        <v>0</v>
      </c>
      <c r="P32" s="120">
        <f t="shared" ref="P32:P37" si="10">+O32*9/H32</f>
        <v>0</v>
      </c>
      <c r="Q32" s="38">
        <f>(K32+L32)/H32</f>
        <v>6.0000006000000603</v>
      </c>
      <c r="R32" s="121">
        <f>I32/H32</f>
        <v>0</v>
      </c>
      <c r="S32" s="39">
        <f>H32/B32</f>
        <v>0.3333333</v>
      </c>
      <c r="T32" s="40">
        <f>M32/H32</f>
        <v>0</v>
      </c>
      <c r="U32" s="33"/>
      <c r="V32" s="38">
        <f>(I32+K32+L32)/H32</f>
        <v>6.0000006000000603</v>
      </c>
    </row>
    <row r="33" spans="1:22" ht="17.25" x14ac:dyDescent="0.3">
      <c r="A33" s="10" t="s">
        <v>50</v>
      </c>
      <c r="B33" s="1">
        <v>2</v>
      </c>
      <c r="C33" s="115"/>
      <c r="D33" s="115"/>
      <c r="E33" s="115"/>
      <c r="F33" s="115">
        <v>9</v>
      </c>
      <c r="G33" s="115">
        <v>7</v>
      </c>
      <c r="H33" s="119">
        <v>1.66666</v>
      </c>
      <c r="I33" s="115">
        <v>1</v>
      </c>
      <c r="J33" s="115">
        <v>0</v>
      </c>
      <c r="K33" s="115">
        <v>4</v>
      </c>
      <c r="L33" s="115">
        <v>0</v>
      </c>
      <c r="M33" s="115">
        <v>0</v>
      </c>
      <c r="N33" s="115">
        <v>0</v>
      </c>
      <c r="O33" s="115">
        <v>3</v>
      </c>
      <c r="P33" s="120">
        <f t="shared" si="10"/>
        <v>16.200064800259202</v>
      </c>
      <c r="Q33" s="38">
        <f>(K33+L33)/H33</f>
        <v>2.4000096000384001</v>
      </c>
      <c r="R33" s="121">
        <f>I33/H33</f>
        <v>0.60000240000960003</v>
      </c>
      <c r="S33" s="39">
        <f>H33/B33</f>
        <v>0.83333000000000002</v>
      </c>
      <c r="T33" s="40">
        <f>M33/H33</f>
        <v>0</v>
      </c>
      <c r="U33" s="33"/>
      <c r="V33" s="38">
        <f>(I33+K33+L33)/H33</f>
        <v>3.0000120000480002</v>
      </c>
    </row>
    <row r="34" spans="1:22" ht="17.25" x14ac:dyDescent="0.3">
      <c r="A34" s="10" t="s">
        <v>33</v>
      </c>
      <c r="B34" s="1"/>
      <c r="C34" s="115"/>
      <c r="D34" s="115">
        <v>1</v>
      </c>
      <c r="E34" s="115"/>
      <c r="F34" s="115">
        <v>26</v>
      </c>
      <c r="G34" s="115">
        <v>22</v>
      </c>
      <c r="H34" s="119">
        <v>3</v>
      </c>
      <c r="I34" s="115">
        <v>14</v>
      </c>
      <c r="J34" s="115">
        <v>1</v>
      </c>
      <c r="K34" s="115">
        <v>1</v>
      </c>
      <c r="L34" s="115">
        <v>3</v>
      </c>
      <c r="M34" s="115">
        <v>5</v>
      </c>
      <c r="N34" s="115">
        <v>14</v>
      </c>
      <c r="O34" s="115">
        <v>11</v>
      </c>
      <c r="P34" s="120">
        <f t="shared" si="10"/>
        <v>33</v>
      </c>
      <c r="Q34" s="38"/>
      <c r="R34" s="121"/>
      <c r="S34" s="39"/>
      <c r="T34" s="40"/>
      <c r="U34" s="33"/>
      <c r="V34" s="38"/>
    </row>
    <row r="35" spans="1:22" ht="17.25" x14ac:dyDescent="0.3">
      <c r="A35" s="10" t="s">
        <v>126</v>
      </c>
      <c r="B35" s="1">
        <v>4</v>
      </c>
      <c r="C35" s="115"/>
      <c r="D35" s="115">
        <v>2</v>
      </c>
      <c r="E35" s="115"/>
      <c r="F35" s="115">
        <v>50</v>
      </c>
      <c r="G35" s="115">
        <v>41</v>
      </c>
      <c r="H35" s="119">
        <v>4.6666666666600003</v>
      </c>
      <c r="I35" s="115">
        <v>25</v>
      </c>
      <c r="J35" s="115">
        <v>2</v>
      </c>
      <c r="K35" s="115">
        <v>7</v>
      </c>
      <c r="L35" s="115">
        <v>2</v>
      </c>
      <c r="M35" s="115">
        <v>5</v>
      </c>
      <c r="N35" s="115">
        <v>31</v>
      </c>
      <c r="O35" s="115">
        <v>23</v>
      </c>
      <c r="P35" s="120">
        <f t="shared" si="10"/>
        <v>44.35714285720622</v>
      </c>
      <c r="Q35" s="38">
        <f>(K35+L35)/H35</f>
        <v>1.9285714285741835</v>
      </c>
      <c r="R35" s="121">
        <f>I35/H35</f>
        <v>5.3571428571505102</v>
      </c>
      <c r="S35" s="39">
        <f>H35/B35</f>
        <v>1.1666666666650001</v>
      </c>
      <c r="T35" s="40">
        <f>M35/H35</f>
        <v>1.071428571430102</v>
      </c>
      <c r="U35" s="33">
        <f>O35/N35</f>
        <v>0.74193548387096775</v>
      </c>
      <c r="V35" s="38">
        <f>(I35+K35+L35)/H35</f>
        <v>7.2857142857246933</v>
      </c>
    </row>
    <row r="36" spans="1:22" ht="17.25" x14ac:dyDescent="0.3">
      <c r="A36" s="10" t="s">
        <v>47</v>
      </c>
      <c r="B36" s="1">
        <v>1</v>
      </c>
      <c r="C36" s="115"/>
      <c r="D36" s="115"/>
      <c r="E36" s="115"/>
      <c r="F36" s="115">
        <v>3</v>
      </c>
      <c r="G36" s="115">
        <v>1</v>
      </c>
      <c r="H36" s="119">
        <v>0.33333332999999998</v>
      </c>
      <c r="I36" s="115">
        <v>0</v>
      </c>
      <c r="J36" s="115">
        <v>0</v>
      </c>
      <c r="K36" s="115">
        <v>2</v>
      </c>
      <c r="L36" s="115">
        <v>0</v>
      </c>
      <c r="M36" s="115">
        <v>0</v>
      </c>
      <c r="N36" s="115">
        <v>0</v>
      </c>
      <c r="O36" s="115">
        <v>0</v>
      </c>
      <c r="P36" s="120">
        <f t="shared" si="10"/>
        <v>0</v>
      </c>
      <c r="Q36" s="38">
        <f>(K36+L36)/H36</f>
        <v>6.0000000600000005</v>
      </c>
      <c r="R36" s="121">
        <f>I36/H36</f>
        <v>0</v>
      </c>
      <c r="S36" s="39">
        <f>H36/B36</f>
        <v>0.33333332999999998</v>
      </c>
      <c r="T36" s="40">
        <f>M36/H36</f>
        <v>0</v>
      </c>
      <c r="U36" s="33"/>
      <c r="V36" s="38">
        <f>(I36+K36+L36)/H36</f>
        <v>6.0000000600000005</v>
      </c>
    </row>
    <row r="37" spans="1:22" ht="17.25" x14ac:dyDescent="0.3">
      <c r="A37" s="10" t="s">
        <v>22</v>
      </c>
      <c r="B37" s="1">
        <v>4</v>
      </c>
      <c r="C37" s="115"/>
      <c r="D37" s="115">
        <v>1</v>
      </c>
      <c r="E37" s="115"/>
      <c r="F37" s="115">
        <v>40</v>
      </c>
      <c r="G37" s="115">
        <v>31</v>
      </c>
      <c r="H37" s="119">
        <v>6.6666666599999997</v>
      </c>
      <c r="I37" s="115">
        <v>9</v>
      </c>
      <c r="J37" s="115">
        <v>0</v>
      </c>
      <c r="K37" s="115">
        <v>8</v>
      </c>
      <c r="L37" s="115">
        <v>1</v>
      </c>
      <c r="M37" s="115">
        <v>16</v>
      </c>
      <c r="N37" s="115">
        <v>7</v>
      </c>
      <c r="O37" s="115">
        <v>6</v>
      </c>
      <c r="P37" s="120">
        <f t="shared" si="10"/>
        <v>8.1000000081000003</v>
      </c>
      <c r="Q37" s="38">
        <f>(K37+L37)/H37</f>
        <v>1.35000000135</v>
      </c>
      <c r="R37" s="121">
        <f>I37/H37</f>
        <v>1.35000000135</v>
      </c>
      <c r="S37" s="39">
        <f>H37/B37</f>
        <v>1.6666666649999999</v>
      </c>
      <c r="T37" s="40">
        <f>M37/H37</f>
        <v>2.4000000024000001</v>
      </c>
      <c r="U37" s="33">
        <f>O37/N37</f>
        <v>0.8571428571428571</v>
      </c>
      <c r="V37" s="38">
        <f>(I37+K37+L37)/H37</f>
        <v>2.7000000027</v>
      </c>
    </row>
    <row r="38" spans="1:22" ht="17.25" x14ac:dyDescent="0.3">
      <c r="A38" s="11" t="s">
        <v>10</v>
      </c>
      <c r="B38" s="11"/>
      <c r="C38" s="11">
        <f t="shared" ref="C38:O38" si="11">SUM(C28:C37)</f>
        <v>1</v>
      </c>
      <c r="D38" s="11">
        <f t="shared" si="11"/>
        <v>4</v>
      </c>
      <c r="E38" s="11">
        <f t="shared" si="11"/>
        <v>0</v>
      </c>
      <c r="F38" s="11">
        <f t="shared" si="11"/>
        <v>169</v>
      </c>
      <c r="G38" s="11">
        <f t="shared" si="11"/>
        <v>121</v>
      </c>
      <c r="H38" s="15">
        <f t="shared" si="11"/>
        <v>19.999993289989998</v>
      </c>
      <c r="I38" s="11">
        <f t="shared" si="11"/>
        <v>55</v>
      </c>
      <c r="J38" s="11">
        <f t="shared" si="11"/>
        <v>3</v>
      </c>
      <c r="K38" s="11">
        <f t="shared" si="11"/>
        <v>43</v>
      </c>
      <c r="L38" s="11">
        <f t="shared" si="11"/>
        <v>6</v>
      </c>
      <c r="M38" s="11">
        <f t="shared" si="11"/>
        <v>29</v>
      </c>
      <c r="N38" s="11">
        <f t="shared" si="11"/>
        <v>76</v>
      </c>
      <c r="O38" s="11">
        <f t="shared" si="11"/>
        <v>58</v>
      </c>
      <c r="P38" s="16">
        <f t="shared" ref="P38" si="12">+O38*9/H38</f>
        <v>26.100008756565991</v>
      </c>
      <c r="Q38" s="34">
        <f>(K38+L38)/H38</f>
        <v>2.4500008219765008</v>
      </c>
      <c r="R38" s="35">
        <f>I38/H38</f>
        <v>2.7500009226266848</v>
      </c>
      <c r="S38" s="35" t="e">
        <f t="shared" ref="S38" si="13">H38/B38</f>
        <v>#DIV/0!</v>
      </c>
      <c r="T38" s="36">
        <f>M38/H38</f>
        <v>1.4500004864758884</v>
      </c>
      <c r="U38" s="37">
        <f>O38/N38</f>
        <v>0.76315789473684215</v>
      </c>
      <c r="V38" s="34">
        <f>(I38+K38+L38)/H38</f>
        <v>5.2000017446031856</v>
      </c>
    </row>
  </sheetData>
  <phoneticPr fontId="10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E9F0-3F46-4AE0-B481-7908C0D341D0}">
  <dimension ref="A1:AC42"/>
  <sheetViews>
    <sheetView zoomScale="70" zoomScaleNormal="70" workbookViewId="0">
      <selection activeCell="A9" sqref="A9"/>
    </sheetView>
  </sheetViews>
  <sheetFormatPr defaultColWidth="9" defaultRowHeight="16.5" x14ac:dyDescent="0.3"/>
  <cols>
    <col min="1" max="18" width="8.125" customWidth="1"/>
    <col min="19" max="19" width="10.75" customWidth="1"/>
    <col min="20" max="20" width="8.125" customWidth="1"/>
    <col min="23" max="23" width="11.375" customWidth="1"/>
    <col min="24" max="24" width="2.625" customWidth="1"/>
    <col min="27" max="27" width="10.125" customWidth="1"/>
  </cols>
  <sheetData>
    <row r="1" spans="1:29" ht="26.25" x14ac:dyDescent="0.3">
      <c r="A1" s="24" t="s">
        <v>140</v>
      </c>
    </row>
    <row r="2" spans="1:29" ht="17.25" x14ac:dyDescent="0.3">
      <c r="A2" s="4" t="s">
        <v>1</v>
      </c>
    </row>
    <row r="3" spans="1:29" ht="34.5" x14ac:dyDescent="0.3">
      <c r="A3" s="10" t="s">
        <v>32</v>
      </c>
      <c r="B3" s="10" t="s">
        <v>13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79</v>
      </c>
      <c r="H3" s="10" t="s">
        <v>72</v>
      </c>
      <c r="I3" s="10" t="s">
        <v>0</v>
      </c>
      <c r="J3" s="10" t="s">
        <v>82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43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  <c r="W3" s="10" t="s">
        <v>116</v>
      </c>
      <c r="Y3" s="10" t="s">
        <v>146</v>
      </c>
      <c r="Z3" s="10" t="s">
        <v>89</v>
      </c>
      <c r="AA3" s="10" t="s">
        <v>151</v>
      </c>
      <c r="AB3" s="10" t="s">
        <v>88</v>
      </c>
      <c r="AC3" s="10" t="s">
        <v>147</v>
      </c>
    </row>
    <row r="4" spans="1:29" ht="17.25" x14ac:dyDescent="0.3">
      <c r="A4" s="10" t="s">
        <v>59</v>
      </c>
      <c r="B4" s="1">
        <v>2</v>
      </c>
      <c r="C4" s="122">
        <f t="shared" ref="C4:C27" si="0">+F4/E4</f>
        <v>0</v>
      </c>
      <c r="D4" s="115">
        <v>1</v>
      </c>
      <c r="E4" s="115">
        <v>1</v>
      </c>
      <c r="F4" s="115">
        <v>0</v>
      </c>
      <c r="G4" s="1">
        <f t="shared" ref="G4:G24" si="1">+F4-(H4+I4+J4)</f>
        <v>0</v>
      </c>
      <c r="H4" s="115">
        <v>0</v>
      </c>
      <c r="I4" s="115">
        <v>0</v>
      </c>
      <c r="J4" s="115">
        <v>0</v>
      </c>
      <c r="K4" s="115">
        <v>1</v>
      </c>
      <c r="L4" s="115">
        <v>0</v>
      </c>
      <c r="M4" s="115">
        <v>1</v>
      </c>
      <c r="N4" s="115">
        <f t="shared" ref="N4:N26" si="2">+Y4+Z4</f>
        <v>0</v>
      </c>
      <c r="O4" s="115">
        <v>1</v>
      </c>
      <c r="P4" s="79">
        <f>+O4/D4</f>
        <v>1</v>
      </c>
      <c r="Q4" s="46">
        <f>+(G4*1+H4*2+I4*3+J4*4)/E4</f>
        <v>0</v>
      </c>
      <c r="R4" s="2">
        <f t="shared" ref="R4:R24" si="3">+(F4+N4)/(D4-AA4)</f>
        <v>0</v>
      </c>
      <c r="S4" s="58">
        <f>+R4+Q4</f>
        <v>0</v>
      </c>
      <c r="T4" s="76">
        <f>O4/(D4-(F4+N4))</f>
        <v>1</v>
      </c>
      <c r="U4" s="61">
        <f>RANK(R4,$R$4:$R$26)</f>
        <v>15</v>
      </c>
      <c r="V4" s="69">
        <f>RANK(S4,$S$4:$S$26)</f>
        <v>15</v>
      </c>
      <c r="W4" s="112">
        <f>RANK(C4,$C$4:$C$26)</f>
        <v>14</v>
      </c>
      <c r="X4" s="96"/>
      <c r="Y4" s="25">
        <v>0</v>
      </c>
      <c r="Z4" s="25">
        <v>0</v>
      </c>
      <c r="AA4" s="25">
        <v>0</v>
      </c>
      <c r="AB4" s="25">
        <v>0</v>
      </c>
      <c r="AC4" s="25"/>
    </row>
    <row r="5" spans="1:29" ht="17.25" x14ac:dyDescent="0.3">
      <c r="A5" s="10" t="s">
        <v>34</v>
      </c>
      <c r="B5" s="1"/>
      <c r="C5" s="122"/>
      <c r="D5" s="115"/>
      <c r="E5" s="115"/>
      <c r="F5" s="115"/>
      <c r="G5" s="1">
        <f t="shared" si="1"/>
        <v>0</v>
      </c>
      <c r="H5" s="115"/>
      <c r="I5" s="115"/>
      <c r="J5" s="115"/>
      <c r="K5" s="115"/>
      <c r="L5" s="115"/>
      <c r="M5" s="115"/>
      <c r="N5" s="115">
        <f t="shared" si="2"/>
        <v>0</v>
      </c>
      <c r="O5" s="115"/>
      <c r="P5" s="79"/>
      <c r="Q5" s="46"/>
      <c r="R5" s="2"/>
      <c r="S5" s="58"/>
      <c r="T5" s="76"/>
      <c r="U5" s="61"/>
      <c r="V5" s="69"/>
      <c r="W5" s="112"/>
      <c r="X5" s="96"/>
      <c r="Y5" s="25"/>
      <c r="Z5" s="25"/>
      <c r="AA5" s="25"/>
      <c r="AB5" s="25"/>
      <c r="AC5" s="25"/>
    </row>
    <row r="6" spans="1:29" ht="17.25" x14ac:dyDescent="0.3">
      <c r="A6" s="10" t="s">
        <v>44</v>
      </c>
      <c r="B6" s="1">
        <v>7</v>
      </c>
      <c r="C6" s="122">
        <f t="shared" si="0"/>
        <v>0.61904761904761907</v>
      </c>
      <c r="D6" s="115">
        <v>24</v>
      </c>
      <c r="E6" s="115">
        <v>21</v>
      </c>
      <c r="F6" s="115">
        <v>13</v>
      </c>
      <c r="G6" s="1">
        <f t="shared" si="1"/>
        <v>7</v>
      </c>
      <c r="H6" s="115">
        <v>6</v>
      </c>
      <c r="I6" s="115">
        <v>0</v>
      </c>
      <c r="J6" s="115">
        <v>0</v>
      </c>
      <c r="K6" s="115">
        <v>11</v>
      </c>
      <c r="L6" s="115">
        <v>10</v>
      </c>
      <c r="M6" s="115">
        <v>9</v>
      </c>
      <c r="N6" s="115">
        <f t="shared" si="2"/>
        <v>2</v>
      </c>
      <c r="O6" s="115">
        <v>0</v>
      </c>
      <c r="P6" s="79">
        <f t="shared" ref="P6:P27" si="4">+O6/D6</f>
        <v>0</v>
      </c>
      <c r="Q6" s="46">
        <f t="shared" ref="Q6:Q26" si="5">+(G6*1+H6*2+I6*3+J6*4)/E6</f>
        <v>0.90476190476190477</v>
      </c>
      <c r="R6" s="2">
        <f t="shared" si="3"/>
        <v>0.625</v>
      </c>
      <c r="S6" s="58">
        <f t="shared" ref="S6:S26" si="6">+R6+Q6</f>
        <v>1.5297619047619047</v>
      </c>
      <c r="T6" s="76">
        <f t="shared" ref="T6:T26" si="7">O6/(D6-(F6+N6))</f>
        <v>0</v>
      </c>
      <c r="U6" s="61">
        <f>RANK(R6,$R$4:$R$26)</f>
        <v>3</v>
      </c>
      <c r="V6" s="69">
        <f>RANK(S6,$S$4:$S$26)</f>
        <v>1</v>
      </c>
      <c r="W6" s="112">
        <f>RANK(C6,$C$4:$C$26)</f>
        <v>1</v>
      </c>
      <c r="X6" s="96"/>
      <c r="Y6" s="25">
        <v>0</v>
      </c>
      <c r="Z6" s="25">
        <v>2</v>
      </c>
      <c r="AA6" s="25">
        <v>0</v>
      </c>
      <c r="AB6" s="25">
        <v>0</v>
      </c>
      <c r="AC6" s="25"/>
    </row>
    <row r="7" spans="1:29" ht="17.25" x14ac:dyDescent="0.3">
      <c r="A7" s="10" t="s">
        <v>9</v>
      </c>
      <c r="B7" s="1"/>
      <c r="C7" s="122"/>
      <c r="D7" s="115"/>
      <c r="E7" s="115"/>
      <c r="F7" s="115"/>
      <c r="G7" s="1">
        <f t="shared" si="1"/>
        <v>0</v>
      </c>
      <c r="H7" s="115"/>
      <c r="I7" s="115"/>
      <c r="J7" s="115"/>
      <c r="K7" s="115"/>
      <c r="L7" s="115"/>
      <c r="M7" s="115"/>
      <c r="N7" s="115">
        <f t="shared" si="2"/>
        <v>0</v>
      </c>
      <c r="O7" s="115"/>
      <c r="P7" s="79"/>
      <c r="Q7" s="46"/>
      <c r="R7" s="2"/>
      <c r="S7" s="58"/>
      <c r="T7" s="76"/>
      <c r="U7" s="61"/>
      <c r="V7" s="69"/>
      <c r="W7" s="112"/>
      <c r="X7" s="96"/>
      <c r="Y7" s="25"/>
      <c r="Z7" s="25"/>
      <c r="AA7" s="25"/>
      <c r="AB7" s="25"/>
      <c r="AC7" s="25"/>
    </row>
    <row r="8" spans="1:29" ht="17.25" x14ac:dyDescent="0.3">
      <c r="A8" s="10" t="s">
        <v>4</v>
      </c>
      <c r="B8" s="1">
        <v>3</v>
      </c>
      <c r="C8" s="122">
        <f t="shared" si="0"/>
        <v>0</v>
      </c>
      <c r="D8" s="115">
        <v>3</v>
      </c>
      <c r="E8" s="115">
        <v>1</v>
      </c>
      <c r="F8" s="115">
        <v>0</v>
      </c>
      <c r="G8" s="1">
        <f t="shared" si="1"/>
        <v>0</v>
      </c>
      <c r="H8" s="115">
        <v>0</v>
      </c>
      <c r="I8" s="115">
        <v>0</v>
      </c>
      <c r="J8" s="115">
        <v>0</v>
      </c>
      <c r="K8" s="115">
        <v>2</v>
      </c>
      <c r="L8" s="115">
        <v>0</v>
      </c>
      <c r="M8" s="115">
        <v>1</v>
      </c>
      <c r="N8" s="115">
        <f t="shared" si="2"/>
        <v>2</v>
      </c>
      <c r="O8" s="115">
        <v>1</v>
      </c>
      <c r="P8" s="79">
        <f t="shared" si="4"/>
        <v>0.33333333333333331</v>
      </c>
      <c r="Q8" s="46">
        <f t="shared" si="5"/>
        <v>0</v>
      </c>
      <c r="R8" s="2">
        <f t="shared" si="3"/>
        <v>0.66666666666666663</v>
      </c>
      <c r="S8" s="58">
        <f t="shared" si="6"/>
        <v>0.66666666666666663</v>
      </c>
      <c r="T8" s="76">
        <f t="shared" si="7"/>
        <v>1</v>
      </c>
      <c r="U8" s="61">
        <f>RANK(R8,$R$4:$R$26)</f>
        <v>1</v>
      </c>
      <c r="V8" s="69">
        <f>RANK(S8,$S$4:$S$26)</f>
        <v>12</v>
      </c>
      <c r="W8" s="112">
        <f>RANK(C8,$C$4:$C$26)</f>
        <v>14</v>
      </c>
      <c r="X8" s="96"/>
      <c r="Y8" s="25">
        <v>2</v>
      </c>
      <c r="Z8" s="25">
        <v>0</v>
      </c>
      <c r="AA8" s="25">
        <v>0</v>
      </c>
      <c r="AB8" s="25">
        <v>0</v>
      </c>
      <c r="AC8" s="25"/>
    </row>
    <row r="9" spans="1:29" ht="17.25" x14ac:dyDescent="0.3">
      <c r="A9" s="10" t="s">
        <v>51</v>
      </c>
      <c r="B9" s="1">
        <v>5</v>
      </c>
      <c r="C9" s="122">
        <f t="shared" si="0"/>
        <v>0.55555555555555558</v>
      </c>
      <c r="D9" s="115">
        <v>11</v>
      </c>
      <c r="E9" s="115">
        <v>9</v>
      </c>
      <c r="F9" s="115">
        <v>5</v>
      </c>
      <c r="G9" s="1">
        <f t="shared" si="1"/>
        <v>5</v>
      </c>
      <c r="H9" s="115">
        <v>0</v>
      </c>
      <c r="I9" s="115">
        <v>0</v>
      </c>
      <c r="J9" s="115">
        <v>0</v>
      </c>
      <c r="K9" s="115">
        <v>5</v>
      </c>
      <c r="L9" s="115">
        <v>3</v>
      </c>
      <c r="M9" s="115">
        <v>2</v>
      </c>
      <c r="N9" s="115">
        <f t="shared" si="2"/>
        <v>1</v>
      </c>
      <c r="O9" s="115">
        <v>0</v>
      </c>
      <c r="P9" s="79">
        <f t="shared" si="4"/>
        <v>0</v>
      </c>
      <c r="Q9" s="46">
        <f t="shared" si="5"/>
        <v>0.55555555555555558</v>
      </c>
      <c r="R9" s="2">
        <f t="shared" si="3"/>
        <v>0.54545454545454541</v>
      </c>
      <c r="S9" s="58">
        <f t="shared" si="6"/>
        <v>1.101010101010101</v>
      </c>
      <c r="T9" s="76">
        <f t="shared" si="7"/>
        <v>0</v>
      </c>
      <c r="U9" s="61">
        <f>RANK(R9,$R$4:$R$26)</f>
        <v>9</v>
      </c>
      <c r="V9" s="69">
        <f>RANK(S9,$S$4:$S$26)</f>
        <v>7</v>
      </c>
      <c r="W9" s="112">
        <f>RANK(C9,$C$4:$C$26)</f>
        <v>3</v>
      </c>
      <c r="X9" s="96"/>
      <c r="Y9" s="25">
        <v>0</v>
      </c>
      <c r="Z9" s="25">
        <v>1</v>
      </c>
      <c r="AA9" s="25">
        <v>0</v>
      </c>
      <c r="AB9" s="25">
        <v>0</v>
      </c>
      <c r="AC9" s="25"/>
    </row>
    <row r="10" spans="1:29" ht="17.25" x14ac:dyDescent="0.3">
      <c r="A10" s="10" t="s">
        <v>138</v>
      </c>
      <c r="B10" s="1"/>
      <c r="C10" s="122"/>
      <c r="D10" s="115"/>
      <c r="E10" s="115"/>
      <c r="F10" s="115"/>
      <c r="G10" s="1">
        <f t="shared" si="1"/>
        <v>0</v>
      </c>
      <c r="H10" s="115"/>
      <c r="I10" s="115"/>
      <c r="J10" s="115"/>
      <c r="K10" s="115"/>
      <c r="L10" s="115"/>
      <c r="M10" s="115"/>
      <c r="N10" s="115">
        <f t="shared" si="2"/>
        <v>0</v>
      </c>
      <c r="O10" s="115"/>
      <c r="P10" s="79"/>
      <c r="Q10" s="46"/>
      <c r="R10" s="2"/>
      <c r="S10" s="58"/>
      <c r="T10" s="76"/>
      <c r="U10" s="61"/>
      <c r="V10" s="69"/>
      <c r="W10" s="112"/>
      <c r="X10" s="96"/>
      <c r="Y10" s="25"/>
      <c r="Z10" s="25"/>
      <c r="AA10" s="25"/>
      <c r="AB10" s="25"/>
      <c r="AC10" s="25"/>
    </row>
    <row r="11" spans="1:29" ht="17.25" x14ac:dyDescent="0.3">
      <c r="A11" s="10" t="s">
        <v>25</v>
      </c>
      <c r="B11" s="1">
        <v>7</v>
      </c>
      <c r="C11" s="122">
        <f t="shared" si="0"/>
        <v>0.54545454545454541</v>
      </c>
      <c r="D11" s="115">
        <v>25</v>
      </c>
      <c r="E11" s="115">
        <v>22</v>
      </c>
      <c r="F11" s="115">
        <v>12</v>
      </c>
      <c r="G11" s="1">
        <f t="shared" si="1"/>
        <v>10</v>
      </c>
      <c r="H11" s="115">
        <v>1</v>
      </c>
      <c r="I11" s="115">
        <v>1</v>
      </c>
      <c r="J11" s="115">
        <v>0</v>
      </c>
      <c r="K11" s="115">
        <v>15</v>
      </c>
      <c r="L11" s="115">
        <v>7</v>
      </c>
      <c r="M11" s="115">
        <v>14</v>
      </c>
      <c r="N11" s="115">
        <f t="shared" si="2"/>
        <v>2</v>
      </c>
      <c r="O11" s="115">
        <v>2</v>
      </c>
      <c r="P11" s="79">
        <f t="shared" si="4"/>
        <v>0.08</v>
      </c>
      <c r="Q11" s="46">
        <f t="shared" si="5"/>
        <v>0.68181818181818177</v>
      </c>
      <c r="R11" s="2">
        <f t="shared" si="3"/>
        <v>0.56000000000000005</v>
      </c>
      <c r="S11" s="58">
        <f t="shared" si="6"/>
        <v>1.2418181818181817</v>
      </c>
      <c r="T11" s="76">
        <f t="shared" si="7"/>
        <v>0.18181818181818182</v>
      </c>
      <c r="U11" s="61">
        <f t="shared" ref="U11:U17" si="8">RANK(R11,$R$4:$R$26)</f>
        <v>7</v>
      </c>
      <c r="V11" s="69">
        <f t="shared" ref="V11:V17" si="9">RANK(S11,$S$4:$S$26)</f>
        <v>4</v>
      </c>
      <c r="W11" s="112">
        <f t="shared" ref="W11:W17" si="10">RANK(C11,$C$4:$C$26)</f>
        <v>5</v>
      </c>
      <c r="X11" s="96"/>
      <c r="Y11" s="25">
        <v>0</v>
      </c>
      <c r="Z11" s="25">
        <v>2</v>
      </c>
      <c r="AA11" s="25">
        <v>0</v>
      </c>
      <c r="AB11" s="25">
        <v>0</v>
      </c>
      <c r="AC11" s="25"/>
    </row>
    <row r="12" spans="1:29" ht="17.25" x14ac:dyDescent="0.3">
      <c r="A12" s="10" t="s">
        <v>21</v>
      </c>
      <c r="B12" s="1">
        <v>5</v>
      </c>
      <c r="C12" s="122">
        <f t="shared" si="0"/>
        <v>0.42857142857142855</v>
      </c>
      <c r="D12" s="115">
        <v>18</v>
      </c>
      <c r="E12" s="115">
        <v>14</v>
      </c>
      <c r="F12" s="115">
        <v>6</v>
      </c>
      <c r="G12" s="1">
        <f t="shared" si="1"/>
        <v>5</v>
      </c>
      <c r="H12" s="115">
        <v>1</v>
      </c>
      <c r="I12" s="115">
        <v>0</v>
      </c>
      <c r="J12" s="115">
        <v>0</v>
      </c>
      <c r="K12" s="115">
        <v>7</v>
      </c>
      <c r="L12" s="115">
        <v>3</v>
      </c>
      <c r="M12" s="115">
        <v>7</v>
      </c>
      <c r="N12" s="115">
        <f t="shared" si="2"/>
        <v>4</v>
      </c>
      <c r="O12" s="115">
        <v>4</v>
      </c>
      <c r="P12" s="79">
        <f t="shared" si="4"/>
        <v>0.22222222222222221</v>
      </c>
      <c r="Q12" s="46">
        <f t="shared" si="5"/>
        <v>0.5</v>
      </c>
      <c r="R12" s="2">
        <f t="shared" si="3"/>
        <v>0.55555555555555558</v>
      </c>
      <c r="S12" s="58">
        <f t="shared" si="6"/>
        <v>1.0555555555555556</v>
      </c>
      <c r="T12" s="76">
        <f t="shared" si="7"/>
        <v>0.5</v>
      </c>
      <c r="U12" s="61">
        <f t="shared" si="8"/>
        <v>8</v>
      </c>
      <c r="V12" s="69">
        <f t="shared" si="9"/>
        <v>8</v>
      </c>
      <c r="W12" s="112">
        <f t="shared" si="10"/>
        <v>8</v>
      </c>
      <c r="X12" s="96"/>
      <c r="Y12" s="25">
        <v>4</v>
      </c>
      <c r="Z12" s="25">
        <v>0</v>
      </c>
      <c r="AA12" s="25">
        <v>0</v>
      </c>
      <c r="AB12" s="25">
        <v>0</v>
      </c>
      <c r="AC12" s="25"/>
    </row>
    <row r="13" spans="1:29" ht="17.25" x14ac:dyDescent="0.3">
      <c r="A13" s="10" t="s">
        <v>8</v>
      </c>
      <c r="B13" s="1">
        <v>3</v>
      </c>
      <c r="C13" s="122">
        <f t="shared" si="0"/>
        <v>0.6</v>
      </c>
      <c r="D13" s="115">
        <v>6</v>
      </c>
      <c r="E13" s="115">
        <v>5</v>
      </c>
      <c r="F13" s="115">
        <v>3</v>
      </c>
      <c r="G13" s="1">
        <f t="shared" si="1"/>
        <v>3</v>
      </c>
      <c r="H13" s="115">
        <v>0</v>
      </c>
      <c r="I13" s="115">
        <v>0</v>
      </c>
      <c r="J13" s="115">
        <v>0</v>
      </c>
      <c r="K13" s="115">
        <v>1</v>
      </c>
      <c r="L13" s="115">
        <v>2</v>
      </c>
      <c r="M13" s="115">
        <v>2</v>
      </c>
      <c r="N13" s="115">
        <f t="shared" si="2"/>
        <v>1</v>
      </c>
      <c r="O13" s="115">
        <v>1</v>
      </c>
      <c r="P13" s="79">
        <f t="shared" si="4"/>
        <v>0.16666666666666666</v>
      </c>
      <c r="Q13" s="46">
        <f t="shared" si="5"/>
        <v>0.6</v>
      </c>
      <c r="R13" s="2">
        <f t="shared" si="3"/>
        <v>0.66666666666666663</v>
      </c>
      <c r="S13" s="58">
        <f t="shared" si="6"/>
        <v>1.2666666666666666</v>
      </c>
      <c r="T13" s="76">
        <f t="shared" si="7"/>
        <v>0.5</v>
      </c>
      <c r="U13" s="61">
        <f t="shared" si="8"/>
        <v>1</v>
      </c>
      <c r="V13" s="69">
        <f t="shared" si="9"/>
        <v>3</v>
      </c>
      <c r="W13" s="112">
        <f t="shared" si="10"/>
        <v>2</v>
      </c>
      <c r="X13" s="96"/>
      <c r="Y13" s="25">
        <v>1</v>
      </c>
      <c r="Z13" s="25">
        <v>0</v>
      </c>
      <c r="AA13" s="25">
        <v>0</v>
      </c>
      <c r="AB13" s="25">
        <v>0</v>
      </c>
      <c r="AC13" s="25"/>
    </row>
    <row r="14" spans="1:29" ht="17.25" x14ac:dyDescent="0.3">
      <c r="A14" s="10" t="s">
        <v>15</v>
      </c>
      <c r="B14" s="1">
        <v>7</v>
      </c>
      <c r="C14" s="122">
        <f t="shared" si="0"/>
        <v>0.55000000000000004</v>
      </c>
      <c r="D14" s="115">
        <v>23</v>
      </c>
      <c r="E14" s="115">
        <v>20</v>
      </c>
      <c r="F14" s="115">
        <v>11</v>
      </c>
      <c r="G14" s="1">
        <f t="shared" si="1"/>
        <v>6</v>
      </c>
      <c r="H14" s="115">
        <v>4</v>
      </c>
      <c r="I14" s="115">
        <v>1</v>
      </c>
      <c r="J14" s="115">
        <v>0</v>
      </c>
      <c r="K14" s="115">
        <v>11</v>
      </c>
      <c r="L14" s="115">
        <v>11</v>
      </c>
      <c r="M14" s="115">
        <v>8</v>
      </c>
      <c r="N14" s="115">
        <f t="shared" si="2"/>
        <v>3</v>
      </c>
      <c r="O14" s="115">
        <v>1</v>
      </c>
      <c r="P14" s="79">
        <f t="shared" si="4"/>
        <v>4.3478260869565216E-2</v>
      </c>
      <c r="Q14" s="46">
        <f t="shared" si="5"/>
        <v>0.85</v>
      </c>
      <c r="R14" s="2">
        <f t="shared" si="3"/>
        <v>0.60869565217391308</v>
      </c>
      <c r="S14" s="58">
        <f t="shared" si="6"/>
        <v>1.4586956521739132</v>
      </c>
      <c r="T14" s="76">
        <f t="shared" si="7"/>
        <v>0.1111111111111111</v>
      </c>
      <c r="U14" s="61">
        <f t="shared" si="8"/>
        <v>4</v>
      </c>
      <c r="V14" s="69">
        <f t="shared" si="9"/>
        <v>2</v>
      </c>
      <c r="W14" s="112">
        <f t="shared" si="10"/>
        <v>4</v>
      </c>
      <c r="X14" s="96"/>
      <c r="Y14" s="25">
        <v>2</v>
      </c>
      <c r="Z14" s="25">
        <v>1</v>
      </c>
      <c r="AA14" s="25">
        <v>0</v>
      </c>
      <c r="AB14" s="25">
        <v>0</v>
      </c>
      <c r="AC14" s="25"/>
    </row>
    <row r="15" spans="1:29" ht="17.25" x14ac:dyDescent="0.3">
      <c r="A15" s="10" t="s">
        <v>23</v>
      </c>
      <c r="B15" s="1">
        <v>4</v>
      </c>
      <c r="C15" s="122">
        <f t="shared" si="0"/>
        <v>0.27272727272727271</v>
      </c>
      <c r="D15" s="115">
        <v>12</v>
      </c>
      <c r="E15" s="115">
        <v>11</v>
      </c>
      <c r="F15" s="115">
        <v>3</v>
      </c>
      <c r="G15" s="1">
        <f t="shared" si="1"/>
        <v>3</v>
      </c>
      <c r="H15" s="115">
        <v>0</v>
      </c>
      <c r="I15" s="115">
        <v>0</v>
      </c>
      <c r="J15" s="115">
        <v>0</v>
      </c>
      <c r="K15" s="115">
        <v>2</v>
      </c>
      <c r="L15" s="115">
        <v>0</v>
      </c>
      <c r="M15" s="115">
        <v>3</v>
      </c>
      <c r="N15" s="115">
        <f t="shared" si="2"/>
        <v>1</v>
      </c>
      <c r="O15" s="115">
        <v>3</v>
      </c>
      <c r="P15" s="79">
        <f t="shared" si="4"/>
        <v>0.25</v>
      </c>
      <c r="Q15" s="46">
        <f t="shared" si="5"/>
        <v>0.27272727272727271</v>
      </c>
      <c r="R15" s="2">
        <f t="shared" si="3"/>
        <v>0.33333333333333331</v>
      </c>
      <c r="S15" s="58">
        <f t="shared" si="6"/>
        <v>0.60606060606060597</v>
      </c>
      <c r="T15" s="76">
        <f t="shared" si="7"/>
        <v>0.375</v>
      </c>
      <c r="U15" s="61">
        <f t="shared" si="8"/>
        <v>13</v>
      </c>
      <c r="V15" s="69">
        <f t="shared" si="9"/>
        <v>13</v>
      </c>
      <c r="W15" s="112">
        <f t="shared" si="10"/>
        <v>12</v>
      </c>
      <c r="X15" s="96"/>
      <c r="Y15" s="25">
        <v>0</v>
      </c>
      <c r="Z15" s="25">
        <v>1</v>
      </c>
      <c r="AA15" s="25">
        <v>0</v>
      </c>
      <c r="AB15" s="25">
        <v>0</v>
      </c>
      <c r="AC15" s="25"/>
    </row>
    <row r="16" spans="1:29" ht="17.25" x14ac:dyDescent="0.3">
      <c r="A16" s="43" t="s">
        <v>50</v>
      </c>
      <c r="B16" s="1">
        <v>6</v>
      </c>
      <c r="C16" s="122">
        <f t="shared" si="0"/>
        <v>0.18181818181818182</v>
      </c>
      <c r="D16" s="115">
        <v>13</v>
      </c>
      <c r="E16" s="115">
        <v>11</v>
      </c>
      <c r="F16" s="115">
        <v>2</v>
      </c>
      <c r="G16" s="1">
        <f t="shared" si="1"/>
        <v>2</v>
      </c>
      <c r="H16" s="115">
        <v>0</v>
      </c>
      <c r="I16" s="115">
        <v>0</v>
      </c>
      <c r="J16" s="115">
        <v>0</v>
      </c>
      <c r="K16" s="115">
        <v>1</v>
      </c>
      <c r="L16" s="115">
        <v>2</v>
      </c>
      <c r="M16" s="115">
        <v>1</v>
      </c>
      <c r="N16" s="115">
        <f t="shared" si="2"/>
        <v>1</v>
      </c>
      <c r="O16" s="115">
        <v>1</v>
      </c>
      <c r="P16" s="79">
        <f t="shared" si="4"/>
        <v>7.6923076923076927E-2</v>
      </c>
      <c r="Q16" s="46">
        <f t="shared" si="5"/>
        <v>0.18181818181818182</v>
      </c>
      <c r="R16" s="2">
        <f t="shared" si="3"/>
        <v>0.23076923076923078</v>
      </c>
      <c r="S16" s="58">
        <f t="shared" si="6"/>
        <v>0.41258741258741261</v>
      </c>
      <c r="T16" s="76">
        <f t="shared" si="7"/>
        <v>0.1</v>
      </c>
      <c r="U16" s="61">
        <f t="shared" si="8"/>
        <v>14</v>
      </c>
      <c r="V16" s="69">
        <f t="shared" si="9"/>
        <v>14</v>
      </c>
      <c r="W16" s="112">
        <f t="shared" si="10"/>
        <v>13</v>
      </c>
      <c r="X16" s="96"/>
      <c r="Y16" s="25">
        <v>1</v>
      </c>
      <c r="Z16" s="25">
        <v>0</v>
      </c>
      <c r="AA16" s="25">
        <v>0</v>
      </c>
      <c r="AB16" s="25">
        <v>0</v>
      </c>
      <c r="AC16" s="25"/>
    </row>
    <row r="17" spans="1:29" ht="17.25" x14ac:dyDescent="0.3">
      <c r="A17" s="133" t="s">
        <v>33</v>
      </c>
      <c r="B17" s="1">
        <v>3</v>
      </c>
      <c r="C17" s="122">
        <f t="shared" si="0"/>
        <v>0.375</v>
      </c>
      <c r="D17" s="115">
        <v>9</v>
      </c>
      <c r="E17" s="115">
        <v>8</v>
      </c>
      <c r="F17" s="115">
        <v>3</v>
      </c>
      <c r="G17" s="1">
        <f t="shared" si="1"/>
        <v>2</v>
      </c>
      <c r="H17" s="115">
        <v>1</v>
      </c>
      <c r="I17" s="115">
        <v>0</v>
      </c>
      <c r="J17" s="115">
        <v>0</v>
      </c>
      <c r="K17" s="115">
        <v>1</v>
      </c>
      <c r="L17" s="115">
        <v>2</v>
      </c>
      <c r="M17" s="115">
        <v>4</v>
      </c>
      <c r="N17" s="115">
        <f t="shared" si="2"/>
        <v>1</v>
      </c>
      <c r="O17" s="115">
        <v>1</v>
      </c>
      <c r="P17" s="79">
        <f t="shared" si="4"/>
        <v>0.1111111111111111</v>
      </c>
      <c r="Q17" s="46">
        <f t="shared" si="5"/>
        <v>0.5</v>
      </c>
      <c r="R17" s="2">
        <f t="shared" si="3"/>
        <v>0.44444444444444442</v>
      </c>
      <c r="S17" s="58">
        <f t="shared" si="6"/>
        <v>0.94444444444444442</v>
      </c>
      <c r="T17" s="76">
        <f t="shared" si="7"/>
        <v>0.2</v>
      </c>
      <c r="U17" s="61">
        <f t="shared" si="8"/>
        <v>11</v>
      </c>
      <c r="V17" s="69">
        <f t="shared" si="9"/>
        <v>11</v>
      </c>
      <c r="W17" s="112">
        <f t="shared" si="10"/>
        <v>10</v>
      </c>
      <c r="X17" s="96"/>
      <c r="Y17" s="25">
        <v>1</v>
      </c>
      <c r="Z17" s="25">
        <v>0</v>
      </c>
      <c r="AA17" s="25">
        <v>0</v>
      </c>
      <c r="AB17" s="25">
        <v>0</v>
      </c>
      <c r="AC17" s="25"/>
    </row>
    <row r="18" spans="1:29" ht="17.25" x14ac:dyDescent="0.3">
      <c r="A18" s="10" t="s">
        <v>60</v>
      </c>
      <c r="B18" s="1"/>
      <c r="C18" s="122"/>
      <c r="D18" s="115"/>
      <c r="E18" s="115"/>
      <c r="F18" s="115"/>
      <c r="G18" s="1">
        <f t="shared" si="1"/>
        <v>0</v>
      </c>
      <c r="H18" s="115"/>
      <c r="I18" s="115"/>
      <c r="J18" s="115"/>
      <c r="K18" s="115"/>
      <c r="L18" s="115"/>
      <c r="M18" s="115"/>
      <c r="N18" s="115">
        <f t="shared" si="2"/>
        <v>0</v>
      </c>
      <c r="O18" s="115"/>
      <c r="P18" s="79"/>
      <c r="Q18" s="46"/>
      <c r="R18" s="2"/>
      <c r="S18" s="58"/>
      <c r="T18" s="76"/>
      <c r="U18" s="61"/>
      <c r="V18" s="69"/>
      <c r="W18" s="112"/>
      <c r="X18" s="96"/>
      <c r="Y18" s="25"/>
      <c r="Z18" s="25"/>
      <c r="AA18" s="25"/>
      <c r="AB18" s="25"/>
      <c r="AC18" s="25"/>
    </row>
    <row r="19" spans="1:29" ht="17.25" x14ac:dyDescent="0.3">
      <c r="A19" s="10" t="s">
        <v>12</v>
      </c>
      <c r="B19" s="1">
        <v>5</v>
      </c>
      <c r="C19" s="122">
        <f t="shared" si="0"/>
        <v>0.5</v>
      </c>
      <c r="D19" s="115">
        <v>15</v>
      </c>
      <c r="E19" s="115">
        <v>12</v>
      </c>
      <c r="F19" s="115">
        <v>6</v>
      </c>
      <c r="G19" s="1">
        <f t="shared" si="1"/>
        <v>5</v>
      </c>
      <c r="H19" s="115">
        <v>1</v>
      </c>
      <c r="I19" s="115">
        <v>0</v>
      </c>
      <c r="J19" s="115">
        <v>0</v>
      </c>
      <c r="K19" s="115">
        <v>4</v>
      </c>
      <c r="L19" s="115">
        <v>2</v>
      </c>
      <c r="M19" s="115">
        <v>2</v>
      </c>
      <c r="N19" s="115">
        <f t="shared" si="2"/>
        <v>2</v>
      </c>
      <c r="O19" s="115">
        <v>3</v>
      </c>
      <c r="P19" s="79">
        <f t="shared" si="4"/>
        <v>0.2</v>
      </c>
      <c r="Q19" s="46">
        <f t="shared" si="5"/>
        <v>0.58333333333333337</v>
      </c>
      <c r="R19" s="2">
        <f t="shared" si="3"/>
        <v>0.53333333333333333</v>
      </c>
      <c r="S19" s="58">
        <f t="shared" si="6"/>
        <v>1.1166666666666667</v>
      </c>
      <c r="T19" s="76">
        <f t="shared" si="7"/>
        <v>0.42857142857142855</v>
      </c>
      <c r="U19" s="61">
        <f>RANK(R19,$R$4:$R$26)</f>
        <v>10</v>
      </c>
      <c r="V19" s="69">
        <f>RANK(S19,$S$4:$S$26)</f>
        <v>6</v>
      </c>
      <c r="W19" s="112">
        <f>RANK(C19,$C$4:$C$26)</f>
        <v>7</v>
      </c>
      <c r="X19" s="96"/>
      <c r="Y19" s="25">
        <v>2</v>
      </c>
      <c r="Z19" s="25">
        <v>0</v>
      </c>
      <c r="AA19" s="25">
        <v>0</v>
      </c>
      <c r="AB19" s="25">
        <v>0</v>
      </c>
      <c r="AC19" s="25"/>
    </row>
    <row r="20" spans="1:29" ht="17.25" x14ac:dyDescent="0.3">
      <c r="A20" s="10" t="s">
        <v>157</v>
      </c>
      <c r="B20" s="1"/>
      <c r="C20" s="122"/>
      <c r="D20" s="115"/>
      <c r="E20" s="115"/>
      <c r="F20" s="115"/>
      <c r="G20" s="1"/>
      <c r="H20" s="115"/>
      <c r="I20" s="115"/>
      <c r="J20" s="115"/>
      <c r="K20" s="115"/>
      <c r="L20" s="115"/>
      <c r="M20" s="115"/>
      <c r="N20" s="115"/>
      <c r="O20" s="115"/>
      <c r="P20" s="79"/>
      <c r="Q20" s="46"/>
      <c r="R20" s="2"/>
      <c r="S20" s="58"/>
      <c r="T20" s="76"/>
      <c r="U20" s="61"/>
      <c r="V20" s="69"/>
      <c r="W20" s="112"/>
      <c r="X20" s="96"/>
      <c r="Y20" s="25"/>
      <c r="Z20" s="25"/>
      <c r="AA20" s="25"/>
      <c r="AB20" s="25"/>
      <c r="AC20" s="25"/>
    </row>
    <row r="21" spans="1:29" ht="17.25" x14ac:dyDescent="0.3">
      <c r="A21" s="10" t="s">
        <v>24</v>
      </c>
      <c r="B21" s="1">
        <v>3</v>
      </c>
      <c r="C21" s="122">
        <f t="shared" si="0"/>
        <v>0.4</v>
      </c>
      <c r="D21" s="115">
        <v>7</v>
      </c>
      <c r="E21" s="115">
        <v>5</v>
      </c>
      <c r="F21" s="115">
        <v>2</v>
      </c>
      <c r="G21" s="1">
        <f t="shared" si="1"/>
        <v>2</v>
      </c>
      <c r="H21" s="115">
        <v>0</v>
      </c>
      <c r="I21" s="115">
        <v>0</v>
      </c>
      <c r="J21" s="115">
        <v>0</v>
      </c>
      <c r="K21" s="115">
        <v>2</v>
      </c>
      <c r="L21" s="115">
        <v>3</v>
      </c>
      <c r="M21" s="115">
        <v>3</v>
      </c>
      <c r="N21" s="115">
        <f t="shared" si="2"/>
        <v>2</v>
      </c>
      <c r="O21" s="115">
        <v>0</v>
      </c>
      <c r="P21" s="79">
        <f t="shared" si="4"/>
        <v>0</v>
      </c>
      <c r="Q21" s="46">
        <f t="shared" si="5"/>
        <v>0.4</v>
      </c>
      <c r="R21" s="2">
        <f t="shared" si="3"/>
        <v>0.5714285714285714</v>
      </c>
      <c r="S21" s="58">
        <f t="shared" si="6"/>
        <v>0.97142857142857142</v>
      </c>
      <c r="T21" s="76">
        <f t="shared" si="7"/>
        <v>0</v>
      </c>
      <c r="U21" s="61">
        <f>RANK(R21,$R$4:$R$26)</f>
        <v>6</v>
      </c>
      <c r="V21" s="69">
        <f>RANK(S21,$S$4:$S$26)</f>
        <v>10</v>
      </c>
      <c r="W21" s="112">
        <f>RANK(C21,$C$4:$C$26)</f>
        <v>9</v>
      </c>
      <c r="X21" s="96"/>
      <c r="Y21" s="25">
        <v>1</v>
      </c>
      <c r="Z21" s="25">
        <v>1</v>
      </c>
      <c r="AA21" s="25">
        <v>0</v>
      </c>
      <c r="AB21" s="25">
        <v>0</v>
      </c>
      <c r="AC21" s="25"/>
    </row>
    <row r="22" spans="1:29" ht="17.25" x14ac:dyDescent="0.3">
      <c r="A22" s="10" t="s">
        <v>14</v>
      </c>
      <c r="B22" s="1"/>
      <c r="C22" s="122"/>
      <c r="D22" s="115"/>
      <c r="E22" s="115"/>
      <c r="F22" s="115"/>
      <c r="G22" s="1">
        <f t="shared" si="1"/>
        <v>0</v>
      </c>
      <c r="H22" s="115"/>
      <c r="I22" s="115"/>
      <c r="J22" s="115"/>
      <c r="K22" s="115"/>
      <c r="L22" s="115"/>
      <c r="M22" s="115"/>
      <c r="N22" s="115">
        <f t="shared" si="2"/>
        <v>0</v>
      </c>
      <c r="O22" s="115"/>
      <c r="P22" s="79"/>
      <c r="Q22" s="46"/>
      <c r="R22" s="2"/>
      <c r="S22" s="58"/>
      <c r="T22" s="76"/>
      <c r="U22" s="61"/>
      <c r="V22" s="69"/>
      <c r="W22" s="112"/>
      <c r="X22" s="96"/>
      <c r="Y22" s="25"/>
      <c r="Z22" s="25"/>
      <c r="AA22" s="25"/>
      <c r="AB22" s="25"/>
      <c r="AC22" s="25"/>
    </row>
    <row r="23" spans="1:29" ht="17.25" x14ac:dyDescent="0.3">
      <c r="A23" s="10" t="s">
        <v>47</v>
      </c>
      <c r="B23" s="1"/>
      <c r="C23" s="122"/>
      <c r="D23" s="115"/>
      <c r="E23" s="115"/>
      <c r="F23" s="115"/>
      <c r="G23" s="1">
        <f t="shared" si="1"/>
        <v>0</v>
      </c>
      <c r="H23" s="115"/>
      <c r="I23" s="115"/>
      <c r="J23" s="115"/>
      <c r="K23" s="115"/>
      <c r="L23" s="115"/>
      <c r="M23" s="115"/>
      <c r="N23" s="115">
        <f t="shared" si="2"/>
        <v>0</v>
      </c>
      <c r="O23" s="115"/>
      <c r="P23" s="79"/>
      <c r="Q23" s="46"/>
      <c r="R23" s="2"/>
      <c r="S23" s="58"/>
      <c r="T23" s="76"/>
      <c r="U23" s="61"/>
      <c r="V23" s="69"/>
      <c r="W23" s="112"/>
      <c r="X23" s="96"/>
      <c r="Y23" s="25"/>
      <c r="Z23" s="25"/>
      <c r="AA23" s="25"/>
      <c r="AB23" s="25"/>
      <c r="AC23" s="25"/>
    </row>
    <row r="24" spans="1:29" ht="17.25" x14ac:dyDescent="0.3">
      <c r="A24" s="10" t="s">
        <v>22</v>
      </c>
      <c r="B24" s="1">
        <v>7</v>
      </c>
      <c r="C24" s="122">
        <f t="shared" si="0"/>
        <v>0.52631578947368418</v>
      </c>
      <c r="D24" s="115">
        <v>23</v>
      </c>
      <c r="E24" s="115">
        <v>19</v>
      </c>
      <c r="F24" s="115">
        <v>10</v>
      </c>
      <c r="G24" s="1">
        <f t="shared" si="1"/>
        <v>9</v>
      </c>
      <c r="H24" s="115">
        <v>1</v>
      </c>
      <c r="I24" s="115">
        <v>0</v>
      </c>
      <c r="J24" s="115">
        <v>0</v>
      </c>
      <c r="K24" s="115">
        <v>3</v>
      </c>
      <c r="L24" s="115">
        <v>9</v>
      </c>
      <c r="M24" s="115">
        <v>5</v>
      </c>
      <c r="N24" s="115">
        <f t="shared" si="2"/>
        <v>4</v>
      </c>
      <c r="O24" s="115">
        <v>1</v>
      </c>
      <c r="P24" s="79">
        <f t="shared" si="4"/>
        <v>4.3478260869565216E-2</v>
      </c>
      <c r="Q24" s="46">
        <f t="shared" si="5"/>
        <v>0.57894736842105265</v>
      </c>
      <c r="R24" s="2">
        <f t="shared" si="3"/>
        <v>0.60869565217391308</v>
      </c>
      <c r="S24" s="58">
        <f t="shared" si="6"/>
        <v>1.1876430205949657</v>
      </c>
      <c r="T24" s="76">
        <f t="shared" si="7"/>
        <v>0.1111111111111111</v>
      </c>
      <c r="U24" s="61">
        <f>RANK(R24,$R$4:$R$26)</f>
        <v>4</v>
      </c>
      <c r="V24" s="69">
        <f>RANK(S24,$S$4:$S$26)</f>
        <v>5</v>
      </c>
      <c r="W24" s="112">
        <f>RANK(C24,$C$4:$C$26)</f>
        <v>6</v>
      </c>
      <c r="X24" s="96"/>
      <c r="Y24" s="25">
        <v>3</v>
      </c>
      <c r="Z24" s="25">
        <v>1</v>
      </c>
      <c r="AA24" s="25">
        <v>0</v>
      </c>
      <c r="AB24" s="25">
        <v>0</v>
      </c>
      <c r="AC24" s="25"/>
    </row>
    <row r="25" spans="1:29" ht="17.25" x14ac:dyDescent="0.3">
      <c r="A25" s="10" t="s">
        <v>158</v>
      </c>
      <c r="B25" s="1"/>
      <c r="C25" s="122"/>
      <c r="D25" s="115"/>
      <c r="E25" s="115"/>
      <c r="F25" s="115"/>
      <c r="G25" s="1"/>
      <c r="H25" s="115"/>
      <c r="I25" s="115"/>
      <c r="J25" s="115"/>
      <c r="K25" s="115"/>
      <c r="L25" s="115"/>
      <c r="M25" s="115"/>
      <c r="N25" s="115"/>
      <c r="O25" s="115"/>
      <c r="P25" s="79"/>
      <c r="Q25" s="46"/>
      <c r="R25" s="2"/>
      <c r="S25" s="58"/>
      <c r="T25" s="76"/>
      <c r="U25" s="61"/>
      <c r="V25" s="69"/>
      <c r="W25" s="112"/>
      <c r="X25" s="96"/>
      <c r="Y25" s="25"/>
      <c r="Z25" s="25"/>
      <c r="AA25" s="25"/>
      <c r="AB25" s="25"/>
      <c r="AC25" s="80"/>
    </row>
    <row r="26" spans="1:29" ht="17.25" x14ac:dyDescent="0.3">
      <c r="A26" s="10" t="s">
        <v>54</v>
      </c>
      <c r="B26" s="1">
        <v>6</v>
      </c>
      <c r="C26" s="122">
        <f t="shared" si="0"/>
        <v>0.3125</v>
      </c>
      <c r="D26" s="115">
        <v>21</v>
      </c>
      <c r="E26" s="115">
        <v>16</v>
      </c>
      <c r="F26" s="115">
        <v>5</v>
      </c>
      <c r="G26" s="1">
        <f>+F26-(H26+I26+J26)</f>
        <v>2</v>
      </c>
      <c r="H26" s="115">
        <v>2</v>
      </c>
      <c r="I26" s="115">
        <v>1</v>
      </c>
      <c r="J26" s="115">
        <v>0</v>
      </c>
      <c r="K26" s="115">
        <v>5</v>
      </c>
      <c r="L26" s="115">
        <v>6</v>
      </c>
      <c r="M26" s="115">
        <v>3</v>
      </c>
      <c r="N26" s="115">
        <f t="shared" si="2"/>
        <v>3</v>
      </c>
      <c r="O26" s="115">
        <v>0</v>
      </c>
      <c r="P26" s="79">
        <f t="shared" si="4"/>
        <v>0</v>
      </c>
      <c r="Q26" s="46">
        <f t="shared" si="5"/>
        <v>0.5625</v>
      </c>
      <c r="R26" s="2">
        <f>+(F26+N26)/(D26-AA26)</f>
        <v>0.42105263157894735</v>
      </c>
      <c r="S26" s="58">
        <f t="shared" si="6"/>
        <v>0.98355263157894735</v>
      </c>
      <c r="T26" s="76">
        <f t="shared" si="7"/>
        <v>0</v>
      </c>
      <c r="U26" s="61">
        <f>RANK(R26,$R$4:$R$26)</f>
        <v>12</v>
      </c>
      <c r="V26" s="69">
        <f>RANK(S26,$S$4:$S$26)</f>
        <v>9</v>
      </c>
      <c r="W26" s="112">
        <f>RANK(C26,$C$4:$C$26)</f>
        <v>11</v>
      </c>
      <c r="X26" s="96"/>
      <c r="Y26" s="25">
        <v>3</v>
      </c>
      <c r="Z26" s="25">
        <v>0</v>
      </c>
      <c r="AA26" s="25">
        <v>2</v>
      </c>
      <c r="AB26" s="25">
        <v>0</v>
      </c>
      <c r="AC26" s="141"/>
    </row>
    <row r="27" spans="1:29" ht="17.25" x14ac:dyDescent="0.3">
      <c r="A27" s="11" t="s">
        <v>10</v>
      </c>
      <c r="B27" s="11"/>
      <c r="C27" s="17">
        <f t="shared" si="0"/>
        <v>0.46285714285714286</v>
      </c>
      <c r="D27" s="11">
        <f t="shared" ref="D27:O27" si="11">SUM(D4:D26)</f>
        <v>211</v>
      </c>
      <c r="E27" s="11">
        <f t="shared" si="11"/>
        <v>175</v>
      </c>
      <c r="F27" s="11">
        <f t="shared" si="11"/>
        <v>81</v>
      </c>
      <c r="G27" s="11">
        <f t="shared" si="11"/>
        <v>61</v>
      </c>
      <c r="H27" s="11">
        <f t="shared" si="11"/>
        <v>17</v>
      </c>
      <c r="I27" s="11">
        <f t="shared" si="11"/>
        <v>3</v>
      </c>
      <c r="J27" s="11">
        <f t="shared" si="11"/>
        <v>0</v>
      </c>
      <c r="K27" s="11">
        <f t="shared" si="11"/>
        <v>71</v>
      </c>
      <c r="L27" s="11">
        <f t="shared" si="11"/>
        <v>60</v>
      </c>
      <c r="M27" s="11">
        <f t="shared" si="11"/>
        <v>65</v>
      </c>
      <c r="N27" s="11">
        <f t="shared" si="11"/>
        <v>29</v>
      </c>
      <c r="O27" s="11">
        <f t="shared" si="11"/>
        <v>19</v>
      </c>
      <c r="P27" s="29">
        <f t="shared" si="4"/>
        <v>9.004739336492891E-2</v>
      </c>
      <c r="Q27" s="17"/>
      <c r="R27" s="17"/>
      <c r="S27" s="57"/>
      <c r="T27" s="68"/>
      <c r="U27" s="68"/>
      <c r="V27" s="68"/>
      <c r="W27" s="68"/>
      <c r="Y27" s="81">
        <f>SUM(Y4:Y26)</f>
        <v>20</v>
      </c>
      <c r="Z27" s="81">
        <f>SUM(Z4:Z26)</f>
        <v>9</v>
      </c>
      <c r="AA27" s="81">
        <f>SUM(AA4:AA26)</f>
        <v>2</v>
      </c>
      <c r="AB27" s="81">
        <f>SUM(AB4:AB26)</f>
        <v>0</v>
      </c>
      <c r="AC27" s="81">
        <f>SUM(AC4:AC26)</f>
        <v>0</v>
      </c>
    </row>
    <row r="28" spans="1:29" ht="17.25" x14ac:dyDescent="0.3">
      <c r="A28" s="22"/>
      <c r="B28" s="22"/>
      <c r="C28" s="23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3"/>
      <c r="R28" s="23"/>
    </row>
    <row r="29" spans="1:29" ht="17.25" x14ac:dyDescent="0.3">
      <c r="A29" s="4" t="s">
        <v>3</v>
      </c>
    </row>
    <row r="30" spans="1:29" ht="34.5" x14ac:dyDescent="0.3">
      <c r="A30" s="10" t="s">
        <v>27</v>
      </c>
      <c r="B30" s="10" t="s">
        <v>46</v>
      </c>
      <c r="C30" s="10" t="s">
        <v>55</v>
      </c>
      <c r="D30" s="10" t="s">
        <v>41</v>
      </c>
      <c r="E30" s="10" t="s">
        <v>48</v>
      </c>
      <c r="F30" s="10" t="s">
        <v>45</v>
      </c>
      <c r="G30" s="10" t="s">
        <v>38</v>
      </c>
      <c r="H30" s="10" t="s">
        <v>5</v>
      </c>
      <c r="I30" s="10" t="s">
        <v>17</v>
      </c>
      <c r="J30" s="10" t="s">
        <v>26</v>
      </c>
      <c r="K30" s="10" t="s">
        <v>30</v>
      </c>
      <c r="L30" s="10" t="s">
        <v>89</v>
      </c>
      <c r="M30" s="10" t="s">
        <v>6</v>
      </c>
      <c r="N30" s="10" t="s">
        <v>42</v>
      </c>
      <c r="O30" s="10" t="s">
        <v>35</v>
      </c>
      <c r="P30" s="10" t="s">
        <v>49</v>
      </c>
      <c r="Q30" s="10" t="s">
        <v>56</v>
      </c>
      <c r="R30" s="10" t="s">
        <v>66</v>
      </c>
      <c r="S30" s="10" t="s">
        <v>90</v>
      </c>
      <c r="T30" s="10" t="s">
        <v>70</v>
      </c>
      <c r="U30" s="10" t="s">
        <v>149</v>
      </c>
      <c r="V30" s="10" t="s">
        <v>68</v>
      </c>
      <c r="W30" s="10" t="s">
        <v>135</v>
      </c>
      <c r="Y30" s="10" t="s">
        <v>159</v>
      </c>
      <c r="Z30" s="10" t="s">
        <v>148</v>
      </c>
    </row>
    <row r="31" spans="1:29" ht="17.25" x14ac:dyDescent="0.3">
      <c r="A31" s="10" t="s">
        <v>59</v>
      </c>
      <c r="B31" s="1"/>
      <c r="C31" s="115"/>
      <c r="D31" s="115"/>
      <c r="E31" s="115"/>
      <c r="F31" s="115"/>
      <c r="G31" s="115"/>
      <c r="H31" s="119"/>
      <c r="I31" s="115"/>
      <c r="J31" s="115"/>
      <c r="K31" s="115"/>
      <c r="L31" s="115"/>
      <c r="M31" s="115"/>
      <c r="N31" s="115"/>
      <c r="O31" s="115"/>
      <c r="P31" s="120" t="e">
        <f>+O31*9/H31</f>
        <v>#DIV/0!</v>
      </c>
      <c r="Q31" s="38" t="e">
        <f>(K31+L31)/H31</f>
        <v>#DIV/0!</v>
      </c>
      <c r="R31" s="121" t="e">
        <f>I31/H31</f>
        <v>#DIV/0!</v>
      </c>
      <c r="S31" s="39" t="e">
        <f>H31/B31</f>
        <v>#DIV/0!</v>
      </c>
      <c r="T31" s="40" t="e">
        <f>M31/H31</f>
        <v>#DIV/0!</v>
      </c>
      <c r="U31" s="33" t="e">
        <f>O31/N31</f>
        <v>#DIV/0!</v>
      </c>
      <c r="V31" s="38" t="e">
        <f>(I31+K31+L31)/H31</f>
        <v>#DIV/0!</v>
      </c>
      <c r="W31" s="134" t="e">
        <f t="shared" ref="W31" si="12">+(L31+K31)/F31*100</f>
        <v>#DIV/0!</v>
      </c>
      <c r="X31" s="131"/>
      <c r="Y31" s="135"/>
      <c r="Z31" s="135"/>
    </row>
    <row r="32" spans="1:29" ht="17.25" x14ac:dyDescent="0.3">
      <c r="A32" s="10" t="s">
        <v>74</v>
      </c>
      <c r="B32" s="1"/>
      <c r="C32" s="115"/>
      <c r="D32" s="115"/>
      <c r="E32" s="115"/>
      <c r="F32" s="115"/>
      <c r="G32" s="115"/>
      <c r="H32" s="119"/>
      <c r="I32" s="115"/>
      <c r="J32" s="115"/>
      <c r="K32" s="115"/>
      <c r="L32" s="115"/>
      <c r="M32" s="115"/>
      <c r="N32" s="115"/>
      <c r="O32" s="115"/>
      <c r="P32" s="120" t="e">
        <f t="shared" ref="P32:P41" si="13">+O32*9/H32</f>
        <v>#DIV/0!</v>
      </c>
      <c r="Q32" s="38" t="e">
        <f t="shared" ref="Q32:Q41" si="14">(K32+L32)/H32</f>
        <v>#DIV/0!</v>
      </c>
      <c r="R32" s="121" t="e">
        <f t="shared" ref="R32:R41" si="15">I32/H32</f>
        <v>#DIV/0!</v>
      </c>
      <c r="S32" s="39" t="e">
        <f t="shared" ref="S32:S41" si="16">H32/B32</f>
        <v>#DIV/0!</v>
      </c>
      <c r="T32" s="40" t="e">
        <f t="shared" ref="T32:T41" si="17">M32/H32</f>
        <v>#DIV/0!</v>
      </c>
      <c r="U32" s="33" t="e">
        <f t="shared" ref="U32:U41" si="18">O32/N32</f>
        <v>#DIV/0!</v>
      </c>
      <c r="V32" s="38" t="e">
        <f t="shared" ref="V32:V41" si="19">(I32+K32+L32)/H32</f>
        <v>#DIV/0!</v>
      </c>
      <c r="W32" s="134" t="e">
        <f t="shared" ref="W32:W41" si="20">+(L32+K32)/F32*100</f>
        <v>#DIV/0!</v>
      </c>
      <c r="X32" s="131"/>
      <c r="Y32" s="135"/>
      <c r="Z32" s="135"/>
    </row>
    <row r="33" spans="1:26" ht="17.25" x14ac:dyDescent="0.3">
      <c r="A33" s="10" t="s">
        <v>51</v>
      </c>
      <c r="B33" s="1">
        <v>5</v>
      </c>
      <c r="C33" s="115">
        <v>2</v>
      </c>
      <c r="D33" s="115">
        <v>0</v>
      </c>
      <c r="E33" s="115">
        <v>0</v>
      </c>
      <c r="F33" s="115">
        <v>92</v>
      </c>
      <c r="G33" s="115">
        <v>78</v>
      </c>
      <c r="H33" s="119">
        <v>18</v>
      </c>
      <c r="I33" s="115">
        <v>25</v>
      </c>
      <c r="J33" s="115">
        <v>0</v>
      </c>
      <c r="K33" s="115">
        <v>11</v>
      </c>
      <c r="L33" s="115">
        <v>2</v>
      </c>
      <c r="M33" s="115">
        <v>13</v>
      </c>
      <c r="N33" s="115">
        <v>14</v>
      </c>
      <c r="O33" s="115">
        <v>9</v>
      </c>
      <c r="P33" s="120">
        <f t="shared" si="13"/>
        <v>4.5</v>
      </c>
      <c r="Q33" s="38">
        <f t="shared" si="14"/>
        <v>0.72222222222222221</v>
      </c>
      <c r="R33" s="121">
        <f t="shared" si="15"/>
        <v>1.3888888888888888</v>
      </c>
      <c r="S33" s="39">
        <f t="shared" si="16"/>
        <v>3.6</v>
      </c>
      <c r="T33" s="40">
        <f t="shared" si="17"/>
        <v>0.72222222222222221</v>
      </c>
      <c r="U33" s="33">
        <f t="shared" si="18"/>
        <v>0.6428571428571429</v>
      </c>
      <c r="V33" s="38">
        <f t="shared" si="19"/>
        <v>2.1111111111111112</v>
      </c>
      <c r="W33" s="134">
        <f t="shared" si="20"/>
        <v>14.130434782608695</v>
      </c>
      <c r="X33" s="131"/>
      <c r="Y33" s="135"/>
      <c r="Z33" s="135"/>
    </row>
    <row r="34" spans="1:26" ht="17.25" x14ac:dyDescent="0.3">
      <c r="A34" s="10" t="s">
        <v>15</v>
      </c>
      <c r="B34" s="1">
        <v>2</v>
      </c>
      <c r="C34" s="115">
        <v>0</v>
      </c>
      <c r="D34" s="115">
        <v>1</v>
      </c>
      <c r="E34" s="115">
        <v>0</v>
      </c>
      <c r="F34" s="115">
        <v>36</v>
      </c>
      <c r="G34" s="115">
        <v>29</v>
      </c>
      <c r="H34" s="119">
        <v>5</v>
      </c>
      <c r="I34" s="115">
        <v>11</v>
      </c>
      <c r="J34" s="115">
        <v>0</v>
      </c>
      <c r="K34" s="115">
        <v>5</v>
      </c>
      <c r="L34" s="115">
        <v>1</v>
      </c>
      <c r="M34" s="115">
        <v>3</v>
      </c>
      <c r="N34" s="115">
        <v>15</v>
      </c>
      <c r="O34" s="115">
        <v>10</v>
      </c>
      <c r="P34" s="120">
        <f t="shared" si="13"/>
        <v>18</v>
      </c>
      <c r="Q34" s="38">
        <f t="shared" si="14"/>
        <v>1.2</v>
      </c>
      <c r="R34" s="121">
        <f t="shared" si="15"/>
        <v>2.2000000000000002</v>
      </c>
      <c r="S34" s="39">
        <f t="shared" si="16"/>
        <v>2.5</v>
      </c>
      <c r="T34" s="40">
        <f t="shared" si="17"/>
        <v>0.6</v>
      </c>
      <c r="U34" s="33">
        <f t="shared" si="18"/>
        <v>0.66666666666666663</v>
      </c>
      <c r="V34" s="38">
        <f t="shared" si="19"/>
        <v>3.4</v>
      </c>
      <c r="W34" s="134">
        <f t="shared" si="20"/>
        <v>16.666666666666664</v>
      </c>
      <c r="X34" s="131"/>
      <c r="Y34" s="135"/>
      <c r="Z34" s="135"/>
    </row>
    <row r="35" spans="1:26" ht="17.25" x14ac:dyDescent="0.3">
      <c r="A35" s="10" t="s">
        <v>76</v>
      </c>
      <c r="B35" s="1"/>
      <c r="C35" s="115"/>
      <c r="D35" s="115"/>
      <c r="E35" s="115"/>
      <c r="F35" s="115"/>
      <c r="G35" s="115"/>
      <c r="H35" s="119"/>
      <c r="I35" s="115"/>
      <c r="J35" s="115"/>
      <c r="K35" s="115"/>
      <c r="L35" s="115"/>
      <c r="M35" s="115"/>
      <c r="N35" s="115"/>
      <c r="O35" s="115"/>
      <c r="P35" s="120" t="e">
        <f t="shared" si="13"/>
        <v>#DIV/0!</v>
      </c>
      <c r="Q35" s="38" t="e">
        <f t="shared" si="14"/>
        <v>#DIV/0!</v>
      </c>
      <c r="R35" s="121" t="e">
        <f t="shared" si="15"/>
        <v>#DIV/0!</v>
      </c>
      <c r="S35" s="39" t="e">
        <f t="shared" si="16"/>
        <v>#DIV/0!</v>
      </c>
      <c r="T35" s="40" t="e">
        <f t="shared" si="17"/>
        <v>#DIV/0!</v>
      </c>
      <c r="U35" s="33" t="e">
        <f t="shared" si="18"/>
        <v>#DIV/0!</v>
      </c>
      <c r="V35" s="38" t="e">
        <f t="shared" si="19"/>
        <v>#DIV/0!</v>
      </c>
      <c r="W35" s="134" t="e">
        <f t="shared" si="20"/>
        <v>#DIV/0!</v>
      </c>
      <c r="X35" s="131"/>
      <c r="Y35" s="135"/>
      <c r="Z35" s="135"/>
    </row>
    <row r="36" spans="1:26" ht="17.25" x14ac:dyDescent="0.3">
      <c r="A36" s="10" t="s">
        <v>50</v>
      </c>
      <c r="B36" s="1">
        <v>5</v>
      </c>
      <c r="C36" s="115">
        <v>2</v>
      </c>
      <c r="D36" s="115">
        <v>1</v>
      </c>
      <c r="E36" s="115">
        <v>0</v>
      </c>
      <c r="F36" s="115">
        <v>82</v>
      </c>
      <c r="G36" s="115">
        <v>59</v>
      </c>
      <c r="H36" s="119">
        <v>11</v>
      </c>
      <c r="I36" s="115">
        <v>28</v>
      </c>
      <c r="J36" s="115">
        <v>0</v>
      </c>
      <c r="K36" s="115">
        <v>19</v>
      </c>
      <c r="L36" s="115">
        <v>2</v>
      </c>
      <c r="M36" s="115">
        <v>10</v>
      </c>
      <c r="N36" s="115">
        <v>28</v>
      </c>
      <c r="O36" s="115">
        <v>21</v>
      </c>
      <c r="P36" s="120">
        <f t="shared" si="13"/>
        <v>17.181818181818183</v>
      </c>
      <c r="Q36" s="38">
        <f t="shared" si="14"/>
        <v>1.9090909090909092</v>
      </c>
      <c r="R36" s="121">
        <f t="shared" si="15"/>
        <v>2.5454545454545454</v>
      </c>
      <c r="S36" s="39">
        <f t="shared" si="16"/>
        <v>2.2000000000000002</v>
      </c>
      <c r="T36" s="40">
        <f t="shared" si="17"/>
        <v>0.90909090909090906</v>
      </c>
      <c r="U36" s="33">
        <f t="shared" si="18"/>
        <v>0.75</v>
      </c>
      <c r="V36" s="38">
        <f t="shared" si="19"/>
        <v>4.4545454545454541</v>
      </c>
      <c r="W36" s="134">
        <f t="shared" si="20"/>
        <v>25.609756097560975</v>
      </c>
      <c r="X36" s="131"/>
      <c r="Y36" s="135"/>
      <c r="Z36" s="135"/>
    </row>
    <row r="37" spans="1:26" ht="17.25" x14ac:dyDescent="0.3">
      <c r="A37" s="10" t="s">
        <v>33</v>
      </c>
      <c r="B37" s="1"/>
      <c r="C37" s="115"/>
      <c r="D37" s="115"/>
      <c r="E37" s="115"/>
      <c r="F37" s="115"/>
      <c r="G37" s="115"/>
      <c r="H37" s="119"/>
      <c r="I37" s="115"/>
      <c r="J37" s="115"/>
      <c r="K37" s="115"/>
      <c r="L37" s="115"/>
      <c r="M37" s="115"/>
      <c r="N37" s="115"/>
      <c r="O37" s="115"/>
      <c r="P37" s="120" t="e">
        <f t="shared" si="13"/>
        <v>#DIV/0!</v>
      </c>
      <c r="Q37" s="38" t="e">
        <f t="shared" si="14"/>
        <v>#DIV/0!</v>
      </c>
      <c r="R37" s="121" t="e">
        <f t="shared" si="15"/>
        <v>#DIV/0!</v>
      </c>
      <c r="S37" s="39" t="e">
        <f t="shared" si="16"/>
        <v>#DIV/0!</v>
      </c>
      <c r="T37" s="40" t="e">
        <f t="shared" si="17"/>
        <v>#DIV/0!</v>
      </c>
      <c r="U37" s="33" t="e">
        <f t="shared" si="18"/>
        <v>#DIV/0!</v>
      </c>
      <c r="V37" s="38" t="e">
        <f t="shared" si="19"/>
        <v>#DIV/0!</v>
      </c>
      <c r="W37" s="134" t="e">
        <f t="shared" si="20"/>
        <v>#DIV/0!</v>
      </c>
      <c r="X37" s="131"/>
      <c r="Y37" s="135"/>
      <c r="Z37" s="135"/>
    </row>
    <row r="38" spans="1:26" ht="17.25" x14ac:dyDescent="0.3">
      <c r="A38" s="10" t="s">
        <v>126</v>
      </c>
      <c r="B38" s="1"/>
      <c r="C38" s="115"/>
      <c r="D38" s="115"/>
      <c r="E38" s="115"/>
      <c r="F38" s="115"/>
      <c r="G38" s="115"/>
      <c r="H38" s="119"/>
      <c r="I38" s="115"/>
      <c r="J38" s="115"/>
      <c r="K38" s="115"/>
      <c r="L38" s="115"/>
      <c r="M38" s="115"/>
      <c r="N38" s="115"/>
      <c r="O38" s="115"/>
      <c r="P38" s="120" t="e">
        <f t="shared" si="13"/>
        <v>#DIV/0!</v>
      </c>
      <c r="Q38" s="38" t="e">
        <f t="shared" si="14"/>
        <v>#DIV/0!</v>
      </c>
      <c r="R38" s="121" t="e">
        <f t="shared" si="15"/>
        <v>#DIV/0!</v>
      </c>
      <c r="S38" s="39" t="e">
        <f t="shared" si="16"/>
        <v>#DIV/0!</v>
      </c>
      <c r="T38" s="40" t="e">
        <f t="shared" si="17"/>
        <v>#DIV/0!</v>
      </c>
      <c r="U38" s="33" t="e">
        <f t="shared" si="18"/>
        <v>#DIV/0!</v>
      </c>
      <c r="V38" s="38" t="e">
        <f t="shared" si="19"/>
        <v>#DIV/0!</v>
      </c>
      <c r="W38" s="134" t="e">
        <f t="shared" si="20"/>
        <v>#DIV/0!</v>
      </c>
      <c r="X38" s="131"/>
      <c r="Y38" s="135"/>
      <c r="Z38" s="135"/>
    </row>
    <row r="39" spans="1:26" ht="17.25" x14ac:dyDescent="0.3">
      <c r="A39" s="10" t="s">
        <v>152</v>
      </c>
      <c r="B39" s="1"/>
      <c r="C39" s="115"/>
      <c r="D39" s="115"/>
      <c r="E39" s="115"/>
      <c r="F39" s="115"/>
      <c r="G39" s="115"/>
      <c r="H39" s="119"/>
      <c r="I39" s="115"/>
      <c r="J39" s="115"/>
      <c r="K39" s="115"/>
      <c r="L39" s="115"/>
      <c r="M39" s="115"/>
      <c r="N39" s="115"/>
      <c r="O39" s="115"/>
      <c r="P39" s="120" t="e">
        <f t="shared" si="13"/>
        <v>#DIV/0!</v>
      </c>
      <c r="Q39" s="38" t="e">
        <f t="shared" si="14"/>
        <v>#DIV/0!</v>
      </c>
      <c r="R39" s="121" t="e">
        <f t="shared" si="15"/>
        <v>#DIV/0!</v>
      </c>
      <c r="S39" s="39" t="e">
        <f t="shared" si="16"/>
        <v>#DIV/0!</v>
      </c>
      <c r="T39" s="40" t="e">
        <f t="shared" si="17"/>
        <v>#DIV/0!</v>
      </c>
      <c r="U39" s="33" t="e">
        <f t="shared" si="18"/>
        <v>#DIV/0!</v>
      </c>
      <c r="V39" s="38" t="e">
        <f t="shared" si="19"/>
        <v>#DIV/0!</v>
      </c>
      <c r="W39" s="134" t="e">
        <f t="shared" si="20"/>
        <v>#DIV/0!</v>
      </c>
      <c r="X39" s="131"/>
      <c r="Y39" s="135"/>
      <c r="Z39" s="135"/>
    </row>
    <row r="40" spans="1:26" ht="17.25" x14ac:dyDescent="0.3">
      <c r="A40" s="10" t="s">
        <v>47</v>
      </c>
      <c r="B40" s="1"/>
      <c r="C40" s="115"/>
      <c r="D40" s="115"/>
      <c r="E40" s="115"/>
      <c r="F40" s="115"/>
      <c r="G40" s="115"/>
      <c r="H40" s="119"/>
      <c r="I40" s="115"/>
      <c r="J40" s="115"/>
      <c r="K40" s="115"/>
      <c r="L40" s="115"/>
      <c r="M40" s="115"/>
      <c r="N40" s="115"/>
      <c r="O40" s="115"/>
      <c r="P40" s="120" t="e">
        <f t="shared" si="13"/>
        <v>#DIV/0!</v>
      </c>
      <c r="Q40" s="38" t="e">
        <f t="shared" si="14"/>
        <v>#DIV/0!</v>
      </c>
      <c r="R40" s="121" t="e">
        <f t="shared" si="15"/>
        <v>#DIV/0!</v>
      </c>
      <c r="S40" s="39" t="e">
        <f t="shared" si="16"/>
        <v>#DIV/0!</v>
      </c>
      <c r="T40" s="40" t="e">
        <f t="shared" si="17"/>
        <v>#DIV/0!</v>
      </c>
      <c r="U40" s="33" t="e">
        <f t="shared" si="18"/>
        <v>#DIV/0!</v>
      </c>
      <c r="V40" s="38" t="e">
        <f t="shared" si="19"/>
        <v>#DIV/0!</v>
      </c>
      <c r="W40" s="134" t="e">
        <f t="shared" si="20"/>
        <v>#DIV/0!</v>
      </c>
      <c r="X40" s="131"/>
      <c r="Y40" s="135"/>
      <c r="Z40" s="135"/>
    </row>
    <row r="41" spans="1:26" ht="17.25" x14ac:dyDescent="0.3">
      <c r="A41" s="10" t="s">
        <v>22</v>
      </c>
      <c r="B41" s="1"/>
      <c r="C41" s="115"/>
      <c r="D41" s="115"/>
      <c r="E41" s="115"/>
      <c r="F41" s="115"/>
      <c r="G41" s="115"/>
      <c r="H41" s="119"/>
      <c r="I41" s="115"/>
      <c r="J41" s="115"/>
      <c r="K41" s="115"/>
      <c r="L41" s="115"/>
      <c r="M41" s="115"/>
      <c r="N41" s="115"/>
      <c r="O41" s="115"/>
      <c r="P41" s="120" t="e">
        <f t="shared" si="13"/>
        <v>#DIV/0!</v>
      </c>
      <c r="Q41" s="38" t="e">
        <f t="shared" si="14"/>
        <v>#DIV/0!</v>
      </c>
      <c r="R41" s="121" t="e">
        <f t="shared" si="15"/>
        <v>#DIV/0!</v>
      </c>
      <c r="S41" s="39" t="e">
        <f t="shared" si="16"/>
        <v>#DIV/0!</v>
      </c>
      <c r="T41" s="40" t="e">
        <f t="shared" si="17"/>
        <v>#DIV/0!</v>
      </c>
      <c r="U41" s="33" t="e">
        <f t="shared" si="18"/>
        <v>#DIV/0!</v>
      </c>
      <c r="V41" s="38" t="e">
        <f t="shared" si="19"/>
        <v>#DIV/0!</v>
      </c>
      <c r="W41" s="134" t="e">
        <f t="shared" si="20"/>
        <v>#DIV/0!</v>
      </c>
      <c r="X41" s="131"/>
      <c r="Y41" s="135"/>
      <c r="Z41" s="135"/>
    </row>
    <row r="42" spans="1:26" ht="17.25" x14ac:dyDescent="0.3">
      <c r="A42" s="11" t="s">
        <v>10</v>
      </c>
      <c r="B42" s="11"/>
      <c r="C42" s="11">
        <f t="shared" ref="C42:O42" si="21">SUM(C31:C41)</f>
        <v>4</v>
      </c>
      <c r="D42" s="11">
        <f t="shared" si="21"/>
        <v>2</v>
      </c>
      <c r="E42" s="11">
        <f t="shared" si="21"/>
        <v>0</v>
      </c>
      <c r="F42" s="11">
        <f t="shared" si="21"/>
        <v>210</v>
      </c>
      <c r="G42" s="11">
        <f t="shared" si="21"/>
        <v>166</v>
      </c>
      <c r="H42" s="15">
        <f t="shared" si="21"/>
        <v>34</v>
      </c>
      <c r="I42" s="11">
        <f t="shared" si="21"/>
        <v>64</v>
      </c>
      <c r="J42" s="11">
        <f t="shared" si="21"/>
        <v>0</v>
      </c>
      <c r="K42" s="11">
        <f t="shared" si="21"/>
        <v>35</v>
      </c>
      <c r="L42" s="11">
        <f t="shared" si="21"/>
        <v>5</v>
      </c>
      <c r="M42" s="11">
        <f t="shared" si="21"/>
        <v>26</v>
      </c>
      <c r="N42" s="11">
        <f t="shared" si="21"/>
        <v>57</v>
      </c>
      <c r="O42" s="11">
        <f t="shared" si="21"/>
        <v>40</v>
      </c>
      <c r="P42" s="16">
        <f t="shared" ref="P42" si="22">+O42*9/H42</f>
        <v>10.588235294117647</v>
      </c>
      <c r="Q42" s="34">
        <f>(K42+L42)/H42</f>
        <v>1.1764705882352942</v>
      </c>
      <c r="R42" s="35">
        <f>I42/H42</f>
        <v>1.8823529411764706</v>
      </c>
      <c r="S42" s="35" t="e">
        <f t="shared" ref="S42" si="23">H42/B42</f>
        <v>#DIV/0!</v>
      </c>
      <c r="T42" s="36">
        <f>M42/H42</f>
        <v>0.76470588235294112</v>
      </c>
      <c r="U42" s="37">
        <f>O42/N42</f>
        <v>0.70175438596491224</v>
      </c>
      <c r="V42" s="34">
        <f>(I42+K42+L42)/H42</f>
        <v>3.0588235294117645</v>
      </c>
      <c r="W42" s="34"/>
      <c r="X42" s="131"/>
      <c r="Y42" s="11">
        <f t="shared" ref="Y42:Z42" si="24">SUM(Y31:Y41)</f>
        <v>0</v>
      </c>
      <c r="Z42" s="11">
        <f t="shared" si="24"/>
        <v>0</v>
      </c>
    </row>
  </sheetData>
  <phoneticPr fontId="1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092A1-6DDF-4503-A8ED-D6562144F94A}">
  <dimension ref="A1:AC42"/>
  <sheetViews>
    <sheetView zoomScale="70" zoomScaleNormal="70" workbookViewId="0">
      <selection activeCell="D16" sqref="D16"/>
    </sheetView>
  </sheetViews>
  <sheetFormatPr defaultColWidth="9" defaultRowHeight="16.5" x14ac:dyDescent="0.3"/>
  <cols>
    <col min="1" max="18" width="8.125" customWidth="1"/>
    <col min="19" max="19" width="10.75" customWidth="1"/>
    <col min="20" max="20" width="8.125" customWidth="1"/>
    <col min="23" max="23" width="11.375" customWidth="1"/>
    <col min="24" max="24" width="2.625" customWidth="1"/>
  </cols>
  <sheetData>
    <row r="1" spans="1:29" ht="26.25" x14ac:dyDescent="0.3">
      <c r="A1" s="24" t="s">
        <v>139</v>
      </c>
    </row>
    <row r="2" spans="1:29" ht="17.25" x14ac:dyDescent="0.3">
      <c r="A2" s="4" t="s">
        <v>1</v>
      </c>
    </row>
    <row r="3" spans="1:29" ht="34.5" x14ac:dyDescent="0.3">
      <c r="A3" s="10" t="s">
        <v>32</v>
      </c>
      <c r="B3" s="10" t="s">
        <v>13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79</v>
      </c>
      <c r="H3" s="10" t="s">
        <v>72</v>
      </c>
      <c r="I3" s="10" t="s">
        <v>0</v>
      </c>
      <c r="J3" s="10" t="s">
        <v>82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43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  <c r="W3" s="10" t="s">
        <v>116</v>
      </c>
      <c r="Y3" s="10" t="s">
        <v>146</v>
      </c>
      <c r="Z3" s="10" t="s">
        <v>89</v>
      </c>
      <c r="AA3" s="10" t="s">
        <v>151</v>
      </c>
      <c r="AB3" s="10" t="s">
        <v>88</v>
      </c>
      <c r="AC3" s="10" t="s">
        <v>147</v>
      </c>
    </row>
    <row r="4" spans="1:29" ht="17.25" x14ac:dyDescent="0.3">
      <c r="A4" s="10" t="s">
        <v>59</v>
      </c>
      <c r="B4" s="1">
        <v>5</v>
      </c>
      <c r="C4" s="122">
        <f t="shared" ref="C4:C27" si="0">+F4/E4</f>
        <v>0.6</v>
      </c>
      <c r="D4" s="115">
        <v>13</v>
      </c>
      <c r="E4" s="115">
        <v>10</v>
      </c>
      <c r="F4" s="115">
        <v>6</v>
      </c>
      <c r="G4" s="1">
        <f t="shared" ref="G4:G20" si="1">+F4-(H4+I4+J4)</f>
        <v>5</v>
      </c>
      <c r="H4" s="115">
        <v>0</v>
      </c>
      <c r="I4" s="115">
        <v>1</v>
      </c>
      <c r="J4" s="115">
        <v>0</v>
      </c>
      <c r="K4" s="115">
        <v>5</v>
      </c>
      <c r="L4" s="115">
        <v>4</v>
      </c>
      <c r="M4" s="115">
        <v>6</v>
      </c>
      <c r="N4" s="115">
        <f t="shared" ref="N4:N20" si="2">+Y4+Z4</f>
        <v>3</v>
      </c>
      <c r="O4" s="115">
        <v>4</v>
      </c>
      <c r="P4" s="79">
        <f>+O4/D4</f>
        <v>0.30769230769230771</v>
      </c>
      <c r="Q4" s="46">
        <f>+(G4*1+H4*2+I4*3+J4*4)/E4</f>
        <v>0.8</v>
      </c>
      <c r="R4" s="2">
        <f>+(F4+N4)/D4</f>
        <v>0.69230769230769229</v>
      </c>
      <c r="S4" s="58">
        <f>+R4+Q4</f>
        <v>1.4923076923076923</v>
      </c>
      <c r="T4" s="76">
        <f>O4/(D4-(F4+N4))</f>
        <v>1</v>
      </c>
      <c r="U4" s="61">
        <f t="shared" ref="U4:U19" si="3">RANK(R4,$R$4:$R$26)</f>
        <v>1</v>
      </c>
      <c r="V4" s="69">
        <f t="shared" ref="V4:V19" si="4">RANK(S4,$S$4:$S$26)</f>
        <v>2</v>
      </c>
      <c r="W4" s="112">
        <f t="shared" ref="W4:W19" si="5">RANK(C4,$C$4:$C$26)</f>
        <v>1</v>
      </c>
      <c r="X4" s="96"/>
      <c r="Y4" s="25">
        <v>2</v>
      </c>
      <c r="Z4" s="25">
        <v>1</v>
      </c>
      <c r="AA4" s="25"/>
      <c r="AB4" s="25">
        <v>0</v>
      </c>
      <c r="AC4" s="25"/>
    </row>
    <row r="5" spans="1:29" ht="17.25" x14ac:dyDescent="0.3">
      <c r="A5" s="10" t="s">
        <v>34</v>
      </c>
      <c r="B5" s="1">
        <v>6</v>
      </c>
      <c r="C5" s="122">
        <f t="shared" si="0"/>
        <v>0.1111111111111111</v>
      </c>
      <c r="D5" s="115">
        <v>16</v>
      </c>
      <c r="E5" s="115">
        <v>9</v>
      </c>
      <c r="F5" s="115">
        <v>1</v>
      </c>
      <c r="G5" s="1">
        <f t="shared" si="1"/>
        <v>1</v>
      </c>
      <c r="H5" s="115">
        <v>0</v>
      </c>
      <c r="I5" s="115">
        <v>0</v>
      </c>
      <c r="J5" s="115">
        <v>0</v>
      </c>
      <c r="K5" s="115">
        <v>3</v>
      </c>
      <c r="L5" s="115">
        <v>1</v>
      </c>
      <c r="M5" s="115">
        <v>1</v>
      </c>
      <c r="N5" s="115">
        <f t="shared" si="2"/>
        <v>7</v>
      </c>
      <c r="O5" s="115">
        <v>6</v>
      </c>
      <c r="P5" s="79">
        <f t="shared" ref="P5:P26" si="6">+O5/D5</f>
        <v>0.375</v>
      </c>
      <c r="Q5" s="46">
        <f t="shared" ref="Q5:Q26" si="7">+(G5*1+H5*2+I5*3+J5*4)/E5</f>
        <v>0.1111111111111111</v>
      </c>
      <c r="R5" s="2">
        <f t="shared" ref="R5:R26" si="8">+(F5+N5)/D5</f>
        <v>0.5</v>
      </c>
      <c r="S5" s="58">
        <f t="shared" ref="S5:S26" si="9">+R5+Q5</f>
        <v>0.61111111111111116</v>
      </c>
      <c r="T5" s="76">
        <f t="shared" ref="T5:T26" si="10">O5/(D5-(F5+N5))</f>
        <v>0.75</v>
      </c>
      <c r="U5" s="61">
        <f t="shared" si="3"/>
        <v>9</v>
      </c>
      <c r="V5" s="69">
        <f t="shared" si="4"/>
        <v>12</v>
      </c>
      <c r="W5" s="112">
        <f t="shared" si="5"/>
        <v>13</v>
      </c>
      <c r="X5" s="96"/>
      <c r="Y5" s="25">
        <v>4</v>
      </c>
      <c r="Z5" s="25">
        <v>3</v>
      </c>
      <c r="AA5" s="25"/>
      <c r="AB5" s="25">
        <v>0</v>
      </c>
      <c r="AC5" s="25"/>
    </row>
    <row r="6" spans="1:29" ht="17.25" x14ac:dyDescent="0.3">
      <c r="A6" s="10" t="s">
        <v>44</v>
      </c>
      <c r="B6" s="1"/>
      <c r="C6" s="122"/>
      <c r="D6" s="115"/>
      <c r="E6" s="115"/>
      <c r="F6" s="115"/>
      <c r="G6" s="1"/>
      <c r="H6" s="115"/>
      <c r="I6" s="115"/>
      <c r="J6" s="115"/>
      <c r="K6" s="115"/>
      <c r="L6" s="115"/>
      <c r="M6" s="115"/>
      <c r="N6" s="115"/>
      <c r="O6" s="115"/>
      <c r="P6" s="79"/>
      <c r="Q6" s="46"/>
      <c r="R6" s="2"/>
      <c r="S6" s="58"/>
      <c r="T6" s="76"/>
      <c r="U6" s="61"/>
      <c r="V6" s="69"/>
      <c r="W6" s="112"/>
      <c r="X6" s="96"/>
      <c r="Y6" s="25"/>
      <c r="Z6" s="25"/>
      <c r="AA6" s="25"/>
      <c r="AB6" s="25"/>
      <c r="AC6" s="25"/>
    </row>
    <row r="7" spans="1:29" ht="17.25" x14ac:dyDescent="0.3">
      <c r="A7" s="10" t="s">
        <v>9</v>
      </c>
      <c r="B7" s="1">
        <v>1</v>
      </c>
      <c r="C7" s="122">
        <f t="shared" si="0"/>
        <v>0</v>
      </c>
      <c r="D7" s="115">
        <v>2</v>
      </c>
      <c r="E7" s="115">
        <v>2</v>
      </c>
      <c r="F7" s="115">
        <v>0</v>
      </c>
      <c r="G7" s="1">
        <f t="shared" si="1"/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f t="shared" si="2"/>
        <v>0</v>
      </c>
      <c r="O7" s="115">
        <v>1</v>
      </c>
      <c r="P7" s="79">
        <f t="shared" si="6"/>
        <v>0.5</v>
      </c>
      <c r="Q7" s="46">
        <f t="shared" si="7"/>
        <v>0</v>
      </c>
      <c r="R7" s="2">
        <f t="shared" si="8"/>
        <v>0</v>
      </c>
      <c r="S7" s="58">
        <f t="shared" si="9"/>
        <v>0</v>
      </c>
      <c r="T7" s="76">
        <f t="shared" si="10"/>
        <v>0.5</v>
      </c>
      <c r="U7" s="61">
        <f t="shared" si="3"/>
        <v>19</v>
      </c>
      <c r="V7" s="69">
        <f t="shared" si="4"/>
        <v>19</v>
      </c>
      <c r="W7" s="112">
        <f t="shared" si="5"/>
        <v>15</v>
      </c>
      <c r="X7" s="96"/>
      <c r="Y7" s="25"/>
      <c r="Z7" s="25"/>
      <c r="AA7" s="25"/>
      <c r="AB7" s="25"/>
      <c r="AC7" s="25"/>
    </row>
    <row r="8" spans="1:29" ht="17.25" x14ac:dyDescent="0.3">
      <c r="A8" s="10" t="s">
        <v>4</v>
      </c>
      <c r="B8" s="1">
        <v>6</v>
      </c>
      <c r="C8" s="122">
        <f t="shared" si="0"/>
        <v>0.14285714285714285</v>
      </c>
      <c r="D8" s="115">
        <v>13</v>
      </c>
      <c r="E8" s="115">
        <v>7</v>
      </c>
      <c r="F8" s="115">
        <v>1</v>
      </c>
      <c r="G8" s="1">
        <f t="shared" si="1"/>
        <v>1</v>
      </c>
      <c r="H8" s="115">
        <v>0</v>
      </c>
      <c r="I8" s="115">
        <v>0</v>
      </c>
      <c r="J8" s="115">
        <v>0</v>
      </c>
      <c r="K8" s="115">
        <v>3</v>
      </c>
      <c r="L8" s="115">
        <v>1</v>
      </c>
      <c r="M8" s="115">
        <v>5</v>
      </c>
      <c r="N8" s="115">
        <f t="shared" si="2"/>
        <v>6</v>
      </c>
      <c r="O8" s="115">
        <v>2</v>
      </c>
      <c r="P8" s="79">
        <f t="shared" si="6"/>
        <v>0.15384615384615385</v>
      </c>
      <c r="Q8" s="46">
        <f t="shared" si="7"/>
        <v>0.14285714285714285</v>
      </c>
      <c r="R8" s="2">
        <f t="shared" si="8"/>
        <v>0.53846153846153844</v>
      </c>
      <c r="S8" s="58">
        <f t="shared" si="9"/>
        <v>0.68131868131868134</v>
      </c>
      <c r="T8" s="76">
        <f t="shared" si="10"/>
        <v>0.33333333333333331</v>
      </c>
      <c r="U8" s="61">
        <f t="shared" si="3"/>
        <v>8</v>
      </c>
      <c r="V8" s="69">
        <f t="shared" si="4"/>
        <v>11</v>
      </c>
      <c r="W8" s="112">
        <f t="shared" si="5"/>
        <v>12</v>
      </c>
      <c r="X8" s="96"/>
      <c r="Y8" s="25">
        <v>5</v>
      </c>
      <c r="Z8" s="25">
        <v>1</v>
      </c>
      <c r="AA8" s="25"/>
      <c r="AB8" s="25">
        <v>0</v>
      </c>
      <c r="AC8" s="25"/>
    </row>
    <row r="9" spans="1:29" ht="17.25" x14ac:dyDescent="0.3">
      <c r="A9" s="10" t="s">
        <v>51</v>
      </c>
      <c r="B9" s="1">
        <v>2</v>
      </c>
      <c r="C9" s="122">
        <f t="shared" si="0"/>
        <v>0</v>
      </c>
      <c r="D9" s="115">
        <v>4</v>
      </c>
      <c r="E9" s="115">
        <v>3</v>
      </c>
      <c r="F9" s="115">
        <v>0</v>
      </c>
      <c r="G9" s="1">
        <f t="shared" si="1"/>
        <v>0</v>
      </c>
      <c r="H9" s="115">
        <v>0</v>
      </c>
      <c r="I9" s="115">
        <v>0</v>
      </c>
      <c r="J9" s="115">
        <v>0</v>
      </c>
      <c r="K9" s="115">
        <v>1</v>
      </c>
      <c r="L9" s="115">
        <v>0</v>
      </c>
      <c r="M9" s="115">
        <v>0</v>
      </c>
      <c r="N9" s="115">
        <f t="shared" si="2"/>
        <v>1</v>
      </c>
      <c r="O9" s="115">
        <v>2</v>
      </c>
      <c r="P9" s="79">
        <f t="shared" si="6"/>
        <v>0.5</v>
      </c>
      <c r="Q9" s="46">
        <f t="shared" si="7"/>
        <v>0</v>
      </c>
      <c r="R9" s="2">
        <f t="shared" si="8"/>
        <v>0.25</v>
      </c>
      <c r="S9" s="58">
        <f t="shared" si="9"/>
        <v>0.25</v>
      </c>
      <c r="T9" s="76">
        <f t="shared" si="10"/>
        <v>0.66666666666666663</v>
      </c>
      <c r="U9" s="61">
        <f t="shared" si="3"/>
        <v>17</v>
      </c>
      <c r="V9" s="69">
        <f t="shared" si="4"/>
        <v>17</v>
      </c>
      <c r="W9" s="112">
        <f t="shared" si="5"/>
        <v>15</v>
      </c>
      <c r="X9" s="96"/>
      <c r="Y9" s="25">
        <v>1</v>
      </c>
      <c r="Z9" s="25">
        <v>0</v>
      </c>
      <c r="AA9" s="25"/>
      <c r="AB9" s="25"/>
      <c r="AC9" s="25"/>
    </row>
    <row r="10" spans="1:29" ht="17.25" x14ac:dyDescent="0.3">
      <c r="A10" s="10" t="s">
        <v>138</v>
      </c>
      <c r="B10" s="1">
        <v>6</v>
      </c>
      <c r="C10" s="122">
        <f t="shared" si="0"/>
        <v>0.22222222222222221</v>
      </c>
      <c r="D10" s="115">
        <v>14</v>
      </c>
      <c r="E10" s="115">
        <v>9</v>
      </c>
      <c r="F10" s="115">
        <v>2</v>
      </c>
      <c r="G10" s="1">
        <f t="shared" si="1"/>
        <v>2</v>
      </c>
      <c r="H10" s="115">
        <v>0</v>
      </c>
      <c r="I10" s="115">
        <v>0</v>
      </c>
      <c r="J10" s="115">
        <v>0</v>
      </c>
      <c r="K10" s="115">
        <v>4</v>
      </c>
      <c r="L10" s="115">
        <v>3</v>
      </c>
      <c r="M10" s="115">
        <v>5</v>
      </c>
      <c r="N10" s="115">
        <f t="shared" si="2"/>
        <v>5</v>
      </c>
      <c r="O10" s="115">
        <v>5</v>
      </c>
      <c r="P10" s="79">
        <f t="shared" si="6"/>
        <v>0.35714285714285715</v>
      </c>
      <c r="Q10" s="46">
        <f t="shared" si="7"/>
        <v>0.22222222222222221</v>
      </c>
      <c r="R10" s="2">
        <f t="shared" si="8"/>
        <v>0.5</v>
      </c>
      <c r="S10" s="58">
        <f t="shared" si="9"/>
        <v>0.72222222222222221</v>
      </c>
      <c r="T10" s="76">
        <f t="shared" si="10"/>
        <v>0.7142857142857143</v>
      </c>
      <c r="U10" s="61">
        <f t="shared" si="3"/>
        <v>9</v>
      </c>
      <c r="V10" s="69">
        <f t="shared" si="4"/>
        <v>10</v>
      </c>
      <c r="W10" s="112">
        <f t="shared" si="5"/>
        <v>10</v>
      </c>
      <c r="X10" s="96"/>
      <c r="Y10" s="25">
        <v>5</v>
      </c>
      <c r="Z10" s="25">
        <v>0</v>
      </c>
      <c r="AA10" s="25"/>
      <c r="AB10" s="25">
        <v>0</v>
      </c>
      <c r="AC10" s="25"/>
    </row>
    <row r="11" spans="1:29" ht="17.25" x14ac:dyDescent="0.3">
      <c r="A11" s="10" t="s">
        <v>25</v>
      </c>
      <c r="B11" s="1"/>
      <c r="C11" s="122" t="s">
        <v>241</v>
      </c>
      <c r="D11" s="115"/>
      <c r="E11" s="115"/>
      <c r="F11" s="115"/>
      <c r="G11" s="1"/>
      <c r="H11" s="115"/>
      <c r="I11" s="115"/>
      <c r="J11" s="115"/>
      <c r="K11" s="115"/>
      <c r="L11" s="115"/>
      <c r="M11" s="115"/>
      <c r="N11" s="115"/>
      <c r="O11" s="115"/>
      <c r="P11" s="79"/>
      <c r="Q11" s="46"/>
      <c r="R11" s="2"/>
      <c r="S11" s="58"/>
      <c r="T11" s="76"/>
      <c r="U11" s="61"/>
      <c r="V11" s="69"/>
      <c r="W11" s="112"/>
      <c r="X11" s="96"/>
      <c r="Y11" s="25"/>
      <c r="Z11" s="25"/>
      <c r="AA11" s="25"/>
      <c r="AB11" s="25"/>
      <c r="AC11" s="25"/>
    </row>
    <row r="12" spans="1:29" ht="17.25" x14ac:dyDescent="0.3">
      <c r="A12" s="10" t="s">
        <v>21</v>
      </c>
      <c r="B12" s="1">
        <v>4</v>
      </c>
      <c r="C12" s="122">
        <f t="shared" si="0"/>
        <v>0.5</v>
      </c>
      <c r="D12" s="115">
        <v>13</v>
      </c>
      <c r="E12" s="115">
        <v>10</v>
      </c>
      <c r="F12" s="115">
        <v>5</v>
      </c>
      <c r="G12" s="1">
        <f t="shared" si="1"/>
        <v>5</v>
      </c>
      <c r="H12" s="115">
        <v>0</v>
      </c>
      <c r="I12" s="115">
        <v>0</v>
      </c>
      <c r="J12" s="115">
        <v>0</v>
      </c>
      <c r="K12" s="115">
        <v>4</v>
      </c>
      <c r="L12" s="115">
        <v>4</v>
      </c>
      <c r="M12" s="115">
        <v>5</v>
      </c>
      <c r="N12" s="115">
        <f t="shared" si="2"/>
        <v>3</v>
      </c>
      <c r="O12" s="115">
        <v>1</v>
      </c>
      <c r="P12" s="79">
        <f t="shared" si="6"/>
        <v>7.6923076923076927E-2</v>
      </c>
      <c r="Q12" s="46">
        <f t="shared" si="7"/>
        <v>0.5</v>
      </c>
      <c r="R12" s="2">
        <f t="shared" si="8"/>
        <v>0.61538461538461542</v>
      </c>
      <c r="S12" s="58">
        <f t="shared" si="9"/>
        <v>1.1153846153846154</v>
      </c>
      <c r="T12" s="76">
        <f t="shared" si="10"/>
        <v>0.2</v>
      </c>
      <c r="U12" s="61">
        <f t="shared" si="3"/>
        <v>3</v>
      </c>
      <c r="V12" s="69">
        <f t="shared" si="4"/>
        <v>4</v>
      </c>
      <c r="W12" s="112">
        <f t="shared" si="5"/>
        <v>3</v>
      </c>
      <c r="X12" s="96"/>
      <c r="Y12" s="25">
        <v>3</v>
      </c>
      <c r="Z12" s="25">
        <v>0</v>
      </c>
      <c r="AA12" s="25"/>
      <c r="AB12" s="25">
        <v>0</v>
      </c>
      <c r="AC12" s="25"/>
    </row>
    <row r="13" spans="1:29" ht="17.25" x14ac:dyDescent="0.3">
      <c r="A13" s="10" t="s">
        <v>8</v>
      </c>
      <c r="B13" s="1">
        <v>5</v>
      </c>
      <c r="C13" s="122">
        <f t="shared" si="0"/>
        <v>0.38461538461538464</v>
      </c>
      <c r="D13" s="115">
        <v>16</v>
      </c>
      <c r="E13" s="115">
        <v>13</v>
      </c>
      <c r="F13" s="115">
        <v>5</v>
      </c>
      <c r="G13" s="1">
        <f t="shared" si="1"/>
        <v>5</v>
      </c>
      <c r="H13" s="115">
        <v>0</v>
      </c>
      <c r="I13" s="115">
        <v>0</v>
      </c>
      <c r="J13" s="115">
        <v>0</v>
      </c>
      <c r="K13" s="115">
        <v>5</v>
      </c>
      <c r="L13" s="115">
        <v>3</v>
      </c>
      <c r="M13" s="115">
        <v>1</v>
      </c>
      <c r="N13" s="115">
        <f t="shared" si="2"/>
        <v>2</v>
      </c>
      <c r="O13" s="115">
        <v>0</v>
      </c>
      <c r="P13" s="79">
        <f t="shared" si="6"/>
        <v>0</v>
      </c>
      <c r="Q13" s="46">
        <f t="shared" si="7"/>
        <v>0.38461538461538464</v>
      </c>
      <c r="R13" s="2">
        <f t="shared" si="8"/>
        <v>0.4375</v>
      </c>
      <c r="S13" s="58">
        <f t="shared" si="9"/>
        <v>0.82211538461538458</v>
      </c>
      <c r="T13" s="76">
        <f t="shared" si="10"/>
        <v>0</v>
      </c>
      <c r="U13" s="61">
        <f t="shared" si="3"/>
        <v>12</v>
      </c>
      <c r="V13" s="69">
        <f t="shared" si="4"/>
        <v>9</v>
      </c>
      <c r="W13" s="112">
        <f t="shared" si="5"/>
        <v>7</v>
      </c>
      <c r="X13" s="96"/>
      <c r="Y13" s="25">
        <v>2</v>
      </c>
      <c r="Z13" s="25">
        <v>0</v>
      </c>
      <c r="AA13" s="25"/>
      <c r="AB13" s="25">
        <v>0</v>
      </c>
      <c r="AC13" s="25"/>
    </row>
    <row r="14" spans="1:29" ht="17.25" x14ac:dyDescent="0.3">
      <c r="A14" s="10" t="s">
        <v>15</v>
      </c>
      <c r="B14" s="1"/>
      <c r="C14" s="122"/>
      <c r="D14" s="115"/>
      <c r="E14" s="115"/>
      <c r="F14" s="115"/>
      <c r="G14" s="1"/>
      <c r="H14" s="115"/>
      <c r="I14" s="115"/>
      <c r="J14" s="115"/>
      <c r="K14" s="115"/>
      <c r="L14" s="115"/>
      <c r="M14" s="115"/>
      <c r="N14" s="115"/>
      <c r="O14" s="115"/>
      <c r="P14" s="79"/>
      <c r="Q14" s="46"/>
      <c r="R14" s="2"/>
      <c r="S14" s="58"/>
      <c r="T14" s="76"/>
      <c r="U14" s="61"/>
      <c r="V14" s="69"/>
      <c r="W14" s="112"/>
      <c r="X14" s="96"/>
      <c r="Y14" s="25"/>
      <c r="Z14" s="25"/>
      <c r="AA14" s="25"/>
      <c r="AB14" s="25"/>
      <c r="AC14" s="25"/>
    </row>
    <row r="15" spans="1:29" ht="17.25" x14ac:dyDescent="0.3">
      <c r="A15" s="10" t="s">
        <v>23</v>
      </c>
      <c r="B15" s="1">
        <v>4</v>
      </c>
      <c r="C15" s="122">
        <f t="shared" si="0"/>
        <v>0</v>
      </c>
      <c r="D15" s="115">
        <v>9</v>
      </c>
      <c r="E15" s="115">
        <v>3</v>
      </c>
      <c r="F15" s="115">
        <v>0</v>
      </c>
      <c r="G15" s="1">
        <f t="shared" si="1"/>
        <v>0</v>
      </c>
      <c r="H15" s="115">
        <v>0</v>
      </c>
      <c r="I15" s="115">
        <v>0</v>
      </c>
      <c r="J15" s="115">
        <v>0</v>
      </c>
      <c r="K15" s="115">
        <v>4</v>
      </c>
      <c r="L15" s="115">
        <v>1</v>
      </c>
      <c r="M15" s="115">
        <v>2</v>
      </c>
      <c r="N15" s="115">
        <f t="shared" si="2"/>
        <v>5</v>
      </c>
      <c r="O15" s="115">
        <v>3</v>
      </c>
      <c r="P15" s="79">
        <f t="shared" si="6"/>
        <v>0.33333333333333331</v>
      </c>
      <c r="Q15" s="46">
        <f t="shared" si="7"/>
        <v>0</v>
      </c>
      <c r="R15" s="2">
        <f t="shared" si="8"/>
        <v>0.55555555555555558</v>
      </c>
      <c r="S15" s="58">
        <f t="shared" si="9"/>
        <v>0.55555555555555558</v>
      </c>
      <c r="T15" s="76">
        <f t="shared" si="10"/>
        <v>0.75</v>
      </c>
      <c r="U15" s="61">
        <f t="shared" si="3"/>
        <v>7</v>
      </c>
      <c r="V15" s="69">
        <f t="shared" si="4"/>
        <v>14</v>
      </c>
      <c r="W15" s="112">
        <f t="shared" si="5"/>
        <v>15</v>
      </c>
      <c r="X15" s="96"/>
      <c r="Y15" s="25">
        <v>4</v>
      </c>
      <c r="Z15" s="25">
        <v>1</v>
      </c>
      <c r="AA15" s="25"/>
      <c r="AB15" s="25">
        <v>0</v>
      </c>
      <c r="AC15" s="25"/>
    </row>
    <row r="16" spans="1:29" ht="17.25" x14ac:dyDescent="0.3">
      <c r="A16" s="43" t="s">
        <v>50</v>
      </c>
      <c r="B16" s="1">
        <v>3</v>
      </c>
      <c r="C16" s="122">
        <f t="shared" si="0"/>
        <v>0.5</v>
      </c>
      <c r="D16" s="115">
        <v>7</v>
      </c>
      <c r="E16" s="115">
        <v>6</v>
      </c>
      <c r="F16" s="115">
        <v>3</v>
      </c>
      <c r="G16" s="1">
        <f t="shared" si="1"/>
        <v>3</v>
      </c>
      <c r="H16" s="115">
        <v>0</v>
      </c>
      <c r="I16" s="115">
        <v>0</v>
      </c>
      <c r="J16" s="115">
        <v>0</v>
      </c>
      <c r="K16" s="115">
        <v>3</v>
      </c>
      <c r="L16" s="115">
        <v>0</v>
      </c>
      <c r="M16" s="115">
        <v>2</v>
      </c>
      <c r="N16" s="115">
        <f t="shared" si="2"/>
        <v>1</v>
      </c>
      <c r="O16" s="115">
        <v>1</v>
      </c>
      <c r="P16" s="79">
        <f t="shared" si="6"/>
        <v>0.14285714285714285</v>
      </c>
      <c r="Q16" s="46">
        <f t="shared" si="7"/>
        <v>0.5</v>
      </c>
      <c r="R16" s="2">
        <f t="shared" si="8"/>
        <v>0.5714285714285714</v>
      </c>
      <c r="S16" s="58">
        <f t="shared" si="9"/>
        <v>1.0714285714285714</v>
      </c>
      <c r="T16" s="76">
        <f t="shared" si="10"/>
        <v>0.33333333333333331</v>
      </c>
      <c r="U16" s="61">
        <f t="shared" si="3"/>
        <v>6</v>
      </c>
      <c r="V16" s="69">
        <f t="shared" si="4"/>
        <v>5</v>
      </c>
      <c r="W16" s="112">
        <f t="shared" si="5"/>
        <v>3</v>
      </c>
      <c r="X16" s="96"/>
      <c r="Y16" s="25">
        <v>1</v>
      </c>
      <c r="Z16" s="25">
        <v>0</v>
      </c>
      <c r="AA16" s="25"/>
      <c r="AB16" s="25"/>
      <c r="AC16" s="25"/>
    </row>
    <row r="17" spans="1:29" ht="17.25" x14ac:dyDescent="0.3">
      <c r="A17" s="133" t="s">
        <v>33</v>
      </c>
      <c r="B17" s="1">
        <v>4</v>
      </c>
      <c r="C17" s="122">
        <f t="shared" si="0"/>
        <v>0.2</v>
      </c>
      <c r="D17" s="115">
        <v>8</v>
      </c>
      <c r="E17" s="115">
        <v>5</v>
      </c>
      <c r="F17" s="115">
        <v>1</v>
      </c>
      <c r="G17" s="1">
        <f t="shared" si="1"/>
        <v>1</v>
      </c>
      <c r="H17" s="115">
        <v>0</v>
      </c>
      <c r="I17" s="115">
        <v>0</v>
      </c>
      <c r="J17" s="115">
        <v>0</v>
      </c>
      <c r="K17" s="115">
        <v>3</v>
      </c>
      <c r="L17" s="115">
        <v>2</v>
      </c>
      <c r="M17" s="115">
        <v>5</v>
      </c>
      <c r="N17" s="115">
        <f t="shared" si="2"/>
        <v>2</v>
      </c>
      <c r="O17" s="115">
        <v>3</v>
      </c>
      <c r="P17" s="79">
        <f t="shared" si="6"/>
        <v>0.375</v>
      </c>
      <c r="Q17" s="46">
        <f t="shared" si="7"/>
        <v>0.2</v>
      </c>
      <c r="R17" s="2">
        <f t="shared" si="8"/>
        <v>0.375</v>
      </c>
      <c r="S17" s="58">
        <f t="shared" si="9"/>
        <v>0.57499999999999996</v>
      </c>
      <c r="T17" s="76">
        <f t="shared" si="10"/>
        <v>0.6</v>
      </c>
      <c r="U17" s="61">
        <f t="shared" si="3"/>
        <v>15</v>
      </c>
      <c r="V17" s="69">
        <f t="shared" si="4"/>
        <v>13</v>
      </c>
      <c r="W17" s="112">
        <f t="shared" si="5"/>
        <v>11</v>
      </c>
      <c r="X17" s="96"/>
      <c r="Y17" s="25">
        <v>0</v>
      </c>
      <c r="Z17" s="25">
        <v>2</v>
      </c>
      <c r="AA17" s="25"/>
      <c r="AB17" s="25"/>
      <c r="AC17" s="25"/>
    </row>
    <row r="18" spans="1:29" ht="17.25" x14ac:dyDescent="0.3">
      <c r="A18" s="10" t="s">
        <v>60</v>
      </c>
      <c r="B18" s="1">
        <v>2</v>
      </c>
      <c r="C18" s="122">
        <f t="shared" si="0"/>
        <v>0.25</v>
      </c>
      <c r="D18" s="115">
        <v>5</v>
      </c>
      <c r="E18" s="115">
        <v>4</v>
      </c>
      <c r="F18" s="115">
        <v>1</v>
      </c>
      <c r="G18" s="1">
        <f t="shared" si="1"/>
        <v>0</v>
      </c>
      <c r="H18" s="115">
        <v>1</v>
      </c>
      <c r="I18" s="115">
        <v>0</v>
      </c>
      <c r="J18" s="115">
        <v>0</v>
      </c>
      <c r="K18" s="115">
        <v>3</v>
      </c>
      <c r="L18" s="115">
        <v>1</v>
      </c>
      <c r="M18" s="115">
        <v>2</v>
      </c>
      <c r="N18" s="115">
        <f t="shared" si="2"/>
        <v>1</v>
      </c>
      <c r="O18" s="115">
        <v>0</v>
      </c>
      <c r="P18" s="79">
        <f t="shared" si="6"/>
        <v>0</v>
      </c>
      <c r="Q18" s="46">
        <f t="shared" si="7"/>
        <v>0.5</v>
      </c>
      <c r="R18" s="2">
        <f t="shared" si="8"/>
        <v>0.4</v>
      </c>
      <c r="S18" s="58">
        <f t="shared" si="9"/>
        <v>0.9</v>
      </c>
      <c r="T18" s="76">
        <f t="shared" si="10"/>
        <v>0</v>
      </c>
      <c r="U18" s="61">
        <f t="shared" si="3"/>
        <v>14</v>
      </c>
      <c r="V18" s="69">
        <f t="shared" si="4"/>
        <v>8</v>
      </c>
      <c r="W18" s="112">
        <f t="shared" si="5"/>
        <v>9</v>
      </c>
      <c r="X18" s="96"/>
      <c r="Y18" s="25">
        <v>1</v>
      </c>
      <c r="Z18" s="25">
        <v>0</v>
      </c>
      <c r="AA18" s="25"/>
      <c r="AB18" s="25">
        <v>0</v>
      </c>
      <c r="AC18" s="25"/>
    </row>
    <row r="19" spans="1:29" ht="17.25" x14ac:dyDescent="0.3">
      <c r="A19" s="10" t="s">
        <v>12</v>
      </c>
      <c r="B19" s="1">
        <v>4</v>
      </c>
      <c r="C19" s="122">
        <f t="shared" si="0"/>
        <v>0</v>
      </c>
      <c r="D19" s="115">
        <v>6</v>
      </c>
      <c r="E19" s="115">
        <v>5</v>
      </c>
      <c r="F19" s="115">
        <v>0</v>
      </c>
      <c r="G19" s="1">
        <f t="shared" si="1"/>
        <v>0</v>
      </c>
      <c r="H19" s="115">
        <v>0</v>
      </c>
      <c r="I19" s="115">
        <v>0</v>
      </c>
      <c r="J19" s="115">
        <v>0</v>
      </c>
      <c r="K19" s="115">
        <v>0</v>
      </c>
      <c r="L19" s="115">
        <v>0</v>
      </c>
      <c r="M19" s="115">
        <v>1</v>
      </c>
      <c r="N19" s="115">
        <f t="shared" si="2"/>
        <v>1</v>
      </c>
      <c r="O19" s="115">
        <v>2</v>
      </c>
      <c r="P19" s="79">
        <f t="shared" si="6"/>
        <v>0.33333333333333331</v>
      </c>
      <c r="Q19" s="46">
        <f t="shared" si="7"/>
        <v>0</v>
      </c>
      <c r="R19" s="2">
        <f t="shared" si="8"/>
        <v>0.16666666666666666</v>
      </c>
      <c r="S19" s="58">
        <f t="shared" si="9"/>
        <v>0.16666666666666666</v>
      </c>
      <c r="T19" s="76">
        <f t="shared" si="10"/>
        <v>0.4</v>
      </c>
      <c r="U19" s="61">
        <f t="shared" si="3"/>
        <v>18</v>
      </c>
      <c r="V19" s="69">
        <f t="shared" si="4"/>
        <v>18</v>
      </c>
      <c r="W19" s="112">
        <f t="shared" si="5"/>
        <v>15</v>
      </c>
      <c r="X19" s="96"/>
      <c r="Y19" s="25">
        <v>1</v>
      </c>
      <c r="Z19" s="25">
        <v>0</v>
      </c>
      <c r="AA19" s="25"/>
      <c r="AB19" s="25">
        <v>0</v>
      </c>
      <c r="AC19" s="25"/>
    </row>
    <row r="20" spans="1:29" ht="17.25" x14ac:dyDescent="0.3">
      <c r="A20" s="10" t="s">
        <v>157</v>
      </c>
      <c r="B20" s="1">
        <v>3</v>
      </c>
      <c r="C20" s="122">
        <f t="shared" si="0"/>
        <v>0.42857142857142855</v>
      </c>
      <c r="D20" s="115">
        <v>7</v>
      </c>
      <c r="E20" s="115">
        <v>7</v>
      </c>
      <c r="F20" s="115">
        <v>3</v>
      </c>
      <c r="G20" s="1">
        <f t="shared" si="1"/>
        <v>2</v>
      </c>
      <c r="H20" s="115">
        <v>1</v>
      </c>
      <c r="I20" s="115">
        <v>0</v>
      </c>
      <c r="J20" s="115">
        <v>0</v>
      </c>
      <c r="K20" s="115">
        <v>1</v>
      </c>
      <c r="L20" s="115">
        <v>5</v>
      </c>
      <c r="M20" s="115">
        <v>1</v>
      </c>
      <c r="N20" s="115">
        <f t="shared" si="2"/>
        <v>0</v>
      </c>
      <c r="O20" s="115">
        <v>1</v>
      </c>
      <c r="P20" s="79">
        <f t="shared" si="6"/>
        <v>0.14285714285714285</v>
      </c>
      <c r="Q20" s="46">
        <f t="shared" si="7"/>
        <v>0.5714285714285714</v>
      </c>
      <c r="R20" s="2">
        <f t="shared" ref="R20" si="11">+(F20+N20)/D20</f>
        <v>0.42857142857142855</v>
      </c>
      <c r="S20" s="58">
        <f t="shared" ref="S20" si="12">+R20+Q20</f>
        <v>1</v>
      </c>
      <c r="T20" s="76">
        <f t="shared" ref="T20" si="13">O20/(D20-(F20+N20))</f>
        <v>0.25</v>
      </c>
      <c r="U20" s="61">
        <f t="shared" ref="U20" si="14">RANK(R20,$R$4:$R$26)</f>
        <v>13</v>
      </c>
      <c r="V20" s="69">
        <f t="shared" ref="V20" si="15">RANK(S20,$S$4:$S$26)</f>
        <v>7</v>
      </c>
      <c r="W20" s="112">
        <f t="shared" ref="W20" si="16">RANK(C20,$C$4:$C$26)</f>
        <v>6</v>
      </c>
      <c r="X20" s="96"/>
      <c r="Y20" s="25">
        <v>0</v>
      </c>
      <c r="Z20" s="25">
        <v>0</v>
      </c>
      <c r="AA20" s="25"/>
      <c r="AB20" s="25"/>
      <c r="AC20" s="25"/>
    </row>
    <row r="21" spans="1:29" ht="17.25" x14ac:dyDescent="0.3">
      <c r="A21" s="10" t="s">
        <v>24</v>
      </c>
      <c r="B21" s="1">
        <v>3</v>
      </c>
      <c r="C21" s="122">
        <f t="shared" si="0"/>
        <v>0.6</v>
      </c>
      <c r="D21" s="115">
        <v>5</v>
      </c>
      <c r="E21" s="115">
        <v>5</v>
      </c>
      <c r="F21" s="115">
        <v>3</v>
      </c>
      <c r="G21" s="1">
        <f t="shared" ref="G21:G26" si="17">+F21-(H21+I21+J21)</f>
        <v>1</v>
      </c>
      <c r="H21" s="115">
        <v>1</v>
      </c>
      <c r="I21" s="115">
        <v>1</v>
      </c>
      <c r="J21" s="115">
        <v>0</v>
      </c>
      <c r="K21" s="115">
        <v>3</v>
      </c>
      <c r="L21" s="115">
        <v>3</v>
      </c>
      <c r="M21" s="115">
        <v>1</v>
      </c>
      <c r="N21" s="115">
        <f>+Y21+Z21</f>
        <v>0</v>
      </c>
      <c r="O21" s="115">
        <v>1</v>
      </c>
      <c r="P21" s="79">
        <f t="shared" si="6"/>
        <v>0.2</v>
      </c>
      <c r="Q21" s="46">
        <f t="shared" si="7"/>
        <v>1.2</v>
      </c>
      <c r="R21" s="2">
        <f t="shared" si="8"/>
        <v>0.6</v>
      </c>
      <c r="S21" s="58">
        <f t="shared" si="9"/>
        <v>1.7999999999999998</v>
      </c>
      <c r="T21" s="76">
        <f t="shared" si="10"/>
        <v>0.5</v>
      </c>
      <c r="U21" s="61">
        <f>RANK(R21,$R$4:$R$26)</f>
        <v>4</v>
      </c>
      <c r="V21" s="69">
        <f>RANK(S21,$S$4:$S$26)</f>
        <v>1</v>
      </c>
      <c r="W21" s="112">
        <f>RANK(C21,$C$4:$C$26)</f>
        <v>1</v>
      </c>
      <c r="X21" s="96"/>
      <c r="Y21" s="25">
        <v>0</v>
      </c>
      <c r="Z21" s="25">
        <v>0</v>
      </c>
      <c r="AA21" s="25"/>
      <c r="AB21" s="25">
        <v>0</v>
      </c>
      <c r="AC21" s="25"/>
    </row>
    <row r="22" spans="1:29" ht="17.25" x14ac:dyDescent="0.3">
      <c r="A22" s="10" t="s">
        <v>14</v>
      </c>
      <c r="B22" s="1">
        <v>1</v>
      </c>
      <c r="C22" s="122">
        <f t="shared" si="0"/>
        <v>0</v>
      </c>
      <c r="D22" s="115">
        <v>2</v>
      </c>
      <c r="E22" s="115">
        <v>1</v>
      </c>
      <c r="F22" s="115">
        <v>0</v>
      </c>
      <c r="G22" s="1">
        <v>0</v>
      </c>
      <c r="H22" s="115">
        <v>0</v>
      </c>
      <c r="I22" s="115">
        <v>0</v>
      </c>
      <c r="J22" s="115">
        <v>0</v>
      </c>
      <c r="K22" s="115">
        <v>0</v>
      </c>
      <c r="L22" s="115">
        <v>0</v>
      </c>
      <c r="M22" s="115">
        <v>1</v>
      </c>
      <c r="N22" s="115">
        <f t="shared" ref="N22:N26" si="18">+Y22+Z22</f>
        <v>1</v>
      </c>
      <c r="O22" s="115">
        <v>0</v>
      </c>
      <c r="P22" s="79">
        <f t="shared" si="6"/>
        <v>0</v>
      </c>
      <c r="Q22" s="46">
        <f t="shared" si="7"/>
        <v>0</v>
      </c>
      <c r="R22" s="2">
        <f t="shared" si="8"/>
        <v>0.5</v>
      </c>
      <c r="S22" s="58">
        <f t="shared" si="9"/>
        <v>0.5</v>
      </c>
      <c r="T22" s="76">
        <f t="shared" si="10"/>
        <v>0</v>
      </c>
      <c r="U22" s="61">
        <f>RANK(R22,$R$4:$R$26)</f>
        <v>9</v>
      </c>
      <c r="V22" s="69">
        <f>RANK(S22,$S$4:$S$26)</f>
        <v>15</v>
      </c>
      <c r="W22" s="112">
        <f>RANK(C22,$C$4:$C$26)</f>
        <v>15</v>
      </c>
      <c r="X22" s="96"/>
      <c r="Y22" s="25">
        <v>1</v>
      </c>
      <c r="Z22" s="25">
        <v>0</v>
      </c>
      <c r="AA22" s="25"/>
      <c r="AB22" s="25"/>
      <c r="AC22" s="25"/>
    </row>
    <row r="23" spans="1:29" ht="17.25" x14ac:dyDescent="0.3">
      <c r="A23" s="10" t="s">
        <v>47</v>
      </c>
      <c r="B23" s="1">
        <v>4</v>
      </c>
      <c r="C23" s="122">
        <f t="shared" si="0"/>
        <v>0.2857142857142857</v>
      </c>
      <c r="D23" s="115">
        <v>12</v>
      </c>
      <c r="E23" s="115">
        <v>7</v>
      </c>
      <c r="F23" s="115">
        <v>2</v>
      </c>
      <c r="G23" s="1">
        <f t="shared" si="17"/>
        <v>1</v>
      </c>
      <c r="H23" s="115">
        <v>1</v>
      </c>
      <c r="I23" s="115">
        <v>0</v>
      </c>
      <c r="J23" s="115">
        <v>0</v>
      </c>
      <c r="K23" s="115">
        <v>2</v>
      </c>
      <c r="L23" s="115">
        <v>0</v>
      </c>
      <c r="M23" s="115">
        <v>1</v>
      </c>
      <c r="N23" s="115">
        <f t="shared" si="18"/>
        <v>5</v>
      </c>
      <c r="O23" s="115">
        <v>3</v>
      </c>
      <c r="P23" s="79">
        <f t="shared" si="6"/>
        <v>0.25</v>
      </c>
      <c r="Q23" s="46">
        <f t="shared" si="7"/>
        <v>0.42857142857142855</v>
      </c>
      <c r="R23" s="2">
        <f t="shared" si="8"/>
        <v>0.58333333333333337</v>
      </c>
      <c r="S23" s="58">
        <f t="shared" si="9"/>
        <v>1.0119047619047619</v>
      </c>
      <c r="T23" s="76">
        <f t="shared" si="10"/>
        <v>0.6</v>
      </c>
      <c r="U23" s="61">
        <f>RANK(R23,$R$4:$R$26)</f>
        <v>5</v>
      </c>
      <c r="V23" s="69">
        <f>RANK(S23,$S$4:$S$26)</f>
        <v>6</v>
      </c>
      <c r="W23" s="112">
        <f>RANK(C23,$C$4:$C$26)</f>
        <v>8</v>
      </c>
      <c r="X23" s="96"/>
      <c r="Y23" s="25">
        <v>5</v>
      </c>
      <c r="Z23" s="25">
        <v>0</v>
      </c>
      <c r="AA23" s="25"/>
      <c r="AB23" s="25"/>
      <c r="AC23" s="25"/>
    </row>
    <row r="24" spans="1:29" ht="17.25" x14ac:dyDescent="0.3">
      <c r="A24" s="10" t="s">
        <v>22</v>
      </c>
      <c r="B24" s="1">
        <v>7</v>
      </c>
      <c r="C24" s="122">
        <f t="shared" si="0"/>
        <v>0.5</v>
      </c>
      <c r="D24" s="115">
        <v>16</v>
      </c>
      <c r="E24" s="115">
        <v>12</v>
      </c>
      <c r="F24" s="115">
        <v>6</v>
      </c>
      <c r="G24" s="1">
        <f t="shared" si="17"/>
        <v>5</v>
      </c>
      <c r="H24" s="115">
        <v>1</v>
      </c>
      <c r="I24" s="115">
        <v>0</v>
      </c>
      <c r="J24" s="115">
        <v>0</v>
      </c>
      <c r="K24" s="115">
        <v>6</v>
      </c>
      <c r="L24" s="115">
        <v>2</v>
      </c>
      <c r="M24" s="115">
        <v>9</v>
      </c>
      <c r="N24" s="115">
        <f t="shared" si="18"/>
        <v>4</v>
      </c>
      <c r="O24" s="115">
        <v>0</v>
      </c>
      <c r="P24" s="79">
        <f t="shared" si="6"/>
        <v>0</v>
      </c>
      <c r="Q24" s="46">
        <f t="shared" si="7"/>
        <v>0.58333333333333337</v>
      </c>
      <c r="R24" s="2">
        <f t="shared" si="8"/>
        <v>0.625</v>
      </c>
      <c r="S24" s="58">
        <f t="shared" si="9"/>
        <v>1.2083333333333335</v>
      </c>
      <c r="T24" s="76">
        <f t="shared" si="10"/>
        <v>0</v>
      </c>
      <c r="U24" s="61">
        <f>RANK(R24,$R$4:$R$26)</f>
        <v>2</v>
      </c>
      <c r="V24" s="69">
        <f>RANK(S24,$S$4:$S$26)</f>
        <v>3</v>
      </c>
      <c r="W24" s="112">
        <f>RANK(C24,$C$4:$C$26)</f>
        <v>3</v>
      </c>
      <c r="X24" s="96"/>
      <c r="Y24" s="25">
        <v>3</v>
      </c>
      <c r="Z24" s="25">
        <v>1</v>
      </c>
      <c r="AA24" s="25"/>
      <c r="AB24" s="25">
        <v>0</v>
      </c>
      <c r="AC24" s="25"/>
    </row>
    <row r="25" spans="1:29" ht="17.25" x14ac:dyDescent="0.3">
      <c r="A25" s="10" t="s">
        <v>158</v>
      </c>
      <c r="B25" s="1"/>
      <c r="C25" s="122"/>
      <c r="D25" s="115"/>
      <c r="E25" s="115"/>
      <c r="F25" s="115"/>
      <c r="G25" s="1"/>
      <c r="H25" s="115"/>
      <c r="I25" s="115"/>
      <c r="J25" s="115"/>
      <c r="K25" s="115"/>
      <c r="L25" s="115"/>
      <c r="M25" s="115"/>
      <c r="N25" s="115"/>
      <c r="O25" s="115"/>
      <c r="P25" s="79"/>
      <c r="Q25" s="46"/>
      <c r="R25" s="2"/>
      <c r="S25" s="58"/>
      <c r="T25" s="76"/>
      <c r="U25" s="61"/>
      <c r="V25" s="69"/>
      <c r="W25" s="112"/>
      <c r="X25" s="96"/>
      <c r="Y25" s="25"/>
      <c r="Z25" s="25"/>
      <c r="AA25" s="25"/>
      <c r="AB25" s="25"/>
      <c r="AC25" s="25"/>
    </row>
    <row r="26" spans="1:29" ht="17.25" x14ac:dyDescent="0.3">
      <c r="A26" s="10" t="s">
        <v>54</v>
      </c>
      <c r="B26" s="1">
        <v>5</v>
      </c>
      <c r="C26" s="122">
        <f t="shared" si="0"/>
        <v>0.1111111111111111</v>
      </c>
      <c r="D26" s="115">
        <v>13</v>
      </c>
      <c r="E26" s="115">
        <v>9</v>
      </c>
      <c r="F26" s="115">
        <v>1</v>
      </c>
      <c r="G26" s="1">
        <f t="shared" si="17"/>
        <v>1</v>
      </c>
      <c r="H26" s="115">
        <v>0</v>
      </c>
      <c r="I26" s="115">
        <v>0</v>
      </c>
      <c r="J26" s="115">
        <v>0</v>
      </c>
      <c r="K26" s="115">
        <v>3</v>
      </c>
      <c r="L26" s="115">
        <v>2</v>
      </c>
      <c r="M26" s="115">
        <v>5</v>
      </c>
      <c r="N26" s="115">
        <f t="shared" si="18"/>
        <v>3</v>
      </c>
      <c r="O26" s="115">
        <v>2</v>
      </c>
      <c r="P26" s="79">
        <f t="shared" si="6"/>
        <v>0.15384615384615385</v>
      </c>
      <c r="Q26" s="46">
        <f t="shared" si="7"/>
        <v>0.1111111111111111</v>
      </c>
      <c r="R26" s="2">
        <f t="shared" si="8"/>
        <v>0.30769230769230771</v>
      </c>
      <c r="S26" s="58">
        <f t="shared" si="9"/>
        <v>0.41880341880341881</v>
      </c>
      <c r="T26" s="76">
        <f t="shared" si="10"/>
        <v>0.22222222222222221</v>
      </c>
      <c r="U26" s="61">
        <f>RANK(R26,$R$4:$R$26)</f>
        <v>16</v>
      </c>
      <c r="V26" s="69">
        <f>RANK(S26,$S$4:$S$26)</f>
        <v>16</v>
      </c>
      <c r="W26" s="112">
        <f>RANK(C26,$C$4:$C$26)</f>
        <v>13</v>
      </c>
      <c r="X26" s="96"/>
      <c r="Y26" s="25">
        <v>3</v>
      </c>
      <c r="Z26" s="25">
        <v>0</v>
      </c>
      <c r="AA26" s="25"/>
      <c r="AB26" s="25">
        <v>0</v>
      </c>
      <c r="AC26" s="25"/>
    </row>
    <row r="27" spans="1:29" ht="17.25" x14ac:dyDescent="0.3">
      <c r="A27" s="11" t="s">
        <v>10</v>
      </c>
      <c r="B27" s="11"/>
      <c r="C27" s="17">
        <f t="shared" si="0"/>
        <v>0.31496062992125984</v>
      </c>
      <c r="D27" s="11">
        <f t="shared" ref="D27:O27" si="19">SUM(D4:D26)</f>
        <v>181</v>
      </c>
      <c r="E27" s="11">
        <f t="shared" si="19"/>
        <v>127</v>
      </c>
      <c r="F27" s="11">
        <f t="shared" si="19"/>
        <v>40</v>
      </c>
      <c r="G27" s="11">
        <f t="shared" si="19"/>
        <v>33</v>
      </c>
      <c r="H27" s="11">
        <f t="shared" si="19"/>
        <v>5</v>
      </c>
      <c r="I27" s="11">
        <f t="shared" si="19"/>
        <v>2</v>
      </c>
      <c r="J27" s="11">
        <f t="shared" si="19"/>
        <v>0</v>
      </c>
      <c r="K27" s="11">
        <f t="shared" si="19"/>
        <v>53</v>
      </c>
      <c r="L27" s="11">
        <f t="shared" si="19"/>
        <v>32</v>
      </c>
      <c r="M27" s="11">
        <f t="shared" si="19"/>
        <v>53</v>
      </c>
      <c r="N27" s="11">
        <f t="shared" si="19"/>
        <v>50</v>
      </c>
      <c r="O27" s="11">
        <f t="shared" si="19"/>
        <v>37</v>
      </c>
      <c r="P27" s="29">
        <f t="shared" ref="P27" si="20">+O27/D27</f>
        <v>0.20441988950276244</v>
      </c>
      <c r="Q27" s="17"/>
      <c r="R27" s="17"/>
      <c r="S27" s="57"/>
      <c r="T27" s="68"/>
      <c r="U27" s="68"/>
      <c r="V27" s="68"/>
      <c r="W27" s="68"/>
      <c r="Y27" s="81">
        <f>SUM(Y4:Y26)</f>
        <v>41</v>
      </c>
      <c r="Z27" s="81">
        <f>SUM(Z4:Z26)</f>
        <v>9</v>
      </c>
      <c r="AA27" s="81">
        <f>SUM(AA4:AA26)</f>
        <v>0</v>
      </c>
      <c r="AB27" s="81">
        <f>SUM(AB4:AB26)</f>
        <v>0</v>
      </c>
      <c r="AC27" s="81">
        <f>SUM(AC4:AC26)</f>
        <v>0</v>
      </c>
    </row>
    <row r="28" spans="1:29" ht="17.25" x14ac:dyDescent="0.3">
      <c r="A28" s="22"/>
      <c r="B28" s="22"/>
      <c r="C28" s="23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3"/>
      <c r="R28" s="23"/>
    </row>
    <row r="29" spans="1:29" ht="17.25" x14ac:dyDescent="0.3">
      <c r="A29" s="4" t="s">
        <v>3</v>
      </c>
    </row>
    <row r="30" spans="1:29" ht="34.5" x14ac:dyDescent="0.3">
      <c r="A30" s="10" t="s">
        <v>27</v>
      </c>
      <c r="B30" s="10" t="s">
        <v>46</v>
      </c>
      <c r="C30" s="10" t="s">
        <v>55</v>
      </c>
      <c r="D30" s="10" t="s">
        <v>41</v>
      </c>
      <c r="E30" s="10" t="s">
        <v>48</v>
      </c>
      <c r="F30" s="10" t="s">
        <v>45</v>
      </c>
      <c r="G30" s="10" t="s">
        <v>38</v>
      </c>
      <c r="H30" s="10" t="s">
        <v>5</v>
      </c>
      <c r="I30" s="10" t="s">
        <v>17</v>
      </c>
      <c r="J30" s="10" t="s">
        <v>26</v>
      </c>
      <c r="K30" s="10" t="s">
        <v>30</v>
      </c>
      <c r="L30" s="10" t="s">
        <v>89</v>
      </c>
      <c r="M30" s="10" t="s">
        <v>6</v>
      </c>
      <c r="N30" s="10" t="s">
        <v>42</v>
      </c>
      <c r="O30" s="10" t="s">
        <v>35</v>
      </c>
      <c r="P30" s="10" t="s">
        <v>49</v>
      </c>
      <c r="Q30" s="10" t="s">
        <v>56</v>
      </c>
      <c r="R30" s="10" t="s">
        <v>66</v>
      </c>
      <c r="S30" s="10" t="s">
        <v>90</v>
      </c>
      <c r="T30" s="10" t="s">
        <v>70</v>
      </c>
      <c r="U30" s="10" t="s">
        <v>150</v>
      </c>
      <c r="V30" s="10" t="s">
        <v>68</v>
      </c>
      <c r="W30" s="10" t="s">
        <v>135</v>
      </c>
      <c r="Y30" s="10" t="s">
        <v>159</v>
      </c>
      <c r="Z30" s="10" t="s">
        <v>148</v>
      </c>
    </row>
    <row r="31" spans="1:29" ht="17.25" x14ac:dyDescent="0.3">
      <c r="A31" s="10" t="s">
        <v>59</v>
      </c>
      <c r="B31" s="1">
        <v>1</v>
      </c>
      <c r="C31" s="115">
        <v>0</v>
      </c>
      <c r="D31" s="115">
        <v>0</v>
      </c>
      <c r="E31" s="115">
        <v>0</v>
      </c>
      <c r="F31" s="115">
        <v>4</v>
      </c>
      <c r="G31" s="115">
        <v>2</v>
      </c>
      <c r="H31" s="119">
        <v>0.3333333</v>
      </c>
      <c r="I31" s="115">
        <v>1</v>
      </c>
      <c r="J31" s="115">
        <v>0</v>
      </c>
      <c r="K31" s="115">
        <v>1</v>
      </c>
      <c r="L31" s="115">
        <v>1</v>
      </c>
      <c r="M31" s="115">
        <v>1</v>
      </c>
      <c r="N31" s="115">
        <v>0</v>
      </c>
      <c r="O31" s="115">
        <v>0</v>
      </c>
      <c r="P31" s="120">
        <f>+O31*9/H31</f>
        <v>0</v>
      </c>
      <c r="Q31" s="38">
        <f>(K31+L31)/H31</f>
        <v>6.0000006000000603</v>
      </c>
      <c r="R31" s="121">
        <f>I31/H31</f>
        <v>3.0000003000000302</v>
      </c>
      <c r="S31" s="39">
        <f>H31/B31</f>
        <v>0.3333333</v>
      </c>
      <c r="T31" s="40">
        <f>M31/H31</f>
        <v>3.0000003000000302</v>
      </c>
      <c r="U31" s="33" t="e">
        <f>O31/N31</f>
        <v>#DIV/0!</v>
      </c>
      <c r="V31" s="38">
        <f>(I31+K31+L31)/H31</f>
        <v>9.0000009000000905</v>
      </c>
      <c r="W31" s="134">
        <f t="shared" ref="W31:W41" si="21">+(L31+K31)/F31*100</f>
        <v>50</v>
      </c>
      <c r="X31" s="131"/>
      <c r="Y31" s="135">
        <v>0</v>
      </c>
      <c r="Z31" s="135">
        <v>0</v>
      </c>
    </row>
    <row r="32" spans="1:29" ht="17.25" x14ac:dyDescent="0.3">
      <c r="A32" s="10" t="s">
        <v>74</v>
      </c>
      <c r="B32" s="1"/>
      <c r="C32" s="115"/>
      <c r="D32" s="115"/>
      <c r="E32" s="115"/>
      <c r="F32" s="115"/>
      <c r="G32" s="115"/>
      <c r="H32" s="119"/>
      <c r="I32" s="115"/>
      <c r="J32" s="115"/>
      <c r="K32" s="115"/>
      <c r="L32" s="115"/>
      <c r="M32" s="115"/>
      <c r="N32" s="115"/>
      <c r="O32" s="115"/>
      <c r="P32" s="120" t="e">
        <f t="shared" ref="P32:P41" si="22">+O32*9/H32</f>
        <v>#DIV/0!</v>
      </c>
      <c r="Q32" s="38" t="e">
        <f t="shared" ref="Q32:Q41" si="23">(K32+L32)/H32</f>
        <v>#DIV/0!</v>
      </c>
      <c r="R32" s="121" t="e">
        <f t="shared" ref="R32:R41" si="24">I32/H32</f>
        <v>#DIV/0!</v>
      </c>
      <c r="S32" s="39" t="e">
        <f t="shared" ref="S32:S41" si="25">H32/B32</f>
        <v>#DIV/0!</v>
      </c>
      <c r="T32" s="40" t="e">
        <f t="shared" ref="T32:T41" si="26">M32/H32</f>
        <v>#DIV/0!</v>
      </c>
      <c r="U32" s="33" t="e">
        <f t="shared" ref="U32:U41" si="27">O32/N32</f>
        <v>#DIV/0!</v>
      </c>
      <c r="V32" s="38" t="e">
        <f t="shared" ref="V32:V41" si="28">(I32+K32+L32)/H32</f>
        <v>#DIV/0!</v>
      </c>
      <c r="W32" s="134" t="e">
        <f t="shared" si="21"/>
        <v>#DIV/0!</v>
      </c>
      <c r="X32" s="131"/>
      <c r="Y32" s="135"/>
      <c r="Z32" s="135"/>
    </row>
    <row r="33" spans="1:26" ht="17.25" x14ac:dyDescent="0.3">
      <c r="A33" s="10" t="s">
        <v>51</v>
      </c>
      <c r="B33" s="1"/>
      <c r="C33" s="115"/>
      <c r="D33" s="115"/>
      <c r="E33" s="115"/>
      <c r="F33" s="115"/>
      <c r="G33" s="115"/>
      <c r="H33" s="119"/>
      <c r="I33" s="115"/>
      <c r="J33" s="115"/>
      <c r="K33" s="115"/>
      <c r="L33" s="115"/>
      <c r="M33" s="115"/>
      <c r="N33" s="115"/>
      <c r="O33" s="115"/>
      <c r="P33" s="120" t="e">
        <f t="shared" si="22"/>
        <v>#DIV/0!</v>
      </c>
      <c r="Q33" s="38" t="e">
        <f t="shared" si="23"/>
        <v>#DIV/0!</v>
      </c>
      <c r="R33" s="121" t="e">
        <f t="shared" si="24"/>
        <v>#DIV/0!</v>
      </c>
      <c r="S33" s="39" t="e">
        <f t="shared" si="25"/>
        <v>#DIV/0!</v>
      </c>
      <c r="T33" s="40" t="e">
        <f t="shared" si="26"/>
        <v>#DIV/0!</v>
      </c>
      <c r="U33" s="33" t="e">
        <f t="shared" si="27"/>
        <v>#DIV/0!</v>
      </c>
      <c r="V33" s="38" t="e">
        <f t="shared" si="28"/>
        <v>#DIV/0!</v>
      </c>
      <c r="W33" s="134" t="e">
        <f t="shared" si="21"/>
        <v>#DIV/0!</v>
      </c>
      <c r="X33" s="131"/>
      <c r="Y33" s="135"/>
      <c r="Z33" s="135"/>
    </row>
    <row r="34" spans="1:26" ht="17.25" x14ac:dyDescent="0.3">
      <c r="A34" s="10" t="s">
        <v>15</v>
      </c>
      <c r="B34" s="1"/>
      <c r="C34" s="115"/>
      <c r="D34" s="115"/>
      <c r="E34" s="115"/>
      <c r="F34" s="115"/>
      <c r="G34" s="115"/>
      <c r="H34" s="119"/>
      <c r="I34" s="115"/>
      <c r="J34" s="115"/>
      <c r="K34" s="115"/>
      <c r="L34" s="115"/>
      <c r="M34" s="115"/>
      <c r="N34" s="115"/>
      <c r="O34" s="115"/>
      <c r="P34" s="120" t="e">
        <f t="shared" si="22"/>
        <v>#DIV/0!</v>
      </c>
      <c r="Q34" s="38" t="e">
        <f t="shared" si="23"/>
        <v>#DIV/0!</v>
      </c>
      <c r="R34" s="121" t="e">
        <f t="shared" si="24"/>
        <v>#DIV/0!</v>
      </c>
      <c r="S34" s="39" t="e">
        <f t="shared" si="25"/>
        <v>#DIV/0!</v>
      </c>
      <c r="T34" s="40" t="e">
        <f t="shared" si="26"/>
        <v>#DIV/0!</v>
      </c>
      <c r="U34" s="33" t="e">
        <f t="shared" si="27"/>
        <v>#DIV/0!</v>
      </c>
      <c r="V34" s="38" t="e">
        <f t="shared" si="28"/>
        <v>#DIV/0!</v>
      </c>
      <c r="W34" s="134" t="e">
        <f t="shared" si="21"/>
        <v>#DIV/0!</v>
      </c>
      <c r="X34" s="131"/>
      <c r="Y34" s="135"/>
      <c r="Z34" s="135"/>
    </row>
    <row r="35" spans="1:26" ht="17.25" x14ac:dyDescent="0.3">
      <c r="A35" s="10" t="s">
        <v>76</v>
      </c>
      <c r="B35" s="1"/>
      <c r="C35" s="115"/>
      <c r="D35" s="115"/>
      <c r="E35" s="115"/>
      <c r="F35" s="115"/>
      <c r="G35" s="115"/>
      <c r="H35" s="119"/>
      <c r="I35" s="115"/>
      <c r="J35" s="115"/>
      <c r="K35" s="115"/>
      <c r="L35" s="115"/>
      <c r="M35" s="115"/>
      <c r="N35" s="115"/>
      <c r="O35" s="115"/>
      <c r="P35" s="120" t="e">
        <f t="shared" si="22"/>
        <v>#DIV/0!</v>
      </c>
      <c r="Q35" s="38" t="e">
        <f t="shared" si="23"/>
        <v>#DIV/0!</v>
      </c>
      <c r="R35" s="121" t="e">
        <f t="shared" si="24"/>
        <v>#DIV/0!</v>
      </c>
      <c r="S35" s="39" t="e">
        <f t="shared" si="25"/>
        <v>#DIV/0!</v>
      </c>
      <c r="T35" s="40" t="e">
        <f t="shared" si="26"/>
        <v>#DIV/0!</v>
      </c>
      <c r="U35" s="33" t="e">
        <f t="shared" si="27"/>
        <v>#DIV/0!</v>
      </c>
      <c r="V35" s="38" t="e">
        <f t="shared" si="28"/>
        <v>#DIV/0!</v>
      </c>
      <c r="W35" s="134" t="e">
        <f t="shared" si="21"/>
        <v>#DIV/0!</v>
      </c>
      <c r="X35" s="131"/>
      <c r="Y35" s="135"/>
      <c r="Z35" s="135"/>
    </row>
    <row r="36" spans="1:26" ht="17.25" x14ac:dyDescent="0.3">
      <c r="A36" s="10" t="s">
        <v>50</v>
      </c>
      <c r="B36" s="1"/>
      <c r="C36" s="115"/>
      <c r="D36" s="115"/>
      <c r="E36" s="115"/>
      <c r="F36" s="115"/>
      <c r="G36" s="115"/>
      <c r="H36" s="119"/>
      <c r="I36" s="115"/>
      <c r="J36" s="115"/>
      <c r="K36" s="115"/>
      <c r="L36" s="115"/>
      <c r="M36" s="115"/>
      <c r="N36" s="115"/>
      <c r="O36" s="115"/>
      <c r="P36" s="120" t="e">
        <f t="shared" si="22"/>
        <v>#DIV/0!</v>
      </c>
      <c r="Q36" s="38" t="e">
        <f t="shared" si="23"/>
        <v>#DIV/0!</v>
      </c>
      <c r="R36" s="121" t="e">
        <f t="shared" si="24"/>
        <v>#DIV/0!</v>
      </c>
      <c r="S36" s="39" t="e">
        <f t="shared" si="25"/>
        <v>#DIV/0!</v>
      </c>
      <c r="T36" s="40" t="e">
        <f t="shared" si="26"/>
        <v>#DIV/0!</v>
      </c>
      <c r="U36" s="33" t="e">
        <f t="shared" si="27"/>
        <v>#DIV/0!</v>
      </c>
      <c r="V36" s="38" t="e">
        <f t="shared" si="28"/>
        <v>#DIV/0!</v>
      </c>
      <c r="W36" s="134" t="e">
        <f t="shared" si="21"/>
        <v>#DIV/0!</v>
      </c>
      <c r="X36" s="131"/>
      <c r="Y36" s="135"/>
      <c r="Z36" s="135"/>
    </row>
    <row r="37" spans="1:26" ht="17.25" x14ac:dyDescent="0.3">
      <c r="A37" s="10" t="s">
        <v>33</v>
      </c>
      <c r="B37" s="1">
        <v>5</v>
      </c>
      <c r="C37" s="115">
        <v>0</v>
      </c>
      <c r="D37" s="115">
        <v>0</v>
      </c>
      <c r="E37" s="115">
        <v>0</v>
      </c>
      <c r="F37" s="115">
        <v>46</v>
      </c>
      <c r="G37" s="115">
        <v>40</v>
      </c>
      <c r="H37" s="119">
        <v>7.3333333329999997</v>
      </c>
      <c r="I37" s="115">
        <v>17</v>
      </c>
      <c r="J37" s="115">
        <v>0</v>
      </c>
      <c r="K37" s="115">
        <v>5</v>
      </c>
      <c r="L37" s="115">
        <v>1</v>
      </c>
      <c r="M37" s="115">
        <v>10</v>
      </c>
      <c r="N37" s="115">
        <v>18</v>
      </c>
      <c r="O37" s="115">
        <v>15</v>
      </c>
      <c r="P37" s="120">
        <f t="shared" si="22"/>
        <v>18.409090909927688</v>
      </c>
      <c r="Q37" s="38">
        <f t="shared" si="23"/>
        <v>0.81818181821900826</v>
      </c>
      <c r="R37" s="121">
        <f t="shared" si="24"/>
        <v>2.3181818182871901</v>
      </c>
      <c r="S37" s="39">
        <f t="shared" si="25"/>
        <v>1.4666666665999999</v>
      </c>
      <c r="T37" s="40">
        <f t="shared" si="26"/>
        <v>1.3636363636983471</v>
      </c>
      <c r="U37" s="33">
        <f t="shared" si="27"/>
        <v>0.83333333333333337</v>
      </c>
      <c r="V37" s="38">
        <f t="shared" si="28"/>
        <v>3.1363636365061986</v>
      </c>
      <c r="W37" s="134">
        <f t="shared" si="21"/>
        <v>13.043478260869565</v>
      </c>
      <c r="X37" s="131"/>
      <c r="Y37" s="135">
        <v>0</v>
      </c>
      <c r="Z37" s="135">
        <v>0</v>
      </c>
    </row>
    <row r="38" spans="1:26" ht="17.25" x14ac:dyDescent="0.3">
      <c r="A38" s="10" t="s">
        <v>126</v>
      </c>
      <c r="B38" s="1">
        <v>5</v>
      </c>
      <c r="C38" s="115">
        <v>0</v>
      </c>
      <c r="D38" s="115">
        <v>2</v>
      </c>
      <c r="E38" s="115">
        <v>0</v>
      </c>
      <c r="F38" s="115">
        <v>58</v>
      </c>
      <c r="G38" s="115">
        <v>47</v>
      </c>
      <c r="H38" s="119">
        <v>5.6666666660000002</v>
      </c>
      <c r="I38" s="115">
        <v>21</v>
      </c>
      <c r="J38" s="115">
        <v>0</v>
      </c>
      <c r="K38" s="115">
        <v>2</v>
      </c>
      <c r="L38" s="115">
        <v>8</v>
      </c>
      <c r="M38" s="115">
        <v>12</v>
      </c>
      <c r="N38" s="115">
        <v>31</v>
      </c>
      <c r="O38" s="115">
        <v>21</v>
      </c>
      <c r="P38" s="120">
        <f t="shared" si="22"/>
        <v>33.35294118039446</v>
      </c>
      <c r="Q38" s="38">
        <f t="shared" si="23"/>
        <v>1.7647058825605535</v>
      </c>
      <c r="R38" s="121">
        <f t="shared" si="24"/>
        <v>3.7058823533771625</v>
      </c>
      <c r="S38" s="39">
        <f t="shared" si="25"/>
        <v>1.1333333332</v>
      </c>
      <c r="T38" s="40">
        <f t="shared" si="26"/>
        <v>2.1176470590726644</v>
      </c>
      <c r="U38" s="33">
        <f t="shared" si="27"/>
        <v>0.67741935483870963</v>
      </c>
      <c r="V38" s="38">
        <f t="shared" si="28"/>
        <v>5.4705882359377158</v>
      </c>
      <c r="W38" s="134">
        <f t="shared" si="21"/>
        <v>17.241379310344829</v>
      </c>
      <c r="X38" s="131"/>
      <c r="Y38" s="135">
        <v>2</v>
      </c>
      <c r="Z38" s="135">
        <v>0</v>
      </c>
    </row>
    <row r="39" spans="1:26" ht="17.25" x14ac:dyDescent="0.3">
      <c r="A39" s="10" t="s">
        <v>152</v>
      </c>
      <c r="B39" s="1">
        <v>1</v>
      </c>
      <c r="C39" s="115">
        <v>0</v>
      </c>
      <c r="D39" s="115">
        <v>0</v>
      </c>
      <c r="E39" s="115">
        <v>0</v>
      </c>
      <c r="F39" s="115">
        <v>5</v>
      </c>
      <c r="G39" s="115">
        <v>1</v>
      </c>
      <c r="H39" s="119">
        <v>0.33333333333332998</v>
      </c>
      <c r="I39" s="115">
        <v>0</v>
      </c>
      <c r="J39" s="115">
        <v>0</v>
      </c>
      <c r="K39" s="115">
        <v>3</v>
      </c>
      <c r="L39" s="115">
        <v>1</v>
      </c>
      <c r="M39" s="115">
        <v>0</v>
      </c>
      <c r="N39" s="115">
        <v>4</v>
      </c>
      <c r="O39" s="115">
        <v>1</v>
      </c>
      <c r="P39" s="120">
        <f t="shared" ref="P39" si="29">+O39*9/H39</f>
        <v>27.00000000000027</v>
      </c>
      <c r="Q39" s="38">
        <f t="shared" ref="Q39" si="30">(K39+L39)/H39</f>
        <v>12.000000000000121</v>
      </c>
      <c r="R39" s="121">
        <f t="shared" ref="R39" si="31">I39/H39</f>
        <v>0</v>
      </c>
      <c r="S39" s="39">
        <f t="shared" ref="S39" si="32">H39/B39</f>
        <v>0.33333333333332998</v>
      </c>
      <c r="T39" s="40">
        <f t="shared" ref="T39" si="33">M39/H39</f>
        <v>0</v>
      </c>
      <c r="U39" s="33">
        <f t="shared" ref="U39" si="34">O39/N39</f>
        <v>0.25</v>
      </c>
      <c r="V39" s="38">
        <f t="shared" ref="V39" si="35">(I39+K39+L39)/H39</f>
        <v>12.000000000000121</v>
      </c>
      <c r="W39" s="134">
        <f t="shared" ref="W39" si="36">+(L39+K39)/F39*100</f>
        <v>80</v>
      </c>
      <c r="X39" s="131"/>
      <c r="Y39" s="135"/>
      <c r="Z39" s="135"/>
    </row>
    <row r="40" spans="1:26" ht="17.25" x14ac:dyDescent="0.3">
      <c r="A40" s="10" t="s">
        <v>47</v>
      </c>
      <c r="B40" s="1"/>
      <c r="C40" s="115"/>
      <c r="D40" s="115"/>
      <c r="E40" s="115"/>
      <c r="F40" s="115"/>
      <c r="G40" s="115"/>
      <c r="H40" s="119"/>
      <c r="I40" s="115"/>
      <c r="J40" s="115"/>
      <c r="K40" s="115"/>
      <c r="L40" s="115"/>
      <c r="M40" s="115"/>
      <c r="N40" s="115"/>
      <c r="O40" s="115"/>
      <c r="P40" s="120" t="e">
        <f t="shared" si="22"/>
        <v>#DIV/0!</v>
      </c>
      <c r="Q40" s="38" t="e">
        <f t="shared" si="23"/>
        <v>#DIV/0!</v>
      </c>
      <c r="R40" s="121" t="e">
        <f t="shared" si="24"/>
        <v>#DIV/0!</v>
      </c>
      <c r="S40" s="39" t="e">
        <f t="shared" si="25"/>
        <v>#DIV/0!</v>
      </c>
      <c r="T40" s="40" t="e">
        <f t="shared" si="26"/>
        <v>#DIV/0!</v>
      </c>
      <c r="U40" s="33" t="e">
        <f t="shared" si="27"/>
        <v>#DIV/0!</v>
      </c>
      <c r="V40" s="38" t="e">
        <f t="shared" si="28"/>
        <v>#DIV/0!</v>
      </c>
      <c r="W40" s="134" t="e">
        <f t="shared" si="21"/>
        <v>#DIV/0!</v>
      </c>
      <c r="X40" s="131"/>
      <c r="Y40" s="135"/>
      <c r="Z40" s="135"/>
    </row>
    <row r="41" spans="1:26" ht="17.25" x14ac:dyDescent="0.3">
      <c r="A41" s="10" t="s">
        <v>22</v>
      </c>
      <c r="B41" s="1">
        <v>6</v>
      </c>
      <c r="C41" s="115">
        <v>1</v>
      </c>
      <c r="D41" s="115">
        <v>4</v>
      </c>
      <c r="E41" s="115">
        <v>0</v>
      </c>
      <c r="F41" s="115">
        <v>106</v>
      </c>
      <c r="G41" s="115">
        <v>71</v>
      </c>
      <c r="H41" s="119">
        <v>12</v>
      </c>
      <c r="I41" s="115">
        <v>24</v>
      </c>
      <c r="J41" s="115">
        <v>0</v>
      </c>
      <c r="K41" s="115">
        <v>31</v>
      </c>
      <c r="L41" s="115">
        <v>3</v>
      </c>
      <c r="M41" s="115">
        <v>18</v>
      </c>
      <c r="N41" s="115">
        <v>53</v>
      </c>
      <c r="O41" s="115">
        <v>30</v>
      </c>
      <c r="P41" s="120">
        <f t="shared" si="22"/>
        <v>22.5</v>
      </c>
      <c r="Q41" s="38">
        <f t="shared" si="23"/>
        <v>2.8333333333333335</v>
      </c>
      <c r="R41" s="121">
        <f t="shared" si="24"/>
        <v>2</v>
      </c>
      <c r="S41" s="39">
        <f t="shared" si="25"/>
        <v>2</v>
      </c>
      <c r="T41" s="40">
        <f t="shared" si="26"/>
        <v>1.5</v>
      </c>
      <c r="U41" s="33">
        <f t="shared" si="27"/>
        <v>0.56603773584905659</v>
      </c>
      <c r="V41" s="38">
        <f t="shared" si="28"/>
        <v>4.833333333333333</v>
      </c>
      <c r="W41" s="134">
        <f t="shared" si="21"/>
        <v>32.075471698113205</v>
      </c>
      <c r="X41" s="131"/>
      <c r="Y41" s="135">
        <v>3</v>
      </c>
      <c r="Z41" s="135">
        <v>0</v>
      </c>
    </row>
    <row r="42" spans="1:26" ht="17.25" x14ac:dyDescent="0.3">
      <c r="A42" s="11" t="s">
        <v>10</v>
      </c>
      <c r="B42" s="11"/>
      <c r="C42" s="11">
        <f t="shared" ref="C42:O42" si="37">SUM(C31:C41)</f>
        <v>1</v>
      </c>
      <c r="D42" s="11">
        <f t="shared" si="37"/>
        <v>6</v>
      </c>
      <c r="E42" s="11">
        <f t="shared" si="37"/>
        <v>0</v>
      </c>
      <c r="F42" s="11">
        <f t="shared" si="37"/>
        <v>219</v>
      </c>
      <c r="G42" s="11">
        <f t="shared" si="37"/>
        <v>161</v>
      </c>
      <c r="H42" s="15">
        <f t="shared" si="37"/>
        <v>25.666666632333332</v>
      </c>
      <c r="I42" s="11">
        <f t="shared" si="37"/>
        <v>63</v>
      </c>
      <c r="J42" s="11">
        <f t="shared" si="37"/>
        <v>0</v>
      </c>
      <c r="K42" s="11">
        <f t="shared" si="37"/>
        <v>42</v>
      </c>
      <c r="L42" s="11">
        <f t="shared" si="37"/>
        <v>14</v>
      </c>
      <c r="M42" s="11">
        <f t="shared" si="37"/>
        <v>41</v>
      </c>
      <c r="N42" s="11">
        <f t="shared" si="37"/>
        <v>106</v>
      </c>
      <c r="O42" s="11">
        <f t="shared" si="37"/>
        <v>67</v>
      </c>
      <c r="P42" s="16">
        <f t="shared" ref="P42" si="38">+O42*9/H42</f>
        <v>23.493506524932872</v>
      </c>
      <c r="Q42" s="34">
        <f>(K42+L42)/H42</f>
        <v>2.1818181847367182</v>
      </c>
      <c r="R42" s="35">
        <f>I42/H42</f>
        <v>2.4545454578288077</v>
      </c>
      <c r="S42" s="35" t="e">
        <f t="shared" ref="S42" si="39">H42/B42</f>
        <v>#DIV/0!</v>
      </c>
      <c r="T42" s="36">
        <f>M42/H42</f>
        <v>1.5974025995393828</v>
      </c>
      <c r="U42" s="37">
        <f>O42/N42</f>
        <v>0.63207547169811318</v>
      </c>
      <c r="V42" s="34">
        <f>(I42+K42+L42)/H42</f>
        <v>4.6363636425655255</v>
      </c>
      <c r="W42" s="34"/>
      <c r="X42" s="131"/>
      <c r="Y42" s="11">
        <f t="shared" ref="Y42:Z42" si="40">SUM(Y31:Y41)</f>
        <v>5</v>
      </c>
      <c r="Z42" s="11">
        <f t="shared" si="40"/>
        <v>0</v>
      </c>
    </row>
  </sheetData>
  <phoneticPr fontId="1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A5779-10C8-4CAD-B867-B0FAC002581F}">
  <dimension ref="A1:AC42"/>
  <sheetViews>
    <sheetView zoomScale="70" zoomScaleNormal="70" workbookViewId="0">
      <selection activeCell="I45" sqref="I45"/>
    </sheetView>
  </sheetViews>
  <sheetFormatPr defaultColWidth="9" defaultRowHeight="16.5" x14ac:dyDescent="0.3"/>
  <cols>
    <col min="1" max="2" width="8.125" customWidth="1"/>
    <col min="3" max="3" width="9.625" bestFit="1" customWidth="1"/>
    <col min="4" max="15" width="8.125" customWidth="1"/>
    <col min="16" max="16" width="10.125" bestFit="1" customWidth="1"/>
    <col min="17" max="18" width="8.125" customWidth="1"/>
    <col min="19" max="19" width="10.75" customWidth="1"/>
    <col min="20" max="20" width="10.125" bestFit="1" customWidth="1"/>
    <col min="23" max="23" width="11.375" customWidth="1"/>
    <col min="24" max="24" width="2.625" customWidth="1"/>
    <col min="27" max="27" width="10.125" customWidth="1"/>
  </cols>
  <sheetData>
    <row r="1" spans="1:29" ht="26.25" x14ac:dyDescent="0.3">
      <c r="A1" s="24" t="s">
        <v>242</v>
      </c>
    </row>
    <row r="2" spans="1:29" ht="17.25" x14ac:dyDescent="0.3">
      <c r="A2" s="4" t="s">
        <v>1</v>
      </c>
    </row>
    <row r="3" spans="1:29" ht="34.5" x14ac:dyDescent="0.3">
      <c r="A3" s="10" t="s">
        <v>32</v>
      </c>
      <c r="B3" s="10" t="s">
        <v>13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79</v>
      </c>
      <c r="H3" s="10" t="s">
        <v>72</v>
      </c>
      <c r="I3" s="10" t="s">
        <v>0</v>
      </c>
      <c r="J3" s="10" t="s">
        <v>82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43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  <c r="W3" s="10" t="s">
        <v>116</v>
      </c>
      <c r="Y3" s="10" t="s">
        <v>146</v>
      </c>
      <c r="Z3" s="10" t="s">
        <v>89</v>
      </c>
      <c r="AA3" s="10" t="s">
        <v>151</v>
      </c>
      <c r="AB3" s="10" t="s">
        <v>239</v>
      </c>
      <c r="AC3" s="10" t="s">
        <v>147</v>
      </c>
    </row>
    <row r="4" spans="1:29" ht="17.25" x14ac:dyDescent="0.3">
      <c r="A4" s="10" t="s">
        <v>59</v>
      </c>
      <c r="B4" s="1">
        <v>4</v>
      </c>
      <c r="C4" s="122">
        <f>+F4/E4</f>
        <v>0.33333333333333331</v>
      </c>
      <c r="D4" s="115">
        <v>6</v>
      </c>
      <c r="E4" s="115">
        <v>6</v>
      </c>
      <c r="F4" s="115">
        <v>2</v>
      </c>
      <c r="G4" s="1">
        <f>+F4-(H4+I4+J4)</f>
        <v>1</v>
      </c>
      <c r="H4" s="115">
        <v>1</v>
      </c>
      <c r="I4" s="115">
        <v>0</v>
      </c>
      <c r="J4" s="115">
        <v>0</v>
      </c>
      <c r="K4" s="115">
        <v>1</v>
      </c>
      <c r="L4" s="115">
        <v>1</v>
      </c>
      <c r="M4" s="115">
        <v>1</v>
      </c>
      <c r="N4" s="115">
        <f>+Y4+Z4</f>
        <v>0</v>
      </c>
      <c r="O4" s="115">
        <v>1</v>
      </c>
      <c r="P4" s="79">
        <f>+O4/D4</f>
        <v>0.16666666666666666</v>
      </c>
      <c r="Q4" s="46">
        <f>+(G4*1+H4*2+I4*3+J4*4)/E4</f>
        <v>0.5</v>
      </c>
      <c r="R4" s="2">
        <f>+(F4+N4)/(D4-AA4)</f>
        <v>0.33333333333333331</v>
      </c>
      <c r="S4" s="58">
        <f>+R4+Q4</f>
        <v>0.83333333333333326</v>
      </c>
      <c r="T4" s="76">
        <f>O4/(D4-(F4+N4))</f>
        <v>0.25</v>
      </c>
      <c r="U4" s="61">
        <f>RANK(R4,$R$4:$R$26)</f>
        <v>15</v>
      </c>
      <c r="V4" s="69">
        <f>RANK(S4,$S$4:$S$26)</f>
        <v>15</v>
      </c>
      <c r="W4" s="112">
        <f>RANK(C4,$C$4:$C$26)</f>
        <v>13</v>
      </c>
      <c r="X4" s="96"/>
      <c r="Y4" s="25">
        <v>0</v>
      </c>
      <c r="Z4" s="25">
        <v>0</v>
      </c>
      <c r="AA4" s="25"/>
      <c r="AB4" s="25"/>
      <c r="AC4" s="25"/>
    </row>
    <row r="5" spans="1:29" ht="17.25" x14ac:dyDescent="0.3">
      <c r="A5" s="10" t="s">
        <v>34</v>
      </c>
      <c r="B5" s="1">
        <v>2</v>
      </c>
      <c r="C5" s="122"/>
      <c r="D5" s="115">
        <v>0</v>
      </c>
      <c r="E5" s="115">
        <v>0</v>
      </c>
      <c r="F5" s="115">
        <v>0</v>
      </c>
      <c r="G5" s="1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79"/>
      <c r="Q5" s="46"/>
      <c r="R5" s="2"/>
      <c r="S5" s="58"/>
      <c r="T5" s="76"/>
      <c r="U5" s="61"/>
      <c r="V5" s="69"/>
      <c r="W5" s="112"/>
      <c r="X5" s="96"/>
      <c r="Y5" s="25"/>
      <c r="Z5" s="25"/>
      <c r="AA5" s="25"/>
      <c r="AB5" s="25"/>
      <c r="AC5" s="25"/>
    </row>
    <row r="6" spans="1:29" ht="17.25" x14ac:dyDescent="0.3">
      <c r="A6" s="10" t="s">
        <v>44</v>
      </c>
      <c r="B6" s="1">
        <v>10</v>
      </c>
      <c r="C6" s="122">
        <f>+F6/E6</f>
        <v>0.44444444444444442</v>
      </c>
      <c r="D6" s="115">
        <v>34</v>
      </c>
      <c r="E6" s="115">
        <v>27</v>
      </c>
      <c r="F6" s="115">
        <v>12</v>
      </c>
      <c r="G6" s="1">
        <f t="shared" ref="G6:G26" si="0">+F6-(H6+I6+J6)</f>
        <v>4</v>
      </c>
      <c r="H6" s="115">
        <v>5</v>
      </c>
      <c r="I6" s="115">
        <v>2</v>
      </c>
      <c r="J6" s="115">
        <v>1</v>
      </c>
      <c r="K6" s="115">
        <v>15</v>
      </c>
      <c r="L6" s="115">
        <v>14</v>
      </c>
      <c r="M6" s="115">
        <v>8</v>
      </c>
      <c r="N6" s="115">
        <f>+Y6+Z6</f>
        <v>5</v>
      </c>
      <c r="O6" s="115">
        <v>3</v>
      </c>
      <c r="P6" s="79">
        <f>+O6/D6</f>
        <v>8.8235294117647065E-2</v>
      </c>
      <c r="Q6" s="46">
        <f>+(G6*1+H6*2+I6*3+J6*4)/E6</f>
        <v>0.88888888888888884</v>
      </c>
      <c r="R6" s="2">
        <f>+(F6+N6)/(D6-AA6)</f>
        <v>0.5</v>
      </c>
      <c r="S6" s="58">
        <f>+R6+Q6</f>
        <v>1.3888888888888888</v>
      </c>
      <c r="T6" s="76">
        <f>O6/(D6-(F6+N6))</f>
        <v>0.17647058823529413</v>
      </c>
      <c r="U6" s="61">
        <f>RANK(R6,$R$4:$R$26)</f>
        <v>9</v>
      </c>
      <c r="V6" s="69">
        <f>RANK(S6,$S$4:$S$26)</f>
        <v>5</v>
      </c>
      <c r="W6" s="112">
        <f>RANK(C6,$C$4:$C$26)</f>
        <v>7</v>
      </c>
      <c r="X6" s="96"/>
      <c r="Y6" s="25">
        <v>2</v>
      </c>
      <c r="Z6" s="25">
        <v>3</v>
      </c>
      <c r="AA6" s="25"/>
      <c r="AB6" s="25"/>
      <c r="AC6" s="25"/>
    </row>
    <row r="7" spans="1:29" ht="17.25" x14ac:dyDescent="0.3">
      <c r="A7" s="10" t="s">
        <v>9</v>
      </c>
      <c r="B7" s="1"/>
      <c r="C7" s="122"/>
      <c r="D7" s="115"/>
      <c r="E7" s="115"/>
      <c r="F7" s="115"/>
      <c r="G7" s="1">
        <f t="shared" si="0"/>
        <v>0</v>
      </c>
      <c r="H7" s="115"/>
      <c r="I7" s="115"/>
      <c r="J7" s="115"/>
      <c r="K7" s="115"/>
      <c r="L7" s="115"/>
      <c r="M7" s="115"/>
      <c r="N7" s="115">
        <f>+Y7+Z7</f>
        <v>0</v>
      </c>
      <c r="O7" s="115"/>
      <c r="P7" s="79"/>
      <c r="Q7" s="46"/>
      <c r="R7" s="2"/>
      <c r="S7" s="58"/>
      <c r="T7" s="76"/>
      <c r="U7" s="61"/>
      <c r="V7" s="69"/>
      <c r="W7" s="112"/>
      <c r="X7" s="96"/>
      <c r="Y7" s="25"/>
      <c r="Z7" s="25"/>
      <c r="AA7" s="25"/>
      <c r="AB7" s="25"/>
      <c r="AC7" s="25"/>
    </row>
    <row r="8" spans="1:29" ht="17.25" x14ac:dyDescent="0.3">
      <c r="A8" s="10" t="s">
        <v>4</v>
      </c>
      <c r="B8" s="1">
        <v>9</v>
      </c>
      <c r="C8" s="122">
        <f t="shared" ref="C8:C15" si="1">+F8/E8</f>
        <v>0.61538461538461542</v>
      </c>
      <c r="D8" s="115">
        <v>21</v>
      </c>
      <c r="E8" s="115">
        <v>13</v>
      </c>
      <c r="F8" s="115">
        <v>8</v>
      </c>
      <c r="G8" s="1">
        <v>8</v>
      </c>
      <c r="H8" s="115">
        <v>1</v>
      </c>
      <c r="I8" s="115">
        <v>1</v>
      </c>
      <c r="J8" s="115">
        <v>0</v>
      </c>
      <c r="K8" s="115">
        <v>11</v>
      </c>
      <c r="L8" s="115">
        <v>7</v>
      </c>
      <c r="M8" s="115">
        <v>10</v>
      </c>
      <c r="N8" s="115">
        <f>+Y8+Z8</f>
        <v>7</v>
      </c>
      <c r="O8" s="115">
        <v>2</v>
      </c>
      <c r="P8" s="79">
        <f t="shared" ref="P8:P15" si="2">+O8/D8</f>
        <v>9.5238095238095233E-2</v>
      </c>
      <c r="Q8" s="46">
        <f t="shared" ref="Q8:Q15" si="3">+(G8*1+H8*2+I8*3+J8*4)/E8</f>
        <v>1</v>
      </c>
      <c r="R8" s="2">
        <f t="shared" ref="R8:R15" si="4">+(F8+N8)/(D8-AA8)</f>
        <v>0.75</v>
      </c>
      <c r="S8" s="58">
        <f t="shared" ref="S8:S15" si="5">+R8+Q8</f>
        <v>1.75</v>
      </c>
      <c r="T8" s="76">
        <f t="shared" ref="T8:T15" si="6">O8/(D8-(F8+N8))</f>
        <v>0.33333333333333331</v>
      </c>
      <c r="U8" s="61">
        <f t="shared" ref="U8:U15" si="7">RANK(R8,$R$4:$R$26)</f>
        <v>2</v>
      </c>
      <c r="V8" s="69">
        <f t="shared" ref="V8:V15" si="8">RANK(S8,$S$4:$S$26)</f>
        <v>3</v>
      </c>
      <c r="W8" s="112">
        <f t="shared" ref="W8:W15" si="9">RANK(C8,$C$4:$C$26)</f>
        <v>3</v>
      </c>
      <c r="X8" s="96"/>
      <c r="Y8" s="25">
        <v>4</v>
      </c>
      <c r="Z8" s="25">
        <v>3</v>
      </c>
      <c r="AA8" s="25">
        <v>1</v>
      </c>
      <c r="AB8" s="25"/>
      <c r="AC8" s="25"/>
    </row>
    <row r="9" spans="1:29" ht="17.25" x14ac:dyDescent="0.3">
      <c r="A9" s="10" t="s">
        <v>51</v>
      </c>
      <c r="B9" s="1">
        <v>2</v>
      </c>
      <c r="C9" s="122">
        <f t="shared" si="1"/>
        <v>1</v>
      </c>
      <c r="D9" s="115">
        <v>1</v>
      </c>
      <c r="E9" s="115">
        <v>1</v>
      </c>
      <c r="F9" s="115">
        <v>1</v>
      </c>
      <c r="G9" s="1">
        <f t="shared" si="0"/>
        <v>1</v>
      </c>
      <c r="H9" s="115">
        <v>0</v>
      </c>
      <c r="I9" s="115">
        <v>0</v>
      </c>
      <c r="J9" s="115">
        <v>0</v>
      </c>
      <c r="K9" s="115">
        <v>0</v>
      </c>
      <c r="L9" s="115">
        <v>0</v>
      </c>
      <c r="M9" s="115">
        <v>0</v>
      </c>
      <c r="N9" s="115">
        <v>0</v>
      </c>
      <c r="O9" s="115">
        <v>0</v>
      </c>
      <c r="P9" s="79">
        <f t="shared" si="2"/>
        <v>0</v>
      </c>
      <c r="Q9" s="46">
        <f t="shared" si="3"/>
        <v>1</v>
      </c>
      <c r="R9" s="2">
        <f t="shared" si="4"/>
        <v>1</v>
      </c>
      <c r="S9" s="58">
        <f t="shared" si="5"/>
        <v>2</v>
      </c>
      <c r="T9" s="76" t="e">
        <f t="shared" si="6"/>
        <v>#DIV/0!</v>
      </c>
      <c r="U9" s="61">
        <f t="shared" si="7"/>
        <v>1</v>
      </c>
      <c r="V9" s="69">
        <f t="shared" si="8"/>
        <v>1</v>
      </c>
      <c r="W9" s="112">
        <f t="shared" si="9"/>
        <v>1</v>
      </c>
      <c r="X9" s="96"/>
      <c r="Y9" s="25"/>
      <c r="Z9" s="25"/>
      <c r="AA9" s="25"/>
      <c r="AB9" s="25"/>
      <c r="AC9" s="25"/>
    </row>
    <row r="10" spans="1:29" ht="17.25" x14ac:dyDescent="0.3">
      <c r="A10" s="10" t="s">
        <v>138</v>
      </c>
      <c r="B10" s="1">
        <v>2</v>
      </c>
      <c r="C10" s="122">
        <f t="shared" si="1"/>
        <v>0.5</v>
      </c>
      <c r="D10" s="115">
        <v>2</v>
      </c>
      <c r="E10" s="115">
        <v>2</v>
      </c>
      <c r="F10" s="115">
        <v>1</v>
      </c>
      <c r="G10" s="1">
        <f t="shared" si="0"/>
        <v>1</v>
      </c>
      <c r="H10" s="115">
        <v>0</v>
      </c>
      <c r="I10" s="115">
        <v>0</v>
      </c>
      <c r="J10" s="115">
        <v>0</v>
      </c>
      <c r="K10" s="115">
        <v>0</v>
      </c>
      <c r="L10" s="115">
        <v>1</v>
      </c>
      <c r="M10" s="115">
        <v>1</v>
      </c>
      <c r="N10" s="115">
        <f t="shared" ref="N10:N26" si="10">+Y10+Z10</f>
        <v>0</v>
      </c>
      <c r="O10" s="115">
        <v>0</v>
      </c>
      <c r="P10" s="79">
        <f t="shared" si="2"/>
        <v>0</v>
      </c>
      <c r="Q10" s="46">
        <f t="shared" si="3"/>
        <v>0.5</v>
      </c>
      <c r="R10" s="2">
        <f t="shared" si="4"/>
        <v>0.5</v>
      </c>
      <c r="S10" s="58">
        <f t="shared" si="5"/>
        <v>1</v>
      </c>
      <c r="T10" s="76">
        <f t="shared" si="6"/>
        <v>0</v>
      </c>
      <c r="U10" s="61">
        <f t="shared" si="7"/>
        <v>9</v>
      </c>
      <c r="V10" s="69">
        <f t="shared" si="8"/>
        <v>9</v>
      </c>
      <c r="W10" s="112">
        <f t="shared" si="9"/>
        <v>6</v>
      </c>
      <c r="X10" s="96"/>
      <c r="Y10" s="25"/>
      <c r="Z10" s="25"/>
      <c r="AA10" s="25"/>
      <c r="AB10" s="25"/>
      <c r="AC10" s="25"/>
    </row>
    <row r="11" spans="1:29" ht="17.25" x14ac:dyDescent="0.3">
      <c r="A11" s="10" t="s">
        <v>25</v>
      </c>
      <c r="B11" s="1">
        <v>9</v>
      </c>
      <c r="C11" s="122">
        <f t="shared" si="1"/>
        <v>0.66666666666666663</v>
      </c>
      <c r="D11" s="115">
        <v>31</v>
      </c>
      <c r="E11" s="115">
        <v>24</v>
      </c>
      <c r="F11" s="115">
        <v>16</v>
      </c>
      <c r="G11" s="1">
        <f t="shared" si="0"/>
        <v>10</v>
      </c>
      <c r="H11" s="115">
        <v>3</v>
      </c>
      <c r="I11" s="115">
        <v>1</v>
      </c>
      <c r="J11" s="115">
        <v>2</v>
      </c>
      <c r="K11" s="115">
        <v>20</v>
      </c>
      <c r="L11" s="115">
        <v>15</v>
      </c>
      <c r="M11" s="115">
        <v>15</v>
      </c>
      <c r="N11" s="115">
        <f t="shared" si="10"/>
        <v>5</v>
      </c>
      <c r="O11" s="115">
        <v>2</v>
      </c>
      <c r="P11" s="79">
        <f t="shared" si="2"/>
        <v>6.4516129032258063E-2</v>
      </c>
      <c r="Q11" s="46">
        <f t="shared" si="3"/>
        <v>1.125</v>
      </c>
      <c r="R11" s="2">
        <f t="shared" si="4"/>
        <v>0.67741935483870963</v>
      </c>
      <c r="S11" s="58">
        <f t="shared" si="5"/>
        <v>1.8024193548387095</v>
      </c>
      <c r="T11" s="76">
        <f t="shared" si="6"/>
        <v>0.2</v>
      </c>
      <c r="U11" s="61">
        <f t="shared" si="7"/>
        <v>4</v>
      </c>
      <c r="V11" s="69">
        <f t="shared" si="8"/>
        <v>2</v>
      </c>
      <c r="W11" s="112">
        <f t="shared" si="9"/>
        <v>2</v>
      </c>
      <c r="X11" s="96"/>
      <c r="Y11" s="25">
        <v>4</v>
      </c>
      <c r="Z11" s="25">
        <v>1</v>
      </c>
      <c r="AA11" s="25"/>
      <c r="AB11" s="25"/>
      <c r="AC11" s="25"/>
    </row>
    <row r="12" spans="1:29" ht="17.25" x14ac:dyDescent="0.3">
      <c r="A12" s="10" t="s">
        <v>21</v>
      </c>
      <c r="B12" s="1">
        <v>7</v>
      </c>
      <c r="C12" s="122">
        <f t="shared" si="1"/>
        <v>0.375</v>
      </c>
      <c r="D12" s="115">
        <v>21</v>
      </c>
      <c r="E12" s="115">
        <v>16</v>
      </c>
      <c r="F12" s="115">
        <v>6</v>
      </c>
      <c r="G12" s="1">
        <f t="shared" si="0"/>
        <v>6</v>
      </c>
      <c r="H12" s="115">
        <v>0</v>
      </c>
      <c r="I12" s="115">
        <v>0</v>
      </c>
      <c r="J12" s="115">
        <v>0</v>
      </c>
      <c r="K12" s="115">
        <v>10</v>
      </c>
      <c r="L12" s="115">
        <v>3</v>
      </c>
      <c r="M12" s="115">
        <v>1</v>
      </c>
      <c r="N12" s="115">
        <f t="shared" si="10"/>
        <v>5</v>
      </c>
      <c r="O12" s="115">
        <v>3</v>
      </c>
      <c r="P12" s="79">
        <f t="shared" si="2"/>
        <v>0.14285714285714285</v>
      </c>
      <c r="Q12" s="46">
        <f t="shared" si="3"/>
        <v>0.375</v>
      </c>
      <c r="R12" s="2">
        <f t="shared" si="4"/>
        <v>0.52380952380952384</v>
      </c>
      <c r="S12" s="58">
        <f t="shared" si="5"/>
        <v>0.89880952380952384</v>
      </c>
      <c r="T12" s="76">
        <f t="shared" si="6"/>
        <v>0.3</v>
      </c>
      <c r="U12" s="61">
        <f t="shared" si="7"/>
        <v>8</v>
      </c>
      <c r="V12" s="69">
        <f t="shared" si="8"/>
        <v>13</v>
      </c>
      <c r="W12" s="112">
        <f t="shared" si="9"/>
        <v>11</v>
      </c>
      <c r="X12" s="96"/>
      <c r="Y12" s="25">
        <v>5</v>
      </c>
      <c r="Z12" s="25">
        <v>0</v>
      </c>
      <c r="AA12" s="25"/>
      <c r="AB12" s="25"/>
      <c r="AC12" s="25"/>
    </row>
    <row r="13" spans="1:29" ht="17.25" x14ac:dyDescent="0.3">
      <c r="A13" s="10" t="s">
        <v>8</v>
      </c>
      <c r="B13" s="1">
        <v>4</v>
      </c>
      <c r="C13" s="122">
        <f t="shared" si="1"/>
        <v>0.2857142857142857</v>
      </c>
      <c r="D13" s="115">
        <v>7</v>
      </c>
      <c r="E13" s="115">
        <v>7</v>
      </c>
      <c r="F13" s="115">
        <v>2</v>
      </c>
      <c r="G13" s="1">
        <f t="shared" si="0"/>
        <v>2</v>
      </c>
      <c r="H13" s="115">
        <v>0</v>
      </c>
      <c r="I13" s="115">
        <v>0</v>
      </c>
      <c r="J13" s="115">
        <v>0</v>
      </c>
      <c r="K13" s="115">
        <v>3</v>
      </c>
      <c r="L13" s="115">
        <v>2</v>
      </c>
      <c r="M13" s="115">
        <v>1</v>
      </c>
      <c r="N13" s="115">
        <f t="shared" si="10"/>
        <v>0</v>
      </c>
      <c r="O13" s="115">
        <v>0</v>
      </c>
      <c r="P13" s="79">
        <f t="shared" si="2"/>
        <v>0</v>
      </c>
      <c r="Q13" s="46">
        <f t="shared" si="3"/>
        <v>0.2857142857142857</v>
      </c>
      <c r="R13" s="2">
        <f t="shared" si="4"/>
        <v>0.2857142857142857</v>
      </c>
      <c r="S13" s="58">
        <f t="shared" si="5"/>
        <v>0.5714285714285714</v>
      </c>
      <c r="T13" s="76">
        <f t="shared" si="6"/>
        <v>0</v>
      </c>
      <c r="U13" s="61">
        <f t="shared" si="7"/>
        <v>18</v>
      </c>
      <c r="V13" s="69">
        <f t="shared" si="8"/>
        <v>17</v>
      </c>
      <c r="W13" s="112">
        <f t="shared" si="9"/>
        <v>17</v>
      </c>
      <c r="X13" s="96"/>
      <c r="Y13" s="25">
        <v>0</v>
      </c>
      <c r="Z13" s="25">
        <v>0</v>
      </c>
      <c r="AA13" s="25"/>
      <c r="AB13" s="25"/>
      <c r="AC13" s="25"/>
    </row>
    <row r="14" spans="1:29" ht="17.25" x14ac:dyDescent="0.3">
      <c r="A14" s="10" t="s">
        <v>15</v>
      </c>
      <c r="B14" s="1">
        <v>7</v>
      </c>
      <c r="C14" s="122">
        <f t="shared" si="1"/>
        <v>0.3888888888888889</v>
      </c>
      <c r="D14" s="115">
        <v>19</v>
      </c>
      <c r="E14" s="115">
        <v>18</v>
      </c>
      <c r="F14" s="115">
        <v>7</v>
      </c>
      <c r="G14" s="1">
        <f t="shared" si="0"/>
        <v>3</v>
      </c>
      <c r="H14" s="115">
        <v>4</v>
      </c>
      <c r="I14" s="115">
        <v>0</v>
      </c>
      <c r="J14" s="115">
        <v>0</v>
      </c>
      <c r="K14" s="115">
        <v>7</v>
      </c>
      <c r="L14" s="115">
        <v>7</v>
      </c>
      <c r="M14" s="115">
        <v>3</v>
      </c>
      <c r="N14" s="115">
        <f t="shared" si="10"/>
        <v>1</v>
      </c>
      <c r="O14" s="115">
        <v>2</v>
      </c>
      <c r="P14" s="79">
        <f t="shared" si="2"/>
        <v>0.10526315789473684</v>
      </c>
      <c r="Q14" s="46">
        <f t="shared" si="3"/>
        <v>0.61111111111111116</v>
      </c>
      <c r="R14" s="2">
        <f t="shared" si="4"/>
        <v>0.42105263157894735</v>
      </c>
      <c r="S14" s="58">
        <f t="shared" si="5"/>
        <v>1.0321637426900585</v>
      </c>
      <c r="T14" s="76">
        <f t="shared" si="6"/>
        <v>0.18181818181818182</v>
      </c>
      <c r="U14" s="61">
        <f t="shared" si="7"/>
        <v>12</v>
      </c>
      <c r="V14" s="69">
        <f t="shared" si="8"/>
        <v>8</v>
      </c>
      <c r="W14" s="112">
        <f t="shared" si="9"/>
        <v>10</v>
      </c>
      <c r="X14" s="96"/>
      <c r="Y14" s="25">
        <v>1</v>
      </c>
      <c r="Z14" s="25">
        <v>0</v>
      </c>
      <c r="AA14" s="25"/>
      <c r="AB14" s="25">
        <v>1</v>
      </c>
      <c r="AC14" s="25"/>
    </row>
    <row r="15" spans="1:29" ht="17.25" x14ac:dyDescent="0.3">
      <c r="A15" s="10" t="s">
        <v>23</v>
      </c>
      <c r="B15" s="1">
        <v>7</v>
      </c>
      <c r="C15" s="122">
        <f t="shared" si="1"/>
        <v>0.5714285714285714</v>
      </c>
      <c r="D15" s="115">
        <v>8</v>
      </c>
      <c r="E15" s="115">
        <v>7</v>
      </c>
      <c r="F15" s="115">
        <v>4</v>
      </c>
      <c r="G15" s="1">
        <f t="shared" si="0"/>
        <v>4</v>
      </c>
      <c r="H15" s="115">
        <v>0</v>
      </c>
      <c r="I15" s="115">
        <v>0</v>
      </c>
      <c r="J15" s="115">
        <v>0</v>
      </c>
      <c r="K15" s="115">
        <v>4</v>
      </c>
      <c r="L15" s="115">
        <v>3</v>
      </c>
      <c r="M15" s="115">
        <v>5</v>
      </c>
      <c r="N15" s="115">
        <f t="shared" si="10"/>
        <v>1</v>
      </c>
      <c r="O15" s="115">
        <v>0</v>
      </c>
      <c r="P15" s="79">
        <f t="shared" si="2"/>
        <v>0</v>
      </c>
      <c r="Q15" s="46">
        <f t="shared" si="3"/>
        <v>0.5714285714285714</v>
      </c>
      <c r="R15" s="2">
        <f t="shared" si="4"/>
        <v>0.625</v>
      </c>
      <c r="S15" s="58">
        <f t="shared" si="5"/>
        <v>1.1964285714285714</v>
      </c>
      <c r="T15" s="76">
        <f t="shared" si="6"/>
        <v>0</v>
      </c>
      <c r="U15" s="61">
        <f t="shared" si="7"/>
        <v>6</v>
      </c>
      <c r="V15" s="69">
        <f t="shared" si="8"/>
        <v>7</v>
      </c>
      <c r="W15" s="112">
        <f t="shared" si="9"/>
        <v>5</v>
      </c>
      <c r="X15" s="96"/>
      <c r="Y15" s="25">
        <v>1</v>
      </c>
      <c r="Z15" s="25">
        <v>0</v>
      </c>
      <c r="AA15" s="25"/>
      <c r="AB15" s="25"/>
      <c r="AC15" s="25"/>
    </row>
    <row r="16" spans="1:29" ht="17.25" x14ac:dyDescent="0.3">
      <c r="A16" s="43" t="s">
        <v>50</v>
      </c>
      <c r="B16" s="1"/>
      <c r="C16" s="122"/>
      <c r="D16" s="115"/>
      <c r="E16" s="115"/>
      <c r="F16" s="115"/>
      <c r="G16" s="1">
        <f t="shared" si="0"/>
        <v>0</v>
      </c>
      <c r="H16" s="115"/>
      <c r="I16" s="115"/>
      <c r="J16" s="115"/>
      <c r="K16" s="115"/>
      <c r="L16" s="115"/>
      <c r="M16" s="115"/>
      <c r="N16" s="115">
        <f t="shared" si="10"/>
        <v>0</v>
      </c>
      <c r="O16" s="115"/>
      <c r="P16" s="79"/>
      <c r="Q16" s="46"/>
      <c r="R16" s="2"/>
      <c r="S16" s="58"/>
      <c r="T16" s="76"/>
      <c r="U16" s="61"/>
      <c r="V16" s="69"/>
      <c r="W16" s="112"/>
      <c r="X16" s="96"/>
      <c r="Y16" s="25"/>
      <c r="Z16" s="25"/>
      <c r="AA16" s="25"/>
      <c r="AB16" s="25"/>
      <c r="AC16" s="25"/>
    </row>
    <row r="17" spans="1:29" ht="17.25" x14ac:dyDescent="0.3">
      <c r="A17" s="133" t="s">
        <v>33</v>
      </c>
      <c r="B17" s="1">
        <v>6</v>
      </c>
      <c r="C17" s="122">
        <f>+F17/E17</f>
        <v>0.6</v>
      </c>
      <c r="D17" s="115">
        <v>13</v>
      </c>
      <c r="E17" s="115">
        <v>10</v>
      </c>
      <c r="F17" s="115">
        <v>6</v>
      </c>
      <c r="G17" s="1">
        <f t="shared" si="0"/>
        <v>4</v>
      </c>
      <c r="H17" s="115">
        <v>2</v>
      </c>
      <c r="I17" s="115">
        <v>0</v>
      </c>
      <c r="J17" s="115">
        <v>0</v>
      </c>
      <c r="K17" s="115">
        <v>6</v>
      </c>
      <c r="L17" s="115">
        <v>3</v>
      </c>
      <c r="M17" s="115">
        <v>7</v>
      </c>
      <c r="N17" s="115">
        <f t="shared" si="10"/>
        <v>3</v>
      </c>
      <c r="O17" s="115">
        <v>3</v>
      </c>
      <c r="P17" s="79">
        <f>+O17/D17</f>
        <v>0.23076923076923078</v>
      </c>
      <c r="Q17" s="46">
        <f>+(G17*1+H17*2+I17*3+J17*4)/E17</f>
        <v>0.8</v>
      </c>
      <c r="R17" s="2">
        <f>+(F17+N17)/(D17-AA17)</f>
        <v>0.69230769230769229</v>
      </c>
      <c r="S17" s="58">
        <f>+R17+Q17</f>
        <v>1.4923076923076923</v>
      </c>
      <c r="T17" s="76">
        <f>O17/(D17-(F17+N17))</f>
        <v>0.75</v>
      </c>
      <c r="U17" s="61">
        <f>RANK(R17,$R$4:$R$26)</f>
        <v>3</v>
      </c>
      <c r="V17" s="69">
        <f>RANK(S17,$S$4:$S$26)</f>
        <v>4</v>
      </c>
      <c r="W17" s="112">
        <f>RANK(C17,$C$4:$C$26)</f>
        <v>4</v>
      </c>
      <c r="X17" s="96"/>
      <c r="Y17" s="25">
        <v>2</v>
      </c>
      <c r="Z17" s="25">
        <v>1</v>
      </c>
      <c r="AA17" s="25"/>
      <c r="AB17" s="25">
        <v>2</v>
      </c>
      <c r="AC17" s="25"/>
    </row>
    <row r="18" spans="1:29" ht="17.25" x14ac:dyDescent="0.3">
      <c r="A18" s="10" t="s">
        <v>60</v>
      </c>
      <c r="B18" s="1">
        <v>6</v>
      </c>
      <c r="C18" s="122">
        <f>+F18/E18</f>
        <v>0.42857142857142855</v>
      </c>
      <c r="D18" s="115">
        <v>11</v>
      </c>
      <c r="E18" s="115">
        <v>7</v>
      </c>
      <c r="F18" s="115">
        <v>3</v>
      </c>
      <c r="G18" s="1">
        <f t="shared" si="0"/>
        <v>2</v>
      </c>
      <c r="H18" s="115">
        <v>1</v>
      </c>
      <c r="I18" s="115">
        <v>0</v>
      </c>
      <c r="J18" s="115">
        <v>0</v>
      </c>
      <c r="K18" s="115">
        <v>4</v>
      </c>
      <c r="L18" s="115">
        <v>2</v>
      </c>
      <c r="M18" s="115">
        <v>1</v>
      </c>
      <c r="N18" s="115">
        <f t="shared" si="10"/>
        <v>4</v>
      </c>
      <c r="O18" s="115">
        <v>0</v>
      </c>
      <c r="P18" s="79">
        <f>+O18/D18</f>
        <v>0</v>
      </c>
      <c r="Q18" s="46">
        <f>+(G18*1+H18*2+I18*3+J18*4)/E18</f>
        <v>0.5714285714285714</v>
      </c>
      <c r="R18" s="2">
        <f>+(F18+N18)/(D18-AA18)</f>
        <v>0.63636363636363635</v>
      </c>
      <c r="S18" s="58">
        <f>+R18+Q18</f>
        <v>1.2077922077922079</v>
      </c>
      <c r="T18" s="76"/>
      <c r="U18" s="61">
        <f>RANK(R18,$R$4:$R$26)</f>
        <v>5</v>
      </c>
      <c r="V18" s="69">
        <f>RANK(S18,$S$4:$S$26)</f>
        <v>6</v>
      </c>
      <c r="W18" s="112">
        <f>RANK(C18,$C$4:$C$26)</f>
        <v>8</v>
      </c>
      <c r="X18" s="96"/>
      <c r="Y18" s="25">
        <v>3</v>
      </c>
      <c r="Z18" s="25">
        <v>1</v>
      </c>
      <c r="AA18" s="25"/>
      <c r="AB18" s="25"/>
      <c r="AC18" s="25"/>
    </row>
    <row r="19" spans="1:29" ht="17.25" x14ac:dyDescent="0.3">
      <c r="A19" s="10" t="s">
        <v>12</v>
      </c>
      <c r="B19" s="1">
        <v>6</v>
      </c>
      <c r="C19" s="122">
        <f>+F19/E19</f>
        <v>0.30769230769230771</v>
      </c>
      <c r="D19" s="115">
        <v>15</v>
      </c>
      <c r="E19" s="115">
        <v>13</v>
      </c>
      <c r="F19" s="115">
        <v>4</v>
      </c>
      <c r="G19" s="1">
        <f t="shared" si="0"/>
        <v>4</v>
      </c>
      <c r="H19" s="115">
        <v>0</v>
      </c>
      <c r="I19" s="115">
        <v>0</v>
      </c>
      <c r="J19" s="115">
        <v>0</v>
      </c>
      <c r="K19" s="115">
        <v>2</v>
      </c>
      <c r="L19" s="115">
        <v>4</v>
      </c>
      <c r="M19" s="115">
        <v>0</v>
      </c>
      <c r="N19" s="115">
        <f t="shared" si="10"/>
        <v>1</v>
      </c>
      <c r="O19" s="115">
        <v>1</v>
      </c>
      <c r="P19" s="79">
        <f>+O19/D19</f>
        <v>6.6666666666666666E-2</v>
      </c>
      <c r="Q19" s="46">
        <f>+(G19*1+H19*2+I19*3+J19*4)/E19</f>
        <v>0.30769230769230771</v>
      </c>
      <c r="R19" s="2">
        <f>+(F19+N19)/(D19-AA19)</f>
        <v>0.33333333333333331</v>
      </c>
      <c r="S19" s="58">
        <f>+R19+Q19</f>
        <v>0.64102564102564097</v>
      </c>
      <c r="T19" s="76">
        <f>O19/(D19-(F19+N19))</f>
        <v>0.1</v>
      </c>
      <c r="U19" s="61">
        <f>RANK(R19,$R$4:$R$26)</f>
        <v>15</v>
      </c>
      <c r="V19" s="69">
        <f>RANK(S19,$S$4:$S$26)</f>
        <v>16</v>
      </c>
      <c r="W19" s="112"/>
      <c r="X19" s="96"/>
      <c r="Y19" s="25">
        <v>0</v>
      </c>
      <c r="Z19" s="25">
        <v>1</v>
      </c>
      <c r="AA19" s="25"/>
      <c r="AB19" s="25"/>
      <c r="AC19" s="25"/>
    </row>
    <row r="20" spans="1:29" ht="17.25" x14ac:dyDescent="0.3">
      <c r="A20" s="10" t="s">
        <v>154</v>
      </c>
      <c r="B20" s="1">
        <v>4</v>
      </c>
      <c r="C20" s="122">
        <f>+F20/E20</f>
        <v>0.4</v>
      </c>
      <c r="D20" s="115">
        <v>13</v>
      </c>
      <c r="E20" s="115">
        <v>10</v>
      </c>
      <c r="F20" s="115">
        <v>4</v>
      </c>
      <c r="G20" s="1">
        <f t="shared" si="0"/>
        <v>4</v>
      </c>
      <c r="H20" s="115">
        <v>0</v>
      </c>
      <c r="I20" s="115">
        <v>0</v>
      </c>
      <c r="J20" s="115">
        <v>0</v>
      </c>
      <c r="K20" s="115">
        <v>4</v>
      </c>
      <c r="L20" s="115">
        <v>4</v>
      </c>
      <c r="M20" s="115">
        <v>2</v>
      </c>
      <c r="N20" s="115">
        <f t="shared" si="10"/>
        <v>3</v>
      </c>
      <c r="O20" s="115">
        <v>0</v>
      </c>
      <c r="P20" s="79">
        <f>+O20/D20</f>
        <v>0</v>
      </c>
      <c r="Q20" s="46">
        <f>+(G20*1+H20*2+I20*3+J20*4)/E20</f>
        <v>0.4</v>
      </c>
      <c r="R20" s="2">
        <f>+(F20+N20)/(D20-AA20)</f>
        <v>0.53846153846153844</v>
      </c>
      <c r="S20" s="58">
        <f>+R20+Q20</f>
        <v>0.93846153846153846</v>
      </c>
      <c r="T20" s="76">
        <f>O20/(D20-(F20+N20))</f>
        <v>0</v>
      </c>
      <c r="U20" s="61">
        <f>RANK(R20,$R$4:$R$26)</f>
        <v>7</v>
      </c>
      <c r="V20" s="69">
        <f>RANK(S20,$S$4:$S$26)</f>
        <v>11</v>
      </c>
      <c r="W20" s="112">
        <f>RANK(C20,$C$4:$C$26)</f>
        <v>9</v>
      </c>
      <c r="X20" s="96"/>
      <c r="Y20" s="25">
        <v>1</v>
      </c>
      <c r="Z20" s="25">
        <v>2</v>
      </c>
      <c r="AA20" s="25"/>
      <c r="AB20" s="25"/>
      <c r="AC20" s="25"/>
    </row>
    <row r="21" spans="1:29" ht="17.25" x14ac:dyDescent="0.3">
      <c r="A21" s="10" t="s">
        <v>24</v>
      </c>
      <c r="B21" s="1">
        <v>2</v>
      </c>
      <c r="C21" s="122">
        <f>+F21/E21</f>
        <v>0</v>
      </c>
      <c r="D21" s="115">
        <v>3</v>
      </c>
      <c r="E21" s="115">
        <v>2</v>
      </c>
      <c r="F21" s="115">
        <v>0</v>
      </c>
      <c r="G21" s="1">
        <f t="shared" si="0"/>
        <v>0</v>
      </c>
      <c r="H21" s="115">
        <v>0</v>
      </c>
      <c r="I21" s="115">
        <v>0</v>
      </c>
      <c r="J21" s="115">
        <v>0</v>
      </c>
      <c r="K21" s="115">
        <v>0</v>
      </c>
      <c r="L21" s="115">
        <v>0</v>
      </c>
      <c r="M21" s="115">
        <v>0</v>
      </c>
      <c r="N21" s="115">
        <f t="shared" si="10"/>
        <v>1</v>
      </c>
      <c r="O21" s="115">
        <v>1</v>
      </c>
      <c r="P21" s="79">
        <f>+O21/D21</f>
        <v>0.33333333333333331</v>
      </c>
      <c r="Q21" s="46">
        <f>+(G21*1+H21*2+I21*3+J21*4)/E21</f>
        <v>0</v>
      </c>
      <c r="R21" s="2">
        <f>+(F21+N21)/(D21-AA21)</f>
        <v>0.33333333333333331</v>
      </c>
      <c r="S21" s="58">
        <f>+R21+Q21</f>
        <v>0.33333333333333331</v>
      </c>
      <c r="T21" s="76">
        <f>O21/(D21-(F21+N21))</f>
        <v>0.5</v>
      </c>
      <c r="U21" s="61">
        <f>RANK(R21,$R$4:$R$26)</f>
        <v>15</v>
      </c>
      <c r="V21" s="69">
        <f>RANK(S21,$S$4:$S$26)</f>
        <v>18</v>
      </c>
      <c r="W21" s="112">
        <f>RANK(C21,$C$4:$C$26)</f>
        <v>18</v>
      </c>
      <c r="X21" s="96"/>
      <c r="Y21" s="25">
        <v>1</v>
      </c>
      <c r="Z21" s="25">
        <v>0</v>
      </c>
      <c r="AA21" s="25"/>
      <c r="AB21" s="25"/>
      <c r="AC21" s="25"/>
    </row>
    <row r="22" spans="1:29" ht="17.25" x14ac:dyDescent="0.3">
      <c r="A22" s="10" t="s">
        <v>14</v>
      </c>
      <c r="B22" s="1">
        <v>1</v>
      </c>
      <c r="C22" s="122">
        <f>+F22/E22</f>
        <v>0</v>
      </c>
      <c r="D22" s="115">
        <v>2</v>
      </c>
      <c r="E22" s="115">
        <v>2</v>
      </c>
      <c r="F22" s="115">
        <v>0</v>
      </c>
      <c r="G22" s="1">
        <f t="shared" si="0"/>
        <v>0</v>
      </c>
      <c r="H22" s="115">
        <v>0</v>
      </c>
      <c r="I22" s="115">
        <v>0</v>
      </c>
      <c r="J22" s="115">
        <v>0</v>
      </c>
      <c r="K22" s="115">
        <v>0</v>
      </c>
      <c r="L22" s="115">
        <v>0</v>
      </c>
      <c r="M22" s="115">
        <v>1</v>
      </c>
      <c r="N22" s="115">
        <f t="shared" si="10"/>
        <v>0</v>
      </c>
      <c r="O22" s="115">
        <v>0</v>
      </c>
      <c r="P22" s="79">
        <f>+O22/D22</f>
        <v>0</v>
      </c>
      <c r="Q22" s="46">
        <f>+(G22*1+H22*2+I22*3+J22*4)/E22</f>
        <v>0</v>
      </c>
      <c r="R22" s="2">
        <f>+(F22+N22)/(D22-AA22)</f>
        <v>0</v>
      </c>
      <c r="S22" s="58">
        <f>+R22+Q22</f>
        <v>0</v>
      </c>
      <c r="T22" s="76">
        <f>O22/(D22-(F22+N22))</f>
        <v>0</v>
      </c>
      <c r="U22" s="61">
        <f>RANK(R22,$R$4:$R$26)</f>
        <v>19</v>
      </c>
      <c r="V22" s="69">
        <f>RANK(S22,$S$4:$S$26)</f>
        <v>19</v>
      </c>
      <c r="W22" s="112">
        <f>RANK(C22,$C$4:$C$26)</f>
        <v>18</v>
      </c>
      <c r="X22" s="96"/>
      <c r="Y22" s="25"/>
      <c r="Z22" s="25"/>
      <c r="AA22" s="25"/>
      <c r="AB22" s="25"/>
      <c r="AC22" s="25"/>
    </row>
    <row r="23" spans="1:29" ht="17.25" x14ac:dyDescent="0.3">
      <c r="A23" s="10" t="s">
        <v>47</v>
      </c>
      <c r="B23" s="1">
        <v>2</v>
      </c>
      <c r="C23" s="122">
        <f>+F23/E23</f>
        <v>0</v>
      </c>
      <c r="D23" s="115">
        <v>3</v>
      </c>
      <c r="E23" s="115">
        <v>3</v>
      </c>
      <c r="F23" s="115">
        <v>0</v>
      </c>
      <c r="G23" s="1">
        <f t="shared" si="0"/>
        <v>0</v>
      </c>
      <c r="H23" s="115">
        <v>0</v>
      </c>
      <c r="I23" s="115">
        <v>0</v>
      </c>
      <c r="J23" s="115">
        <v>0</v>
      </c>
      <c r="K23" s="115">
        <v>0</v>
      </c>
      <c r="L23" s="115">
        <v>0</v>
      </c>
      <c r="M23" s="115">
        <v>0</v>
      </c>
      <c r="N23" s="115">
        <f t="shared" si="10"/>
        <v>0</v>
      </c>
      <c r="O23" s="115">
        <v>1</v>
      </c>
      <c r="P23" s="79">
        <f>+O23/D23</f>
        <v>0.33333333333333331</v>
      </c>
      <c r="Q23" s="46">
        <f>+(G23*1+H23*2+I23*3+J23*4)/E23</f>
        <v>0</v>
      </c>
      <c r="R23" s="2">
        <f>+(F23+N23)/(D23-AA23)</f>
        <v>0</v>
      </c>
      <c r="S23" s="58">
        <f>+R23+Q23</f>
        <v>0</v>
      </c>
      <c r="T23" s="76">
        <f>O23/(D23-(F23+N23))</f>
        <v>0.33333333333333331</v>
      </c>
      <c r="U23" s="61">
        <f>RANK(R23,$R$4:$R$26)</f>
        <v>19</v>
      </c>
      <c r="V23" s="69">
        <f>RANK(S23,$S$4:$S$26)</f>
        <v>19</v>
      </c>
      <c r="W23" s="112">
        <f>RANK(C23,$C$4:$C$26)</f>
        <v>18</v>
      </c>
      <c r="X23" s="96"/>
      <c r="Y23" s="25">
        <v>0</v>
      </c>
      <c r="Z23" s="25">
        <v>0</v>
      </c>
      <c r="AA23" s="25"/>
      <c r="AB23" s="25"/>
      <c r="AC23" s="25"/>
    </row>
    <row r="24" spans="1:29" ht="17.25" x14ac:dyDescent="0.3">
      <c r="A24" s="10" t="s">
        <v>22</v>
      </c>
      <c r="B24" s="1">
        <v>8</v>
      </c>
      <c r="C24" s="122">
        <f>+F24/E24</f>
        <v>0.3</v>
      </c>
      <c r="D24" s="115">
        <v>23</v>
      </c>
      <c r="E24" s="115">
        <v>20</v>
      </c>
      <c r="F24" s="115">
        <v>6</v>
      </c>
      <c r="G24" s="1">
        <f t="shared" si="0"/>
        <v>3</v>
      </c>
      <c r="H24" s="115">
        <v>3</v>
      </c>
      <c r="I24" s="115">
        <v>0</v>
      </c>
      <c r="J24" s="115">
        <v>0</v>
      </c>
      <c r="K24" s="115">
        <v>6</v>
      </c>
      <c r="L24" s="115">
        <v>8</v>
      </c>
      <c r="M24" s="115">
        <v>4</v>
      </c>
      <c r="N24" s="115">
        <f t="shared" si="10"/>
        <v>3</v>
      </c>
      <c r="O24" s="115">
        <v>2</v>
      </c>
      <c r="P24" s="79">
        <f>+O24/D24</f>
        <v>8.6956521739130432E-2</v>
      </c>
      <c r="Q24" s="46">
        <f>+(G24*1+H24*2+I24*3+J24*4)/E24</f>
        <v>0.45</v>
      </c>
      <c r="R24" s="2">
        <f>+(F24+N24)/(D24-AA24)</f>
        <v>0.39130434782608697</v>
      </c>
      <c r="S24" s="58">
        <f>+R24+Q24</f>
        <v>0.84130434782608698</v>
      </c>
      <c r="T24" s="76">
        <f>O24/(D24-(F24+N24))</f>
        <v>0.14285714285714285</v>
      </c>
      <c r="U24" s="61">
        <f>RANK(R24,$R$4:$R$26)</f>
        <v>13</v>
      </c>
      <c r="V24" s="69">
        <f>RANK(S24,$S$4:$S$26)</f>
        <v>14</v>
      </c>
      <c r="W24" s="112">
        <f>RANK(C24,$C$4:$C$26)</f>
        <v>15</v>
      </c>
      <c r="X24" s="96"/>
      <c r="Y24" s="25">
        <v>3</v>
      </c>
      <c r="Z24" s="25">
        <v>0</v>
      </c>
      <c r="AA24" s="25"/>
      <c r="AB24" s="25"/>
      <c r="AC24" s="25"/>
    </row>
    <row r="25" spans="1:29" ht="17.25" x14ac:dyDescent="0.3">
      <c r="A25" s="10" t="s">
        <v>155</v>
      </c>
      <c r="B25" s="1">
        <v>8</v>
      </c>
      <c r="C25" s="122">
        <f>+F25/E25</f>
        <v>0.3</v>
      </c>
      <c r="D25" s="115">
        <v>25</v>
      </c>
      <c r="E25" s="115">
        <v>20</v>
      </c>
      <c r="F25" s="115">
        <v>6</v>
      </c>
      <c r="G25" s="1">
        <f t="shared" si="0"/>
        <v>3</v>
      </c>
      <c r="H25" s="115">
        <v>1</v>
      </c>
      <c r="I25" s="115">
        <v>1</v>
      </c>
      <c r="J25" s="115">
        <v>1</v>
      </c>
      <c r="K25" s="115">
        <v>7</v>
      </c>
      <c r="L25" s="115">
        <v>10</v>
      </c>
      <c r="M25" s="115">
        <v>5</v>
      </c>
      <c r="N25" s="115">
        <f t="shared" si="10"/>
        <v>3</v>
      </c>
      <c r="O25" s="115">
        <v>3</v>
      </c>
      <c r="P25" s="79">
        <f>+O25/D25</f>
        <v>0.12</v>
      </c>
      <c r="Q25" s="46">
        <f>+(G25*1+H25*2+I25*3+J25*4)/E25</f>
        <v>0.6</v>
      </c>
      <c r="R25" s="2">
        <f>+(F25+N25)/(D25-AA25)</f>
        <v>0.36</v>
      </c>
      <c r="S25" s="58">
        <f>+R25+Q25</f>
        <v>0.96</v>
      </c>
      <c r="T25" s="76">
        <f>O25/(D25-(F25+N25))</f>
        <v>0.1875</v>
      </c>
      <c r="U25" s="61">
        <f>RANK(R25,$R$4:$R$26)</f>
        <v>14</v>
      </c>
      <c r="V25" s="69">
        <f>RANK(S25,$S$4:$S$26)</f>
        <v>10</v>
      </c>
      <c r="W25" s="112">
        <f>RANK(C25,$C$4:$C$26)</f>
        <v>15</v>
      </c>
      <c r="X25" s="96"/>
      <c r="Y25" s="25">
        <v>3</v>
      </c>
      <c r="Z25" s="25">
        <v>0</v>
      </c>
      <c r="AA25" s="25"/>
      <c r="AB25" s="25"/>
      <c r="AC25" s="25"/>
    </row>
    <row r="26" spans="1:29" ht="17.25" x14ac:dyDescent="0.3">
      <c r="A26" s="10" t="s">
        <v>54</v>
      </c>
      <c r="B26" s="1">
        <v>5</v>
      </c>
      <c r="C26" s="122">
        <f>+F26/E26</f>
        <v>0.36363636363636365</v>
      </c>
      <c r="D26" s="115">
        <v>13</v>
      </c>
      <c r="E26" s="115">
        <v>11</v>
      </c>
      <c r="F26" s="115">
        <v>4</v>
      </c>
      <c r="G26" s="1">
        <f t="shared" si="0"/>
        <v>3</v>
      </c>
      <c r="H26" s="115">
        <v>1</v>
      </c>
      <c r="I26" s="115">
        <v>0</v>
      </c>
      <c r="J26" s="115">
        <v>0</v>
      </c>
      <c r="K26" s="115">
        <v>6</v>
      </c>
      <c r="L26" s="115">
        <v>3</v>
      </c>
      <c r="M26" s="115">
        <v>3</v>
      </c>
      <c r="N26" s="115">
        <f t="shared" si="10"/>
        <v>2</v>
      </c>
      <c r="O26" s="115">
        <v>4</v>
      </c>
      <c r="P26" s="79">
        <f>+O26/D26</f>
        <v>0.30769230769230771</v>
      </c>
      <c r="Q26" s="46">
        <f>+(G26*1+H26*2+I26*3+J26*4)/E26</f>
        <v>0.45454545454545453</v>
      </c>
      <c r="R26" s="2">
        <f>+(F26+N26)/(D26-AA26)</f>
        <v>0.46153846153846156</v>
      </c>
      <c r="S26" s="58">
        <f>+R26+Q26</f>
        <v>0.91608391608391604</v>
      </c>
      <c r="T26" s="76">
        <f>O26/(D26-(F26+N26))</f>
        <v>0.5714285714285714</v>
      </c>
      <c r="U26" s="61">
        <f>RANK(R26,$R$4:$R$26)</f>
        <v>11</v>
      </c>
      <c r="V26" s="69">
        <f>RANK(S26,$S$4:$S$26)</f>
        <v>12</v>
      </c>
      <c r="W26" s="112">
        <f>RANK(C26,$C$4:$C$26)</f>
        <v>12</v>
      </c>
      <c r="X26" s="96"/>
      <c r="Y26" s="25">
        <v>2</v>
      </c>
      <c r="Z26" s="25">
        <v>0</v>
      </c>
      <c r="AA26" s="25"/>
      <c r="AB26" s="25"/>
      <c r="AC26" s="25">
        <v>1</v>
      </c>
    </row>
    <row r="27" spans="1:29" ht="17.25" x14ac:dyDescent="0.3">
      <c r="A27" s="11" t="s">
        <v>10</v>
      </c>
      <c r="B27" s="11"/>
      <c r="C27" s="17">
        <f t="shared" ref="C27" si="11">+F27/E27</f>
        <v>0.42009132420091322</v>
      </c>
      <c r="D27" s="11">
        <f t="shared" ref="D27:O27" si="12">SUM(D4:D26)</f>
        <v>271</v>
      </c>
      <c r="E27" s="11">
        <f t="shared" si="12"/>
        <v>219</v>
      </c>
      <c r="F27" s="11">
        <f t="shared" si="12"/>
        <v>92</v>
      </c>
      <c r="G27" s="11">
        <f t="shared" si="12"/>
        <v>63</v>
      </c>
      <c r="H27" s="11">
        <f t="shared" si="12"/>
        <v>22</v>
      </c>
      <c r="I27" s="11">
        <f t="shared" si="12"/>
        <v>5</v>
      </c>
      <c r="J27" s="11">
        <f t="shared" si="12"/>
        <v>4</v>
      </c>
      <c r="K27" s="11">
        <f t="shared" si="12"/>
        <v>106</v>
      </c>
      <c r="L27" s="11">
        <f t="shared" si="12"/>
        <v>87</v>
      </c>
      <c r="M27" s="11">
        <f t="shared" si="12"/>
        <v>68</v>
      </c>
      <c r="N27" s="11">
        <f t="shared" si="12"/>
        <v>44</v>
      </c>
      <c r="O27" s="11">
        <f t="shared" si="12"/>
        <v>28</v>
      </c>
      <c r="P27" s="29">
        <f t="shared" ref="P27" si="13">+O27/D27</f>
        <v>0.10332103321033211</v>
      </c>
      <c r="Q27" s="17"/>
      <c r="R27" s="17"/>
      <c r="S27" s="57"/>
      <c r="T27" s="68"/>
      <c r="U27" s="68"/>
      <c r="V27" s="68"/>
      <c r="W27" s="68"/>
      <c r="Y27" s="81">
        <f>SUM(Y4:Y26)</f>
        <v>32</v>
      </c>
      <c r="Z27" s="81">
        <f>SUM(Z4:Z26)</f>
        <v>12</v>
      </c>
      <c r="AA27" s="81">
        <f>SUM(AA4:AA26)</f>
        <v>1</v>
      </c>
      <c r="AB27" s="81">
        <f>SUM(AB4:AB26)</f>
        <v>3</v>
      </c>
      <c r="AC27" s="81">
        <f>SUM(AC4:AC26)</f>
        <v>1</v>
      </c>
    </row>
    <row r="28" spans="1:29" ht="17.25" x14ac:dyDescent="0.3">
      <c r="A28" s="22"/>
      <c r="B28" s="22"/>
      <c r="C28" s="23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3"/>
      <c r="R28" s="23"/>
    </row>
    <row r="29" spans="1:29" ht="17.25" x14ac:dyDescent="0.3">
      <c r="A29" s="4" t="s">
        <v>3</v>
      </c>
    </row>
    <row r="30" spans="1:29" ht="34.5" x14ac:dyDescent="0.3">
      <c r="A30" s="10" t="s">
        <v>27</v>
      </c>
      <c r="B30" s="10" t="s">
        <v>46</v>
      </c>
      <c r="C30" s="10" t="s">
        <v>55</v>
      </c>
      <c r="D30" s="10" t="s">
        <v>41</v>
      </c>
      <c r="E30" s="10" t="s">
        <v>48</v>
      </c>
      <c r="F30" s="10" t="s">
        <v>45</v>
      </c>
      <c r="G30" s="10" t="s">
        <v>38</v>
      </c>
      <c r="H30" s="10" t="s">
        <v>5</v>
      </c>
      <c r="I30" s="10" t="s">
        <v>17</v>
      </c>
      <c r="J30" s="10" t="s">
        <v>26</v>
      </c>
      <c r="K30" s="10" t="s">
        <v>30</v>
      </c>
      <c r="L30" s="10" t="s">
        <v>89</v>
      </c>
      <c r="M30" s="10" t="s">
        <v>6</v>
      </c>
      <c r="N30" s="10" t="s">
        <v>42</v>
      </c>
      <c r="O30" s="10" t="s">
        <v>35</v>
      </c>
      <c r="P30" s="10" t="s">
        <v>49</v>
      </c>
      <c r="Q30" s="10" t="s">
        <v>56</v>
      </c>
      <c r="R30" s="10" t="s">
        <v>66</v>
      </c>
      <c r="S30" s="10" t="s">
        <v>90</v>
      </c>
      <c r="T30" s="10" t="s">
        <v>70</v>
      </c>
      <c r="U30" s="10" t="s">
        <v>149</v>
      </c>
      <c r="V30" s="10" t="s">
        <v>68</v>
      </c>
      <c r="W30" s="10" t="s">
        <v>135</v>
      </c>
      <c r="Y30" s="10" t="s">
        <v>159</v>
      </c>
      <c r="Z30" s="10" t="s">
        <v>148</v>
      </c>
    </row>
    <row r="31" spans="1:29" ht="17.25" x14ac:dyDescent="0.3">
      <c r="A31" s="10" t="s">
        <v>59</v>
      </c>
      <c r="B31" s="1"/>
      <c r="C31" s="115"/>
      <c r="D31" s="115"/>
      <c r="E31" s="115"/>
      <c r="F31" s="115"/>
      <c r="G31" s="115"/>
      <c r="H31" s="119"/>
      <c r="I31" s="115"/>
      <c r="J31" s="115"/>
      <c r="K31" s="115"/>
      <c r="L31" s="115"/>
      <c r="M31" s="115"/>
      <c r="N31" s="115"/>
      <c r="O31" s="115"/>
      <c r="P31" s="120" t="e">
        <f>+O31*9/H31</f>
        <v>#DIV/0!</v>
      </c>
      <c r="Q31" s="38" t="e">
        <f>(K31+L31)/H31</f>
        <v>#DIV/0!</v>
      </c>
      <c r="R31" s="121" t="e">
        <f>I31/H31</f>
        <v>#DIV/0!</v>
      </c>
      <c r="S31" s="39" t="e">
        <f>H31/B31</f>
        <v>#DIV/0!</v>
      </c>
      <c r="T31" s="40" t="e">
        <f>M31/H31</f>
        <v>#DIV/0!</v>
      </c>
      <c r="U31" s="33" t="e">
        <f>O31/N31</f>
        <v>#DIV/0!</v>
      </c>
      <c r="V31" s="38" t="e">
        <f>(I31+K31+L31)/H31</f>
        <v>#DIV/0!</v>
      </c>
      <c r="W31" s="134" t="e">
        <f t="shared" ref="W31:W41" si="14">+(L31+K31)/F31*100</f>
        <v>#DIV/0!</v>
      </c>
      <c r="X31" s="131"/>
      <c r="Y31" s="135"/>
      <c r="Z31" s="135"/>
    </row>
    <row r="32" spans="1:29" ht="17.25" x14ac:dyDescent="0.3">
      <c r="A32" s="10" t="s">
        <v>74</v>
      </c>
      <c r="B32" s="1"/>
      <c r="C32" s="115"/>
      <c r="D32" s="115"/>
      <c r="E32" s="115"/>
      <c r="F32" s="115"/>
      <c r="G32" s="115"/>
      <c r="H32" s="119"/>
      <c r="I32" s="115"/>
      <c r="J32" s="115"/>
      <c r="K32" s="115"/>
      <c r="L32" s="115"/>
      <c r="M32" s="115"/>
      <c r="N32" s="115"/>
      <c r="O32" s="115"/>
      <c r="P32" s="120" t="e">
        <f t="shared" ref="P32:P42" si="15">+O32*9/H32</f>
        <v>#DIV/0!</v>
      </c>
      <c r="Q32" s="38" t="e">
        <f t="shared" ref="Q32:Q41" si="16">(K32+L32)/H32</f>
        <v>#DIV/0!</v>
      </c>
      <c r="R32" s="121" t="e">
        <f t="shared" ref="R32:R41" si="17">I32/H32</f>
        <v>#DIV/0!</v>
      </c>
      <c r="S32" s="39" t="e">
        <f t="shared" ref="S32:S42" si="18">H32/B32</f>
        <v>#DIV/0!</v>
      </c>
      <c r="T32" s="40" t="e">
        <f t="shared" ref="T32:T41" si="19">M32/H32</f>
        <v>#DIV/0!</v>
      </c>
      <c r="U32" s="33" t="e">
        <f t="shared" ref="U32:U41" si="20">O32/N32</f>
        <v>#DIV/0!</v>
      </c>
      <c r="V32" s="38" t="e">
        <f t="shared" ref="V32:V41" si="21">(I32+K32+L32)/H32</f>
        <v>#DIV/0!</v>
      </c>
      <c r="W32" s="134" t="e">
        <f t="shared" si="14"/>
        <v>#DIV/0!</v>
      </c>
      <c r="X32" s="131"/>
      <c r="Y32" s="135"/>
      <c r="Z32" s="135"/>
    </row>
    <row r="33" spans="1:26" ht="17.25" x14ac:dyDescent="0.3">
      <c r="A33" s="10" t="s">
        <v>51</v>
      </c>
      <c r="B33" s="1">
        <v>6</v>
      </c>
      <c r="C33" s="115">
        <v>1</v>
      </c>
      <c r="D33" s="115">
        <v>0</v>
      </c>
      <c r="E33" s="115">
        <v>0</v>
      </c>
      <c r="F33" s="115">
        <v>83</v>
      </c>
      <c r="G33" s="115">
        <v>59</v>
      </c>
      <c r="H33" s="119">
        <v>10</v>
      </c>
      <c r="I33" s="115">
        <v>27</v>
      </c>
      <c r="J33" s="115">
        <v>1</v>
      </c>
      <c r="K33" s="115">
        <v>17</v>
      </c>
      <c r="L33" s="115">
        <v>7</v>
      </c>
      <c r="M33" s="115">
        <v>10</v>
      </c>
      <c r="N33" s="115">
        <v>34</v>
      </c>
      <c r="O33" s="115">
        <v>28</v>
      </c>
      <c r="P33" s="120">
        <f t="shared" si="15"/>
        <v>25.2</v>
      </c>
      <c r="Q33" s="38">
        <f t="shared" si="16"/>
        <v>2.4</v>
      </c>
      <c r="R33" s="121">
        <f t="shared" si="17"/>
        <v>2.7</v>
      </c>
      <c r="S33" s="39">
        <f t="shared" si="18"/>
        <v>1.6666666666666667</v>
      </c>
      <c r="T33" s="40">
        <f t="shared" si="19"/>
        <v>1</v>
      </c>
      <c r="U33" s="33">
        <f t="shared" si="20"/>
        <v>0.82352941176470584</v>
      </c>
      <c r="V33" s="38">
        <f t="shared" si="21"/>
        <v>5.0999999999999996</v>
      </c>
      <c r="W33" s="134">
        <f t="shared" si="14"/>
        <v>28.915662650602407</v>
      </c>
      <c r="X33" s="131"/>
      <c r="Y33" s="135">
        <v>1</v>
      </c>
      <c r="Z33" s="135"/>
    </row>
    <row r="34" spans="1:26" ht="17.25" x14ac:dyDescent="0.3">
      <c r="A34" s="10" t="s">
        <v>15</v>
      </c>
      <c r="B34" s="1">
        <v>6</v>
      </c>
      <c r="C34" s="115">
        <v>4</v>
      </c>
      <c r="D34" s="115">
        <v>1</v>
      </c>
      <c r="E34" s="115">
        <v>0</v>
      </c>
      <c r="F34" s="115">
        <v>82</v>
      </c>
      <c r="G34" s="115">
        <v>74</v>
      </c>
      <c r="H34" s="119">
        <v>20</v>
      </c>
      <c r="I34" s="115">
        <v>14</v>
      </c>
      <c r="J34" s="115">
        <v>0</v>
      </c>
      <c r="K34" s="115">
        <v>7</v>
      </c>
      <c r="L34" s="115">
        <v>1</v>
      </c>
      <c r="M34" s="115">
        <v>26</v>
      </c>
      <c r="N34" s="115">
        <v>9</v>
      </c>
      <c r="O34" s="115">
        <v>1</v>
      </c>
      <c r="P34" s="120">
        <f t="shared" si="15"/>
        <v>0.45</v>
      </c>
      <c r="Q34" s="38">
        <f t="shared" si="16"/>
        <v>0.4</v>
      </c>
      <c r="R34" s="121">
        <f t="shared" si="17"/>
        <v>0.7</v>
      </c>
      <c r="S34" s="39">
        <f t="shared" si="18"/>
        <v>3.3333333333333335</v>
      </c>
      <c r="T34" s="40">
        <f t="shared" si="19"/>
        <v>1.3</v>
      </c>
      <c r="U34" s="33">
        <f t="shared" si="20"/>
        <v>0.1111111111111111</v>
      </c>
      <c r="V34" s="38">
        <f t="shared" si="21"/>
        <v>1.1000000000000001</v>
      </c>
      <c r="W34" s="134">
        <f t="shared" si="14"/>
        <v>9.7560975609756095</v>
      </c>
      <c r="X34" s="131"/>
      <c r="Y34" s="135"/>
      <c r="Z34" s="135"/>
    </row>
    <row r="35" spans="1:26" ht="17.25" x14ac:dyDescent="0.3">
      <c r="A35" s="10" t="s">
        <v>76</v>
      </c>
      <c r="B35" s="1"/>
      <c r="C35" s="115"/>
      <c r="D35" s="115"/>
      <c r="E35" s="115"/>
      <c r="F35" s="115"/>
      <c r="G35" s="115"/>
      <c r="H35" s="119"/>
      <c r="I35" s="115"/>
      <c r="J35" s="115"/>
      <c r="K35" s="115"/>
      <c r="L35" s="115"/>
      <c r="M35" s="115"/>
      <c r="N35" s="115"/>
      <c r="O35" s="115"/>
      <c r="P35" s="120" t="e">
        <f t="shared" si="15"/>
        <v>#DIV/0!</v>
      </c>
      <c r="Q35" s="38" t="e">
        <f t="shared" si="16"/>
        <v>#DIV/0!</v>
      </c>
      <c r="R35" s="121" t="e">
        <f t="shared" si="17"/>
        <v>#DIV/0!</v>
      </c>
      <c r="S35" s="39" t="e">
        <f t="shared" si="18"/>
        <v>#DIV/0!</v>
      </c>
      <c r="T35" s="40" t="e">
        <f t="shared" si="19"/>
        <v>#DIV/0!</v>
      </c>
      <c r="U35" s="33" t="e">
        <f t="shared" si="20"/>
        <v>#DIV/0!</v>
      </c>
      <c r="V35" s="38" t="e">
        <f t="shared" si="21"/>
        <v>#DIV/0!</v>
      </c>
      <c r="W35" s="134" t="e">
        <f t="shared" si="14"/>
        <v>#DIV/0!</v>
      </c>
      <c r="X35" s="131"/>
      <c r="Y35" s="135"/>
      <c r="Z35" s="135"/>
    </row>
    <row r="36" spans="1:26" ht="17.25" x14ac:dyDescent="0.3">
      <c r="A36" s="10" t="s">
        <v>50</v>
      </c>
      <c r="B36" s="1">
        <v>2</v>
      </c>
      <c r="C36" s="115">
        <v>0</v>
      </c>
      <c r="D36" s="115">
        <v>0</v>
      </c>
      <c r="E36" s="115">
        <v>0</v>
      </c>
      <c r="F36" s="115">
        <v>12</v>
      </c>
      <c r="G36" s="115">
        <v>5</v>
      </c>
      <c r="H36" s="119">
        <v>0.6666666</v>
      </c>
      <c r="I36" s="115">
        <v>3</v>
      </c>
      <c r="J36" s="115">
        <v>1</v>
      </c>
      <c r="K36" s="115">
        <v>5</v>
      </c>
      <c r="L36" s="115">
        <v>2</v>
      </c>
      <c r="M36" s="115">
        <v>1</v>
      </c>
      <c r="N36" s="115">
        <v>8</v>
      </c>
      <c r="O36" s="115">
        <v>5</v>
      </c>
      <c r="P36" s="120">
        <f t="shared" si="15"/>
        <v>67.500006750000679</v>
      </c>
      <c r="Q36" s="38">
        <f t="shared" si="16"/>
        <v>10.500001050000105</v>
      </c>
      <c r="R36" s="121">
        <f t="shared" si="17"/>
        <v>4.5000004500000452</v>
      </c>
      <c r="S36" s="39">
        <f t="shared" si="18"/>
        <v>0.3333333</v>
      </c>
      <c r="T36" s="40">
        <f t="shared" si="19"/>
        <v>1.5000001500000151</v>
      </c>
      <c r="U36" s="33">
        <f t="shared" si="20"/>
        <v>0.625</v>
      </c>
      <c r="V36" s="38">
        <f t="shared" si="21"/>
        <v>15.000001500000151</v>
      </c>
      <c r="W36" s="134">
        <f t="shared" si="14"/>
        <v>58.333333333333336</v>
      </c>
      <c r="X36" s="131"/>
      <c r="Y36" s="135"/>
      <c r="Z36" s="135"/>
    </row>
    <row r="37" spans="1:26" ht="17.25" x14ac:dyDescent="0.3">
      <c r="A37" s="10" t="s">
        <v>33</v>
      </c>
      <c r="B37" s="1">
        <v>2</v>
      </c>
      <c r="C37" s="115">
        <v>0</v>
      </c>
      <c r="D37" s="115">
        <v>0</v>
      </c>
      <c r="E37" s="115">
        <v>0</v>
      </c>
      <c r="F37" s="115">
        <v>14</v>
      </c>
      <c r="G37" s="115">
        <v>9</v>
      </c>
      <c r="H37" s="119">
        <v>2</v>
      </c>
      <c r="I37" s="115">
        <v>3</v>
      </c>
      <c r="J37" s="115">
        <v>0</v>
      </c>
      <c r="K37" s="115">
        <v>4</v>
      </c>
      <c r="L37" s="115">
        <v>1</v>
      </c>
      <c r="M37" s="115">
        <v>0</v>
      </c>
      <c r="N37" s="115">
        <v>4</v>
      </c>
      <c r="O37" s="115">
        <v>4</v>
      </c>
      <c r="P37" s="120">
        <f t="shared" si="15"/>
        <v>18</v>
      </c>
      <c r="Q37" s="38">
        <f t="shared" si="16"/>
        <v>2.5</v>
      </c>
      <c r="R37" s="121">
        <f t="shared" si="17"/>
        <v>1.5</v>
      </c>
      <c r="S37" s="39">
        <f t="shared" si="18"/>
        <v>1</v>
      </c>
      <c r="T37" s="40">
        <f t="shared" si="19"/>
        <v>0</v>
      </c>
      <c r="U37" s="33">
        <f t="shared" si="20"/>
        <v>1</v>
      </c>
      <c r="V37" s="38">
        <f t="shared" si="21"/>
        <v>4</v>
      </c>
      <c r="W37" s="134">
        <f t="shared" si="14"/>
        <v>35.714285714285715</v>
      </c>
      <c r="X37" s="131"/>
      <c r="Y37" s="135"/>
      <c r="Z37" s="135"/>
    </row>
    <row r="38" spans="1:26" ht="17.25" x14ac:dyDescent="0.3">
      <c r="A38" s="10" t="s">
        <v>126</v>
      </c>
      <c r="B38" s="1">
        <v>2</v>
      </c>
      <c r="C38" s="115">
        <v>1</v>
      </c>
      <c r="D38" s="115">
        <v>0</v>
      </c>
      <c r="E38" s="115">
        <v>0</v>
      </c>
      <c r="F38" s="115">
        <v>10</v>
      </c>
      <c r="G38" s="115">
        <v>6</v>
      </c>
      <c r="H38" s="119">
        <v>1.666666</v>
      </c>
      <c r="I38" s="115">
        <v>1</v>
      </c>
      <c r="J38" s="115">
        <v>0</v>
      </c>
      <c r="K38" s="115">
        <v>3</v>
      </c>
      <c r="L38" s="115">
        <v>1</v>
      </c>
      <c r="M38" s="115">
        <v>1</v>
      </c>
      <c r="N38" s="115">
        <v>3</v>
      </c>
      <c r="O38" s="115">
        <v>3</v>
      </c>
      <c r="P38" s="120">
        <f t="shared" si="15"/>
        <v>16.200006480002592</v>
      </c>
      <c r="Q38" s="38">
        <f t="shared" si="16"/>
        <v>2.400000960000384</v>
      </c>
      <c r="R38" s="121">
        <f t="shared" si="17"/>
        <v>0.600000240000096</v>
      </c>
      <c r="S38" s="39">
        <f t="shared" si="18"/>
        <v>0.83333299999999999</v>
      </c>
      <c r="T38" s="40">
        <f t="shared" si="19"/>
        <v>0.600000240000096</v>
      </c>
      <c r="U38" s="33">
        <f t="shared" si="20"/>
        <v>1</v>
      </c>
      <c r="V38" s="38">
        <f t="shared" si="21"/>
        <v>3.0000012000004799</v>
      </c>
      <c r="W38" s="134">
        <f t="shared" si="14"/>
        <v>40</v>
      </c>
      <c r="X38" s="131"/>
      <c r="Y38" s="135"/>
      <c r="Z38" s="135"/>
    </row>
    <row r="39" spans="1:26" ht="17.25" x14ac:dyDescent="0.3">
      <c r="A39" s="10" t="s">
        <v>152</v>
      </c>
      <c r="B39" s="1"/>
      <c r="C39" s="115"/>
      <c r="D39" s="115"/>
      <c r="E39" s="115"/>
      <c r="F39" s="115"/>
      <c r="G39" s="115"/>
      <c r="H39" s="119"/>
      <c r="I39" s="115"/>
      <c r="J39" s="115"/>
      <c r="K39" s="115"/>
      <c r="L39" s="115"/>
      <c r="M39" s="115"/>
      <c r="N39" s="115"/>
      <c r="O39" s="115"/>
      <c r="P39" s="120" t="e">
        <f t="shared" si="15"/>
        <v>#DIV/0!</v>
      </c>
      <c r="Q39" s="38" t="e">
        <f t="shared" si="16"/>
        <v>#DIV/0!</v>
      </c>
      <c r="R39" s="121" t="e">
        <f t="shared" si="17"/>
        <v>#DIV/0!</v>
      </c>
      <c r="S39" s="39" t="e">
        <f t="shared" si="18"/>
        <v>#DIV/0!</v>
      </c>
      <c r="T39" s="40" t="e">
        <f t="shared" si="19"/>
        <v>#DIV/0!</v>
      </c>
      <c r="U39" s="33" t="e">
        <f t="shared" si="20"/>
        <v>#DIV/0!</v>
      </c>
      <c r="V39" s="38" t="e">
        <f t="shared" si="21"/>
        <v>#DIV/0!</v>
      </c>
      <c r="W39" s="134" t="e">
        <f t="shared" si="14"/>
        <v>#DIV/0!</v>
      </c>
      <c r="X39" s="131"/>
      <c r="Y39" s="135"/>
      <c r="Z39" s="135"/>
    </row>
    <row r="40" spans="1:26" ht="17.25" x14ac:dyDescent="0.3">
      <c r="A40" s="10" t="s">
        <v>47</v>
      </c>
      <c r="B40" s="1"/>
      <c r="C40" s="115"/>
      <c r="D40" s="115"/>
      <c r="E40" s="115"/>
      <c r="F40" s="115"/>
      <c r="G40" s="115"/>
      <c r="H40" s="119"/>
      <c r="I40" s="115"/>
      <c r="J40" s="115"/>
      <c r="K40" s="115"/>
      <c r="L40" s="115"/>
      <c r="M40" s="115"/>
      <c r="N40" s="115"/>
      <c r="O40" s="115"/>
      <c r="P40" s="120" t="e">
        <f t="shared" si="15"/>
        <v>#DIV/0!</v>
      </c>
      <c r="Q40" s="38" t="e">
        <f t="shared" si="16"/>
        <v>#DIV/0!</v>
      </c>
      <c r="R40" s="121" t="e">
        <f t="shared" si="17"/>
        <v>#DIV/0!</v>
      </c>
      <c r="S40" s="39" t="e">
        <f t="shared" si="18"/>
        <v>#DIV/0!</v>
      </c>
      <c r="T40" s="40" t="e">
        <f t="shared" si="19"/>
        <v>#DIV/0!</v>
      </c>
      <c r="U40" s="33" t="e">
        <f t="shared" si="20"/>
        <v>#DIV/0!</v>
      </c>
      <c r="V40" s="38" t="e">
        <f t="shared" si="21"/>
        <v>#DIV/0!</v>
      </c>
      <c r="W40" s="134" t="e">
        <f t="shared" si="14"/>
        <v>#DIV/0!</v>
      </c>
      <c r="X40" s="131"/>
      <c r="Y40" s="135"/>
      <c r="Z40" s="135"/>
    </row>
    <row r="41" spans="1:26" ht="17.25" x14ac:dyDescent="0.3">
      <c r="A41" s="10" t="s">
        <v>22</v>
      </c>
      <c r="B41" s="1">
        <v>6</v>
      </c>
      <c r="C41" s="115">
        <v>1</v>
      </c>
      <c r="D41" s="115">
        <v>2</v>
      </c>
      <c r="E41" s="115">
        <v>0</v>
      </c>
      <c r="F41" s="115">
        <v>64</v>
      </c>
      <c r="G41" s="115">
        <v>48</v>
      </c>
      <c r="H41" s="119">
        <v>9.6666666666666607</v>
      </c>
      <c r="I41" s="115">
        <v>16</v>
      </c>
      <c r="J41" s="115">
        <v>1</v>
      </c>
      <c r="K41" s="115">
        <v>11</v>
      </c>
      <c r="L41" s="115">
        <v>4</v>
      </c>
      <c r="M41" s="115">
        <v>11</v>
      </c>
      <c r="N41" s="115">
        <v>22</v>
      </c>
      <c r="O41" s="115">
        <v>15</v>
      </c>
      <c r="P41" s="120">
        <f t="shared" si="15"/>
        <v>13.965517241379318</v>
      </c>
      <c r="Q41" s="38">
        <f t="shared" si="16"/>
        <v>1.5517241379310354</v>
      </c>
      <c r="R41" s="121">
        <f t="shared" si="17"/>
        <v>1.6551724137931045</v>
      </c>
      <c r="S41" s="39">
        <f t="shared" si="18"/>
        <v>1.6111111111111101</v>
      </c>
      <c r="T41" s="40">
        <f t="shared" si="19"/>
        <v>1.1379310344827593</v>
      </c>
      <c r="U41" s="33">
        <f t="shared" si="20"/>
        <v>0.68181818181818177</v>
      </c>
      <c r="V41" s="38">
        <f t="shared" si="21"/>
        <v>3.2068965517241397</v>
      </c>
      <c r="W41" s="134">
        <f t="shared" si="14"/>
        <v>23.4375</v>
      </c>
      <c r="X41" s="131"/>
      <c r="Y41" s="135">
        <v>4</v>
      </c>
      <c r="Z41" s="135"/>
    </row>
    <row r="42" spans="1:26" ht="17.25" x14ac:dyDescent="0.3">
      <c r="A42" s="11" t="s">
        <v>10</v>
      </c>
      <c r="B42" s="11"/>
      <c r="C42" s="11">
        <f t="shared" ref="C42:O42" si="22">SUM(C31:C41)</f>
        <v>7</v>
      </c>
      <c r="D42" s="11">
        <f t="shared" si="22"/>
        <v>3</v>
      </c>
      <c r="E42" s="11">
        <f t="shared" si="22"/>
        <v>0</v>
      </c>
      <c r="F42" s="11">
        <f t="shared" si="22"/>
        <v>265</v>
      </c>
      <c r="G42" s="11">
        <f t="shared" si="22"/>
        <v>201</v>
      </c>
      <c r="H42" s="15">
        <f t="shared" si="22"/>
        <v>43.999999266666663</v>
      </c>
      <c r="I42" s="11">
        <f t="shared" si="22"/>
        <v>64</v>
      </c>
      <c r="J42" s="11">
        <f t="shared" si="22"/>
        <v>3</v>
      </c>
      <c r="K42" s="11">
        <f t="shared" si="22"/>
        <v>47</v>
      </c>
      <c r="L42" s="11">
        <f t="shared" si="22"/>
        <v>16</v>
      </c>
      <c r="M42" s="11">
        <f t="shared" si="22"/>
        <v>49</v>
      </c>
      <c r="N42" s="11">
        <f t="shared" si="22"/>
        <v>80</v>
      </c>
      <c r="O42" s="11">
        <f t="shared" si="22"/>
        <v>56</v>
      </c>
      <c r="P42" s="16">
        <f t="shared" si="15"/>
        <v>11.45454564545455</v>
      </c>
      <c r="Q42" s="34">
        <f>(K42+L42)/H42</f>
        <v>1.4318182056818187</v>
      </c>
      <c r="R42" s="35">
        <f>I42/H42</f>
        <v>1.4545454787878793</v>
      </c>
      <c r="S42" s="35" t="e">
        <f t="shared" si="18"/>
        <v>#DIV/0!</v>
      </c>
      <c r="T42" s="36">
        <f>M42/H42</f>
        <v>1.1136363821969701</v>
      </c>
      <c r="U42" s="37">
        <f>O42/N42</f>
        <v>0.7</v>
      </c>
      <c r="V42" s="34">
        <f>(I42+K42+L42)/H42</f>
        <v>2.886363684469698</v>
      </c>
      <c r="W42" s="34"/>
      <c r="X42" s="131"/>
      <c r="Y42" s="11">
        <f t="shared" ref="Y42:Z42" si="23">SUM(Y31:Y41)</f>
        <v>5</v>
      </c>
      <c r="Z42" s="11">
        <f t="shared" si="23"/>
        <v>0</v>
      </c>
    </row>
  </sheetData>
  <phoneticPr fontId="1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49CB7-98F4-417A-ADC9-3EB3CA25F3B2}">
  <dimension ref="A1:AC42"/>
  <sheetViews>
    <sheetView zoomScale="70" zoomScaleNormal="70" workbookViewId="0">
      <selection activeCell="D16" sqref="D16"/>
    </sheetView>
  </sheetViews>
  <sheetFormatPr defaultColWidth="9" defaultRowHeight="16.5" x14ac:dyDescent="0.3"/>
  <cols>
    <col min="1" max="2" width="8.125" customWidth="1"/>
    <col min="3" max="3" width="9.625" bestFit="1" customWidth="1"/>
    <col min="4" max="15" width="8.125" customWidth="1"/>
    <col min="16" max="16" width="10.125" bestFit="1" customWidth="1"/>
    <col min="17" max="18" width="8.125" customWidth="1"/>
    <col min="19" max="19" width="10.75" customWidth="1"/>
    <col min="20" max="20" width="10.125" bestFit="1" customWidth="1"/>
    <col min="23" max="23" width="11.375" customWidth="1"/>
    <col min="24" max="24" width="2.625" customWidth="1"/>
    <col min="27" max="27" width="10.125" customWidth="1"/>
  </cols>
  <sheetData>
    <row r="1" spans="1:29" ht="26.25" x14ac:dyDescent="0.3">
      <c r="A1" s="24" t="s">
        <v>243</v>
      </c>
    </row>
    <row r="2" spans="1:29" ht="17.25" x14ac:dyDescent="0.3">
      <c r="A2" s="4" t="s">
        <v>1</v>
      </c>
    </row>
    <row r="3" spans="1:29" ht="34.5" x14ac:dyDescent="0.3">
      <c r="A3" s="10" t="s">
        <v>32</v>
      </c>
      <c r="B3" s="10" t="s">
        <v>13</v>
      </c>
      <c r="C3" s="10" t="s">
        <v>57</v>
      </c>
      <c r="D3" s="10" t="s">
        <v>19</v>
      </c>
      <c r="E3" s="10" t="s">
        <v>38</v>
      </c>
      <c r="F3" s="10" t="s">
        <v>53</v>
      </c>
      <c r="G3" s="10" t="s">
        <v>79</v>
      </c>
      <c r="H3" s="10" t="s">
        <v>72</v>
      </c>
      <c r="I3" s="10" t="s">
        <v>0</v>
      </c>
      <c r="J3" s="10" t="s">
        <v>82</v>
      </c>
      <c r="K3" s="10" t="s">
        <v>31</v>
      </c>
      <c r="L3" s="10" t="s">
        <v>36</v>
      </c>
      <c r="M3" s="10" t="s">
        <v>40</v>
      </c>
      <c r="N3" s="10" t="s">
        <v>29</v>
      </c>
      <c r="O3" s="10" t="s">
        <v>58</v>
      </c>
      <c r="P3" s="10" t="s">
        <v>28</v>
      </c>
      <c r="Q3" s="10" t="s">
        <v>43</v>
      </c>
      <c r="R3" s="10" t="s">
        <v>37</v>
      </c>
      <c r="S3" s="43" t="s">
        <v>83</v>
      </c>
      <c r="T3" s="10" t="s">
        <v>85</v>
      </c>
      <c r="U3" s="10" t="s">
        <v>71</v>
      </c>
      <c r="V3" s="10" t="s">
        <v>86</v>
      </c>
      <c r="W3" s="10" t="s">
        <v>116</v>
      </c>
      <c r="Y3" s="10" t="s">
        <v>146</v>
      </c>
      <c r="Z3" s="10" t="s">
        <v>89</v>
      </c>
      <c r="AA3" s="10" t="s">
        <v>151</v>
      </c>
      <c r="AB3" s="10" t="s">
        <v>239</v>
      </c>
      <c r="AC3" s="10" t="s">
        <v>147</v>
      </c>
    </row>
    <row r="4" spans="1:29" ht="17.25" x14ac:dyDescent="0.3">
      <c r="A4" s="10" t="s">
        <v>59</v>
      </c>
      <c r="B4" s="1"/>
      <c r="C4" s="122"/>
      <c r="D4" s="115"/>
      <c r="E4" s="115"/>
      <c r="F4" s="115"/>
      <c r="G4" s="1"/>
      <c r="H4" s="115"/>
      <c r="I4" s="115"/>
      <c r="J4" s="115"/>
      <c r="K4" s="115"/>
      <c r="L4" s="115"/>
      <c r="M4" s="115"/>
      <c r="N4" s="115"/>
      <c r="O4" s="115"/>
      <c r="P4" s="79" t="e">
        <f>+O4/D4</f>
        <v>#DIV/0!</v>
      </c>
      <c r="Q4" s="46" t="e">
        <f>+(G4*1+H4*2+I4*3+J4*4)/E4</f>
        <v>#DIV/0!</v>
      </c>
      <c r="R4" s="2" t="e">
        <f>+(F4+N4)/(D4-AA4)</f>
        <v>#DIV/0!</v>
      </c>
      <c r="S4" s="58" t="e">
        <f>+R4+Q4</f>
        <v>#DIV/0!</v>
      </c>
      <c r="T4" s="76" t="e">
        <f>O4/(D4-(F4+N4))</f>
        <v>#DIV/0!</v>
      </c>
      <c r="U4" s="61" t="e">
        <f>RANK(R4,$R$4:$R$26)</f>
        <v>#DIV/0!</v>
      </c>
      <c r="V4" s="69" t="e">
        <f>RANK(S4,$S$4:$S$26)</f>
        <v>#DIV/0!</v>
      </c>
      <c r="W4" s="112" t="e">
        <f>RANK(C4,$C$4:$C$26)</f>
        <v>#N/A</v>
      </c>
      <c r="X4" s="96"/>
      <c r="Y4" s="25">
        <v>0</v>
      </c>
      <c r="Z4" s="25">
        <v>0</v>
      </c>
      <c r="AA4" s="25"/>
      <c r="AB4" s="25"/>
      <c r="AC4" s="25"/>
    </row>
    <row r="5" spans="1:29" ht="17.25" x14ac:dyDescent="0.3">
      <c r="A5" s="10" t="s">
        <v>34</v>
      </c>
      <c r="B5" s="1"/>
      <c r="C5" s="122"/>
      <c r="D5" s="115"/>
      <c r="E5" s="115"/>
      <c r="F5" s="115"/>
      <c r="G5" s="1"/>
      <c r="H5" s="115"/>
      <c r="I5" s="115"/>
      <c r="J5" s="115"/>
      <c r="K5" s="115"/>
      <c r="L5" s="115"/>
      <c r="M5" s="115"/>
      <c r="N5" s="115"/>
      <c r="O5" s="115"/>
      <c r="P5" s="79"/>
      <c r="Q5" s="46"/>
      <c r="R5" s="2"/>
      <c r="S5" s="58"/>
      <c r="T5" s="76"/>
      <c r="U5" s="61"/>
      <c r="V5" s="69"/>
      <c r="W5" s="112"/>
      <c r="X5" s="96"/>
      <c r="Y5" s="25"/>
      <c r="Z5" s="25"/>
      <c r="AA5" s="25"/>
      <c r="AB5" s="25"/>
      <c r="AC5" s="25"/>
    </row>
    <row r="6" spans="1:29" ht="17.25" x14ac:dyDescent="0.3">
      <c r="A6" s="10" t="s">
        <v>44</v>
      </c>
      <c r="B6" s="1"/>
      <c r="C6" s="122"/>
      <c r="D6" s="115"/>
      <c r="E6" s="115"/>
      <c r="F6" s="115"/>
      <c r="G6" s="1"/>
      <c r="H6" s="115"/>
      <c r="I6" s="115"/>
      <c r="J6" s="115"/>
      <c r="K6" s="115"/>
      <c r="L6" s="115"/>
      <c r="M6" s="115"/>
      <c r="N6" s="115"/>
      <c r="O6" s="115"/>
      <c r="P6" s="79" t="e">
        <f>+O6/D6</f>
        <v>#DIV/0!</v>
      </c>
      <c r="Q6" s="46" t="e">
        <f>+(G6*1+H6*2+I6*3+J6*4)/E6</f>
        <v>#DIV/0!</v>
      </c>
      <c r="R6" s="2" t="e">
        <f>+(F6+N6)/(D6-AA6)</f>
        <v>#DIV/0!</v>
      </c>
      <c r="S6" s="58" t="e">
        <f>+R6+Q6</f>
        <v>#DIV/0!</v>
      </c>
      <c r="T6" s="76" t="e">
        <f>O6/(D6-(F6+N6))</f>
        <v>#DIV/0!</v>
      </c>
      <c r="U6" s="61" t="e">
        <f>RANK(R6,$R$4:$R$26)</f>
        <v>#DIV/0!</v>
      </c>
      <c r="V6" s="69" t="e">
        <f>RANK(S6,$S$4:$S$26)</f>
        <v>#DIV/0!</v>
      </c>
      <c r="W6" s="112" t="e">
        <f>RANK(C6,$C$4:$C$26)</f>
        <v>#N/A</v>
      </c>
      <c r="X6" s="96"/>
      <c r="Y6" s="25">
        <v>2</v>
      </c>
      <c r="Z6" s="25">
        <v>3</v>
      </c>
      <c r="AA6" s="25"/>
      <c r="AB6" s="25"/>
      <c r="AC6" s="25"/>
    </row>
    <row r="7" spans="1:29" ht="17.25" x14ac:dyDescent="0.3">
      <c r="A7" s="10" t="s">
        <v>9</v>
      </c>
      <c r="B7" s="1"/>
      <c r="C7" s="122"/>
      <c r="D7" s="115"/>
      <c r="E7" s="115"/>
      <c r="F7" s="115"/>
      <c r="G7" s="1"/>
      <c r="H7" s="115"/>
      <c r="I7" s="115"/>
      <c r="J7" s="115"/>
      <c r="K7" s="115"/>
      <c r="L7" s="115"/>
      <c r="M7" s="115"/>
      <c r="N7" s="115"/>
      <c r="O7" s="115"/>
      <c r="P7" s="79"/>
      <c r="Q7" s="46"/>
      <c r="R7" s="2"/>
      <c r="S7" s="58"/>
      <c r="T7" s="76"/>
      <c r="U7" s="61"/>
      <c r="V7" s="69"/>
      <c r="W7" s="112"/>
      <c r="X7" s="96"/>
      <c r="Y7" s="25"/>
      <c r="Z7" s="25"/>
      <c r="AA7" s="25"/>
      <c r="AB7" s="25"/>
      <c r="AC7" s="25"/>
    </row>
    <row r="8" spans="1:29" ht="17.25" x14ac:dyDescent="0.3">
      <c r="A8" s="10" t="s">
        <v>4</v>
      </c>
      <c r="B8" s="1"/>
      <c r="C8" s="122"/>
      <c r="D8" s="115"/>
      <c r="E8" s="115"/>
      <c r="F8" s="115"/>
      <c r="G8" s="1"/>
      <c r="H8" s="115"/>
      <c r="I8" s="115"/>
      <c r="J8" s="115"/>
      <c r="K8" s="115"/>
      <c r="L8" s="115"/>
      <c r="M8" s="115"/>
      <c r="N8" s="115"/>
      <c r="O8" s="115"/>
      <c r="P8" s="79" t="e">
        <f t="shared" ref="P8:P15" si="0">+O8/D8</f>
        <v>#DIV/0!</v>
      </c>
      <c r="Q8" s="46" t="e">
        <f t="shared" ref="Q8:Q15" si="1">+(G8*1+H8*2+I8*3+J8*4)/E8</f>
        <v>#DIV/0!</v>
      </c>
      <c r="R8" s="2">
        <f t="shared" ref="R8:R15" si="2">+(F8+N8)/(D8-AA8)</f>
        <v>0</v>
      </c>
      <c r="S8" s="58" t="e">
        <f t="shared" ref="S8:S15" si="3">+R8+Q8</f>
        <v>#DIV/0!</v>
      </c>
      <c r="T8" s="76" t="e">
        <f t="shared" ref="T8:T15" si="4">O8/(D8-(F8+N8))</f>
        <v>#DIV/0!</v>
      </c>
      <c r="U8" s="61" t="e">
        <f t="shared" ref="U8:U15" si="5">RANK(R8,$R$4:$R$26)</f>
        <v>#DIV/0!</v>
      </c>
      <c r="V8" s="69" t="e">
        <f t="shared" ref="V8:V15" si="6">RANK(S8,$S$4:$S$26)</f>
        <v>#DIV/0!</v>
      </c>
      <c r="W8" s="112" t="e">
        <f t="shared" ref="W8:W15" si="7">RANK(C8,$C$4:$C$26)</f>
        <v>#N/A</v>
      </c>
      <c r="X8" s="96"/>
      <c r="Y8" s="25">
        <v>4</v>
      </c>
      <c r="Z8" s="25">
        <v>3</v>
      </c>
      <c r="AA8" s="25">
        <v>1</v>
      </c>
      <c r="AB8" s="25"/>
      <c r="AC8" s="25"/>
    </row>
    <row r="9" spans="1:29" ht="17.25" x14ac:dyDescent="0.3">
      <c r="A9" s="10" t="s">
        <v>51</v>
      </c>
      <c r="B9" s="1"/>
      <c r="C9" s="122"/>
      <c r="D9" s="115"/>
      <c r="E9" s="115"/>
      <c r="F9" s="115"/>
      <c r="G9" s="1"/>
      <c r="H9" s="115"/>
      <c r="I9" s="115"/>
      <c r="J9" s="115"/>
      <c r="K9" s="115"/>
      <c r="L9" s="115"/>
      <c r="M9" s="115"/>
      <c r="N9" s="115"/>
      <c r="O9" s="115"/>
      <c r="P9" s="79" t="e">
        <f t="shared" si="0"/>
        <v>#DIV/0!</v>
      </c>
      <c r="Q9" s="46" t="e">
        <f t="shared" si="1"/>
        <v>#DIV/0!</v>
      </c>
      <c r="R9" s="2" t="e">
        <f t="shared" si="2"/>
        <v>#DIV/0!</v>
      </c>
      <c r="S9" s="58" t="e">
        <f t="shared" si="3"/>
        <v>#DIV/0!</v>
      </c>
      <c r="T9" s="76" t="e">
        <f t="shared" si="4"/>
        <v>#DIV/0!</v>
      </c>
      <c r="U9" s="61" t="e">
        <f t="shared" si="5"/>
        <v>#DIV/0!</v>
      </c>
      <c r="V9" s="69" t="e">
        <f t="shared" si="6"/>
        <v>#DIV/0!</v>
      </c>
      <c r="W9" s="112" t="e">
        <f t="shared" si="7"/>
        <v>#N/A</v>
      </c>
      <c r="X9" s="96"/>
      <c r="Y9" s="25"/>
      <c r="Z9" s="25"/>
      <c r="AA9" s="25"/>
      <c r="AB9" s="25"/>
      <c r="AC9" s="25"/>
    </row>
    <row r="10" spans="1:29" ht="17.25" x14ac:dyDescent="0.3">
      <c r="A10" s="10" t="s">
        <v>138</v>
      </c>
      <c r="B10" s="1"/>
      <c r="C10" s="122"/>
      <c r="D10" s="115"/>
      <c r="E10" s="115"/>
      <c r="F10" s="115"/>
      <c r="G10" s="1"/>
      <c r="H10" s="115"/>
      <c r="I10" s="115"/>
      <c r="J10" s="115"/>
      <c r="K10" s="115"/>
      <c r="L10" s="115"/>
      <c r="M10" s="115"/>
      <c r="N10" s="115"/>
      <c r="O10" s="115"/>
      <c r="P10" s="79" t="e">
        <f t="shared" si="0"/>
        <v>#DIV/0!</v>
      </c>
      <c r="Q10" s="46" t="e">
        <f t="shared" si="1"/>
        <v>#DIV/0!</v>
      </c>
      <c r="R10" s="2" t="e">
        <f t="shared" si="2"/>
        <v>#DIV/0!</v>
      </c>
      <c r="S10" s="58" t="e">
        <f t="shared" si="3"/>
        <v>#DIV/0!</v>
      </c>
      <c r="T10" s="76" t="e">
        <f t="shared" si="4"/>
        <v>#DIV/0!</v>
      </c>
      <c r="U10" s="61" t="e">
        <f t="shared" si="5"/>
        <v>#DIV/0!</v>
      </c>
      <c r="V10" s="69" t="e">
        <f t="shared" si="6"/>
        <v>#DIV/0!</v>
      </c>
      <c r="W10" s="112" t="e">
        <f t="shared" si="7"/>
        <v>#N/A</v>
      </c>
      <c r="X10" s="96"/>
      <c r="Y10" s="25"/>
      <c r="Z10" s="25"/>
      <c r="AA10" s="25"/>
      <c r="AB10" s="25"/>
      <c r="AC10" s="25"/>
    </row>
    <row r="11" spans="1:29" ht="17.25" x14ac:dyDescent="0.3">
      <c r="A11" s="10" t="s">
        <v>25</v>
      </c>
      <c r="B11" s="1"/>
      <c r="C11" s="122"/>
      <c r="D11" s="115"/>
      <c r="E11" s="115"/>
      <c r="F11" s="115"/>
      <c r="G11" s="1"/>
      <c r="H11" s="115"/>
      <c r="I11" s="115"/>
      <c r="J11" s="115"/>
      <c r="K11" s="115"/>
      <c r="L11" s="115"/>
      <c r="M11" s="115"/>
      <c r="N11" s="115"/>
      <c r="O11" s="115"/>
      <c r="P11" s="79" t="e">
        <f t="shared" si="0"/>
        <v>#DIV/0!</v>
      </c>
      <c r="Q11" s="46" t="e">
        <f t="shared" si="1"/>
        <v>#DIV/0!</v>
      </c>
      <c r="R11" s="2" t="e">
        <f t="shared" si="2"/>
        <v>#DIV/0!</v>
      </c>
      <c r="S11" s="58" t="e">
        <f t="shared" si="3"/>
        <v>#DIV/0!</v>
      </c>
      <c r="T11" s="76" t="e">
        <f t="shared" si="4"/>
        <v>#DIV/0!</v>
      </c>
      <c r="U11" s="61" t="e">
        <f t="shared" si="5"/>
        <v>#DIV/0!</v>
      </c>
      <c r="V11" s="69" t="e">
        <f t="shared" si="6"/>
        <v>#DIV/0!</v>
      </c>
      <c r="W11" s="112" t="e">
        <f t="shared" si="7"/>
        <v>#N/A</v>
      </c>
      <c r="X11" s="96"/>
      <c r="Y11" s="25">
        <v>3</v>
      </c>
      <c r="Z11" s="25">
        <v>0</v>
      </c>
      <c r="AA11" s="25"/>
      <c r="AB11" s="25"/>
      <c r="AC11" s="25"/>
    </row>
    <row r="12" spans="1:29" ht="17.25" x14ac:dyDescent="0.3">
      <c r="A12" s="10" t="s">
        <v>21</v>
      </c>
      <c r="B12" s="1"/>
      <c r="C12" s="122"/>
      <c r="D12" s="115"/>
      <c r="E12" s="115"/>
      <c r="F12" s="115"/>
      <c r="G12" s="1"/>
      <c r="H12" s="115"/>
      <c r="I12" s="115"/>
      <c r="J12" s="115"/>
      <c r="K12" s="115"/>
      <c r="L12" s="115"/>
      <c r="M12" s="115"/>
      <c r="N12" s="115"/>
      <c r="O12" s="115"/>
      <c r="P12" s="79" t="e">
        <f t="shared" si="0"/>
        <v>#DIV/0!</v>
      </c>
      <c r="Q12" s="46" t="e">
        <f t="shared" si="1"/>
        <v>#DIV/0!</v>
      </c>
      <c r="R12" s="2" t="e">
        <f t="shared" si="2"/>
        <v>#DIV/0!</v>
      </c>
      <c r="S12" s="58" t="e">
        <f t="shared" si="3"/>
        <v>#DIV/0!</v>
      </c>
      <c r="T12" s="76" t="e">
        <f t="shared" si="4"/>
        <v>#DIV/0!</v>
      </c>
      <c r="U12" s="61" t="e">
        <f t="shared" si="5"/>
        <v>#DIV/0!</v>
      </c>
      <c r="V12" s="69" t="e">
        <f t="shared" si="6"/>
        <v>#DIV/0!</v>
      </c>
      <c r="W12" s="112" t="e">
        <f t="shared" si="7"/>
        <v>#N/A</v>
      </c>
      <c r="X12" s="96"/>
      <c r="Y12" s="25">
        <v>5</v>
      </c>
      <c r="Z12" s="25">
        <v>0</v>
      </c>
      <c r="AA12" s="25"/>
      <c r="AB12" s="25"/>
      <c r="AC12" s="25"/>
    </row>
    <row r="13" spans="1:29" ht="17.25" x14ac:dyDescent="0.3">
      <c r="A13" s="10" t="s">
        <v>8</v>
      </c>
      <c r="B13" s="1"/>
      <c r="C13" s="122"/>
      <c r="D13" s="115"/>
      <c r="E13" s="115"/>
      <c r="F13" s="115"/>
      <c r="G13" s="1"/>
      <c r="H13" s="115"/>
      <c r="I13" s="115"/>
      <c r="J13" s="115"/>
      <c r="K13" s="115"/>
      <c r="L13" s="115"/>
      <c r="M13" s="115"/>
      <c r="N13" s="115"/>
      <c r="O13" s="115"/>
      <c r="P13" s="79" t="e">
        <f t="shared" si="0"/>
        <v>#DIV/0!</v>
      </c>
      <c r="Q13" s="46" t="e">
        <f t="shared" si="1"/>
        <v>#DIV/0!</v>
      </c>
      <c r="R13" s="2" t="e">
        <f t="shared" si="2"/>
        <v>#DIV/0!</v>
      </c>
      <c r="S13" s="58" t="e">
        <f t="shared" si="3"/>
        <v>#DIV/0!</v>
      </c>
      <c r="T13" s="76" t="e">
        <f t="shared" si="4"/>
        <v>#DIV/0!</v>
      </c>
      <c r="U13" s="61" t="e">
        <f t="shared" si="5"/>
        <v>#DIV/0!</v>
      </c>
      <c r="V13" s="69" t="e">
        <f t="shared" si="6"/>
        <v>#DIV/0!</v>
      </c>
      <c r="W13" s="112" t="e">
        <f t="shared" si="7"/>
        <v>#N/A</v>
      </c>
      <c r="X13" s="96"/>
      <c r="Y13" s="25">
        <v>0</v>
      </c>
      <c r="Z13" s="25">
        <v>0</v>
      </c>
      <c r="AA13" s="25"/>
      <c r="AB13" s="25"/>
      <c r="AC13" s="25"/>
    </row>
    <row r="14" spans="1:29" ht="17.25" x14ac:dyDescent="0.3">
      <c r="A14" s="10" t="s">
        <v>15</v>
      </c>
      <c r="B14" s="1"/>
      <c r="C14" s="122"/>
      <c r="D14" s="115"/>
      <c r="E14" s="115"/>
      <c r="F14" s="115"/>
      <c r="G14" s="1"/>
      <c r="H14" s="115"/>
      <c r="I14" s="115"/>
      <c r="J14" s="115"/>
      <c r="K14" s="115"/>
      <c r="L14" s="115"/>
      <c r="M14" s="115"/>
      <c r="N14" s="115"/>
      <c r="O14" s="115"/>
      <c r="P14" s="79" t="e">
        <f t="shared" si="0"/>
        <v>#DIV/0!</v>
      </c>
      <c r="Q14" s="46" t="e">
        <f t="shared" si="1"/>
        <v>#DIV/0!</v>
      </c>
      <c r="R14" s="2" t="e">
        <f t="shared" si="2"/>
        <v>#DIV/0!</v>
      </c>
      <c r="S14" s="58" t="e">
        <f t="shared" si="3"/>
        <v>#DIV/0!</v>
      </c>
      <c r="T14" s="76" t="e">
        <f t="shared" si="4"/>
        <v>#DIV/0!</v>
      </c>
      <c r="U14" s="61" t="e">
        <f t="shared" si="5"/>
        <v>#DIV/0!</v>
      </c>
      <c r="V14" s="69" t="e">
        <f t="shared" si="6"/>
        <v>#DIV/0!</v>
      </c>
      <c r="W14" s="112" t="e">
        <f t="shared" si="7"/>
        <v>#N/A</v>
      </c>
      <c r="X14" s="96"/>
      <c r="Y14" s="25">
        <v>1</v>
      </c>
      <c r="Z14" s="25">
        <v>0</v>
      </c>
      <c r="AA14" s="25"/>
      <c r="AB14" s="25">
        <v>1</v>
      </c>
      <c r="AC14" s="25"/>
    </row>
    <row r="15" spans="1:29" ht="17.25" x14ac:dyDescent="0.3">
      <c r="A15" s="10" t="s">
        <v>23</v>
      </c>
      <c r="B15" s="1"/>
      <c r="C15" s="122"/>
      <c r="D15" s="115"/>
      <c r="E15" s="115"/>
      <c r="F15" s="115"/>
      <c r="G15" s="1"/>
      <c r="H15" s="115"/>
      <c r="I15" s="115"/>
      <c r="J15" s="115"/>
      <c r="K15" s="115"/>
      <c r="L15" s="115"/>
      <c r="M15" s="115"/>
      <c r="N15" s="115"/>
      <c r="O15" s="115"/>
      <c r="P15" s="79" t="e">
        <f t="shared" si="0"/>
        <v>#DIV/0!</v>
      </c>
      <c r="Q15" s="46" t="e">
        <f t="shared" si="1"/>
        <v>#DIV/0!</v>
      </c>
      <c r="R15" s="2" t="e">
        <f t="shared" si="2"/>
        <v>#DIV/0!</v>
      </c>
      <c r="S15" s="58" t="e">
        <f t="shared" si="3"/>
        <v>#DIV/0!</v>
      </c>
      <c r="T15" s="76" t="e">
        <f t="shared" si="4"/>
        <v>#DIV/0!</v>
      </c>
      <c r="U15" s="61" t="e">
        <f t="shared" si="5"/>
        <v>#DIV/0!</v>
      </c>
      <c r="V15" s="69" t="e">
        <f t="shared" si="6"/>
        <v>#DIV/0!</v>
      </c>
      <c r="W15" s="112" t="e">
        <f t="shared" si="7"/>
        <v>#N/A</v>
      </c>
      <c r="X15" s="96"/>
      <c r="Y15" s="25">
        <v>1</v>
      </c>
      <c r="Z15" s="25">
        <v>0</v>
      </c>
      <c r="AA15" s="25"/>
      <c r="AB15" s="25"/>
      <c r="AC15" s="25"/>
    </row>
    <row r="16" spans="1:29" ht="17.25" x14ac:dyDescent="0.3">
      <c r="A16" s="43" t="s">
        <v>50</v>
      </c>
      <c r="B16" s="1"/>
      <c r="C16" s="122"/>
      <c r="D16" s="115"/>
      <c r="E16" s="115"/>
      <c r="F16" s="115"/>
      <c r="G16" s="1"/>
      <c r="H16" s="115"/>
      <c r="I16" s="115"/>
      <c r="J16" s="115"/>
      <c r="K16" s="115"/>
      <c r="L16" s="115"/>
      <c r="M16" s="115"/>
      <c r="N16" s="115"/>
      <c r="O16" s="115"/>
      <c r="P16" s="79"/>
      <c r="Q16" s="46"/>
      <c r="R16" s="2"/>
      <c r="S16" s="58"/>
      <c r="T16" s="76"/>
      <c r="U16" s="61"/>
      <c r="V16" s="69"/>
      <c r="W16" s="112"/>
      <c r="X16" s="96"/>
      <c r="Y16" s="25"/>
      <c r="Z16" s="25"/>
      <c r="AA16" s="25"/>
      <c r="AB16" s="25"/>
      <c r="AC16" s="25"/>
    </row>
    <row r="17" spans="1:29" ht="17.25" x14ac:dyDescent="0.3">
      <c r="A17" s="133" t="s">
        <v>33</v>
      </c>
      <c r="B17" s="1"/>
      <c r="C17" s="122"/>
      <c r="D17" s="115"/>
      <c r="E17" s="115"/>
      <c r="F17" s="115"/>
      <c r="G17" s="1"/>
      <c r="H17" s="115"/>
      <c r="I17" s="115"/>
      <c r="J17" s="115"/>
      <c r="K17" s="115"/>
      <c r="L17" s="115"/>
      <c r="M17" s="115"/>
      <c r="N17" s="115"/>
      <c r="O17" s="115"/>
      <c r="P17" s="79" t="e">
        <f>+O17/D17</f>
        <v>#DIV/0!</v>
      </c>
      <c r="Q17" s="46" t="e">
        <f>+(G17*1+H17*2+I17*3+J17*4)/E17</f>
        <v>#DIV/0!</v>
      </c>
      <c r="R17" s="2" t="e">
        <f>+(F17+N17)/(D17-AA17)</f>
        <v>#DIV/0!</v>
      </c>
      <c r="S17" s="58" t="e">
        <f>+R17+Q17</f>
        <v>#DIV/0!</v>
      </c>
      <c r="T17" s="76" t="e">
        <f>O17/(D17-(F17+N17))</f>
        <v>#DIV/0!</v>
      </c>
      <c r="U17" s="61" t="e">
        <f>RANK(R17,$R$4:$R$26)</f>
        <v>#DIV/0!</v>
      </c>
      <c r="V17" s="69" t="e">
        <f>RANK(S17,$S$4:$S$26)</f>
        <v>#DIV/0!</v>
      </c>
      <c r="W17" s="112" t="e">
        <f>RANK(C17,$C$4:$C$26)</f>
        <v>#N/A</v>
      </c>
      <c r="X17" s="96"/>
      <c r="Y17" s="25">
        <v>2</v>
      </c>
      <c r="Z17" s="25">
        <v>1</v>
      </c>
      <c r="AA17" s="25"/>
      <c r="AB17" s="25">
        <v>2</v>
      </c>
      <c r="AC17" s="25"/>
    </row>
    <row r="18" spans="1:29" ht="17.25" x14ac:dyDescent="0.3">
      <c r="A18" s="10" t="s">
        <v>60</v>
      </c>
      <c r="B18" s="1"/>
      <c r="C18" s="122"/>
      <c r="D18" s="115"/>
      <c r="E18" s="115"/>
      <c r="F18" s="115"/>
      <c r="G18" s="1"/>
      <c r="H18" s="115"/>
      <c r="I18" s="115"/>
      <c r="J18" s="115"/>
      <c r="K18" s="115"/>
      <c r="L18" s="115"/>
      <c r="M18" s="115"/>
      <c r="N18" s="115"/>
      <c r="O18" s="115"/>
      <c r="P18" s="79" t="e">
        <f>+O18/D18</f>
        <v>#DIV/0!</v>
      </c>
      <c r="Q18" s="46" t="e">
        <f>+(G18*1+H18*2+I18*3+J18*4)/E18</f>
        <v>#DIV/0!</v>
      </c>
      <c r="R18" s="2" t="e">
        <f>+(F18+N18)/(D18-AA18)</f>
        <v>#DIV/0!</v>
      </c>
      <c r="S18" s="58" t="e">
        <f>+R18+Q18</f>
        <v>#DIV/0!</v>
      </c>
      <c r="T18" s="76"/>
      <c r="U18" s="61" t="e">
        <f>RANK(R18,$R$4:$R$26)</f>
        <v>#DIV/0!</v>
      </c>
      <c r="V18" s="69" t="e">
        <f>RANK(S18,$S$4:$S$26)</f>
        <v>#DIV/0!</v>
      </c>
      <c r="W18" s="112" t="e">
        <f>RANK(C18,$C$4:$C$26)</f>
        <v>#N/A</v>
      </c>
      <c r="X18" s="96"/>
      <c r="Y18" s="25">
        <v>3</v>
      </c>
      <c r="Z18" s="25">
        <v>1</v>
      </c>
      <c r="AA18" s="25"/>
      <c r="AB18" s="25"/>
      <c r="AC18" s="25"/>
    </row>
    <row r="19" spans="1:29" ht="17.25" x14ac:dyDescent="0.3">
      <c r="A19" s="10" t="s">
        <v>12</v>
      </c>
      <c r="B19" s="1"/>
      <c r="C19" s="122"/>
      <c r="D19" s="115"/>
      <c r="E19" s="115"/>
      <c r="F19" s="115"/>
      <c r="G19" s="1"/>
      <c r="H19" s="115"/>
      <c r="I19" s="115"/>
      <c r="J19" s="115"/>
      <c r="K19" s="115"/>
      <c r="L19" s="115"/>
      <c r="M19" s="115"/>
      <c r="N19" s="115"/>
      <c r="O19" s="115"/>
      <c r="P19" s="79" t="e">
        <f>+O19/D19</f>
        <v>#DIV/0!</v>
      </c>
      <c r="Q19" s="46" t="e">
        <f>+(G19*1+H19*2+I19*3+J19*4)/E19</f>
        <v>#DIV/0!</v>
      </c>
      <c r="R19" s="2" t="e">
        <f>+(F19+N19)/(D19-AA19)</f>
        <v>#DIV/0!</v>
      </c>
      <c r="S19" s="58" t="e">
        <f>+R19+Q19</f>
        <v>#DIV/0!</v>
      </c>
      <c r="T19" s="76" t="e">
        <f>O19/(D19-(F19+N19))</f>
        <v>#DIV/0!</v>
      </c>
      <c r="U19" s="61" t="e">
        <f>RANK(R19,$R$4:$R$26)</f>
        <v>#DIV/0!</v>
      </c>
      <c r="V19" s="69" t="e">
        <f>RANK(S19,$S$4:$S$26)</f>
        <v>#DIV/0!</v>
      </c>
      <c r="W19" s="112"/>
      <c r="X19" s="96"/>
      <c r="Y19" s="25">
        <v>0</v>
      </c>
      <c r="Z19" s="25">
        <v>1</v>
      </c>
      <c r="AA19" s="25"/>
      <c r="AB19" s="25"/>
      <c r="AC19" s="25"/>
    </row>
    <row r="20" spans="1:29" ht="17.25" x14ac:dyDescent="0.3">
      <c r="A20" s="10" t="s">
        <v>154</v>
      </c>
      <c r="B20" s="1"/>
      <c r="C20" s="122"/>
      <c r="D20" s="115"/>
      <c r="E20" s="115"/>
      <c r="F20" s="115"/>
      <c r="G20" s="1"/>
      <c r="H20" s="115"/>
      <c r="I20" s="115"/>
      <c r="J20" s="115"/>
      <c r="K20" s="115"/>
      <c r="L20" s="115"/>
      <c r="M20" s="115"/>
      <c r="N20" s="115"/>
      <c r="O20" s="115"/>
      <c r="P20" s="79" t="e">
        <f>+O20/D20</f>
        <v>#DIV/0!</v>
      </c>
      <c r="Q20" s="46" t="e">
        <f>+(G20*1+H20*2+I20*3+J20*4)/E20</f>
        <v>#DIV/0!</v>
      </c>
      <c r="R20" s="2" t="e">
        <f>+(F20+N20)/(D20-AA20)</f>
        <v>#DIV/0!</v>
      </c>
      <c r="S20" s="58" t="e">
        <f>+R20+Q20</f>
        <v>#DIV/0!</v>
      </c>
      <c r="T20" s="76" t="e">
        <f>O20/(D20-(F20+N20))</f>
        <v>#DIV/0!</v>
      </c>
      <c r="U20" s="61" t="e">
        <f>RANK(R20,$R$4:$R$26)</f>
        <v>#DIV/0!</v>
      </c>
      <c r="V20" s="69" t="e">
        <f>RANK(S20,$S$4:$S$26)</f>
        <v>#DIV/0!</v>
      </c>
      <c r="W20" s="112" t="e">
        <f>RANK(C20,$C$4:$C$26)</f>
        <v>#N/A</v>
      </c>
      <c r="X20" s="96"/>
      <c r="Y20" s="25">
        <v>1</v>
      </c>
      <c r="Z20" s="25">
        <v>2</v>
      </c>
      <c r="AA20" s="25"/>
      <c r="AB20" s="25"/>
      <c r="AC20" s="25"/>
    </row>
    <row r="21" spans="1:29" ht="17.25" x14ac:dyDescent="0.3">
      <c r="A21" s="10" t="s">
        <v>24</v>
      </c>
      <c r="B21" s="1"/>
      <c r="C21" s="122"/>
      <c r="D21" s="115"/>
      <c r="E21" s="115"/>
      <c r="F21" s="115"/>
      <c r="G21" s="1"/>
      <c r="H21" s="115"/>
      <c r="I21" s="115"/>
      <c r="J21" s="115"/>
      <c r="K21" s="115"/>
      <c r="L21" s="115"/>
      <c r="M21" s="115"/>
      <c r="N21" s="115"/>
      <c r="O21" s="115"/>
      <c r="P21" s="79" t="e">
        <f>+O21/D21</f>
        <v>#DIV/0!</v>
      </c>
      <c r="Q21" s="46" t="e">
        <f>+(G21*1+H21*2+I21*3+J21*4)/E21</f>
        <v>#DIV/0!</v>
      </c>
      <c r="R21" s="2" t="e">
        <f>+(F21+N21)/(D21-AA21)</f>
        <v>#DIV/0!</v>
      </c>
      <c r="S21" s="58" t="e">
        <f>+R21+Q21</f>
        <v>#DIV/0!</v>
      </c>
      <c r="T21" s="76" t="e">
        <f>O21/(D21-(F21+N21))</f>
        <v>#DIV/0!</v>
      </c>
      <c r="U21" s="61" t="e">
        <f>RANK(R21,$R$4:$R$26)</f>
        <v>#DIV/0!</v>
      </c>
      <c r="V21" s="69" t="e">
        <f>RANK(S21,$S$4:$S$26)</f>
        <v>#DIV/0!</v>
      </c>
      <c r="W21" s="112" t="e">
        <f>RANK(C21,$C$4:$C$26)</f>
        <v>#N/A</v>
      </c>
      <c r="X21" s="96"/>
      <c r="Y21" s="25">
        <v>1</v>
      </c>
      <c r="Z21" s="25">
        <v>0</v>
      </c>
      <c r="AA21" s="25"/>
      <c r="AB21" s="25"/>
      <c r="AC21" s="25"/>
    </row>
    <row r="22" spans="1:29" ht="17.25" x14ac:dyDescent="0.3">
      <c r="A22" s="10" t="s">
        <v>14</v>
      </c>
      <c r="B22" s="1"/>
      <c r="C22" s="122"/>
      <c r="D22" s="115"/>
      <c r="E22" s="115"/>
      <c r="F22" s="115"/>
      <c r="G22" s="1"/>
      <c r="H22" s="115"/>
      <c r="I22" s="115"/>
      <c r="J22" s="115"/>
      <c r="K22" s="115"/>
      <c r="L22" s="115"/>
      <c r="M22" s="115"/>
      <c r="N22" s="115"/>
      <c r="O22" s="115"/>
      <c r="P22" s="79"/>
      <c r="Q22" s="46"/>
      <c r="R22" s="2"/>
      <c r="S22" s="58"/>
      <c r="T22" s="76"/>
      <c r="U22" s="61"/>
      <c r="V22" s="69"/>
      <c r="W22" s="112"/>
      <c r="X22" s="96"/>
      <c r="Y22" s="25"/>
      <c r="Z22" s="25"/>
      <c r="AA22" s="25"/>
      <c r="AB22" s="25"/>
      <c r="AC22" s="25"/>
    </row>
    <row r="23" spans="1:29" ht="17.25" x14ac:dyDescent="0.3">
      <c r="A23" s="10" t="s">
        <v>47</v>
      </c>
      <c r="B23" s="1"/>
      <c r="C23" s="122"/>
      <c r="D23" s="115"/>
      <c r="E23" s="115"/>
      <c r="F23" s="115"/>
      <c r="G23" s="1"/>
      <c r="H23" s="115"/>
      <c r="I23" s="115"/>
      <c r="J23" s="115"/>
      <c r="K23" s="115"/>
      <c r="L23" s="115"/>
      <c r="M23" s="115"/>
      <c r="N23" s="115"/>
      <c r="O23" s="115"/>
      <c r="P23" s="79" t="e">
        <f>+O23/D23</f>
        <v>#DIV/0!</v>
      </c>
      <c r="Q23" s="46" t="e">
        <f>+(G23*1+H23*2+I23*3+J23*4)/E23</f>
        <v>#DIV/0!</v>
      </c>
      <c r="R23" s="2" t="e">
        <f>+(F23+N23)/(D23-AA23)</f>
        <v>#DIV/0!</v>
      </c>
      <c r="S23" s="58" t="e">
        <f>+R23+Q23</f>
        <v>#DIV/0!</v>
      </c>
      <c r="T23" s="76" t="e">
        <f>O23/(D23-(F23+N23))</f>
        <v>#DIV/0!</v>
      </c>
      <c r="U23" s="61" t="e">
        <f>RANK(R23,$R$4:$R$26)</f>
        <v>#DIV/0!</v>
      </c>
      <c r="V23" s="69" t="e">
        <f>RANK(S23,$S$4:$S$26)</f>
        <v>#DIV/0!</v>
      </c>
      <c r="W23" s="112" t="e">
        <f>RANK(C23,$C$4:$C$26)</f>
        <v>#N/A</v>
      </c>
      <c r="X23" s="96"/>
      <c r="Y23" s="25">
        <v>0</v>
      </c>
      <c r="Z23" s="25">
        <v>0</v>
      </c>
      <c r="AA23" s="25"/>
      <c r="AB23" s="25"/>
      <c r="AC23" s="25"/>
    </row>
    <row r="24" spans="1:29" ht="17.25" x14ac:dyDescent="0.3">
      <c r="A24" s="10" t="s">
        <v>22</v>
      </c>
      <c r="B24" s="1"/>
      <c r="C24" s="122"/>
      <c r="D24" s="115"/>
      <c r="E24" s="115"/>
      <c r="F24" s="115"/>
      <c r="G24" s="1"/>
      <c r="H24" s="115"/>
      <c r="I24" s="115"/>
      <c r="J24" s="115"/>
      <c r="K24" s="115"/>
      <c r="L24" s="115"/>
      <c r="M24" s="115"/>
      <c r="N24" s="115"/>
      <c r="O24" s="115"/>
      <c r="P24" s="79" t="e">
        <f>+O24/D24</f>
        <v>#DIV/0!</v>
      </c>
      <c r="Q24" s="46" t="e">
        <f>+(G24*1+H24*2+I24*3+J24*4)/E24</f>
        <v>#DIV/0!</v>
      </c>
      <c r="R24" s="2" t="e">
        <f>+(F24+N24)/(D24-AA24)</f>
        <v>#DIV/0!</v>
      </c>
      <c r="S24" s="58" t="e">
        <f>+R24+Q24</f>
        <v>#DIV/0!</v>
      </c>
      <c r="T24" s="76" t="e">
        <f>O24/(D24-(F24+N24))</f>
        <v>#DIV/0!</v>
      </c>
      <c r="U24" s="61" t="e">
        <f>RANK(R24,$R$4:$R$26)</f>
        <v>#DIV/0!</v>
      </c>
      <c r="V24" s="69" t="e">
        <f>RANK(S24,$S$4:$S$26)</f>
        <v>#DIV/0!</v>
      </c>
      <c r="W24" s="112" t="e">
        <f>RANK(C24,$C$4:$C$26)</f>
        <v>#N/A</v>
      </c>
      <c r="X24" s="96"/>
      <c r="Y24" s="25">
        <v>3</v>
      </c>
      <c r="Z24" s="25">
        <v>0</v>
      </c>
      <c r="AA24" s="25"/>
      <c r="AB24" s="25"/>
      <c r="AC24" s="25"/>
    </row>
    <row r="25" spans="1:29" ht="17.25" x14ac:dyDescent="0.3">
      <c r="A25" s="10" t="s">
        <v>153</v>
      </c>
      <c r="B25" s="1">
        <v>1</v>
      </c>
      <c r="C25" s="122"/>
      <c r="D25" s="115">
        <v>2</v>
      </c>
      <c r="E25" s="115">
        <v>2</v>
      </c>
      <c r="F25" s="115">
        <v>1</v>
      </c>
      <c r="G25" s="1">
        <f t="shared" ref="G25" si="8">+F25-(H25+I25+J25)</f>
        <v>1</v>
      </c>
      <c r="H25" s="115">
        <v>0</v>
      </c>
      <c r="I25" s="115">
        <v>0</v>
      </c>
      <c r="J25" s="115">
        <v>0</v>
      </c>
      <c r="K25" s="115">
        <v>0</v>
      </c>
      <c r="L25" s="115">
        <v>0</v>
      </c>
      <c r="M25" s="115"/>
      <c r="N25" s="115"/>
      <c r="O25" s="115"/>
      <c r="P25" s="79">
        <f>+O25/D25</f>
        <v>0</v>
      </c>
      <c r="Q25" s="46">
        <f>+(G25*1+H25*2+I25*3+J25*4)/E25</f>
        <v>0.5</v>
      </c>
      <c r="R25" s="2">
        <f>+(F25+N25)/(D25-AA25)</f>
        <v>0.5</v>
      </c>
      <c r="S25" s="58">
        <f>+R25+Q25</f>
        <v>1</v>
      </c>
      <c r="T25" s="76">
        <f>O25/(D25-(F25+N25))</f>
        <v>0</v>
      </c>
      <c r="U25" s="61" t="e">
        <f>RANK(R25,$R$4:$R$26)</f>
        <v>#DIV/0!</v>
      </c>
      <c r="V25" s="69" t="e">
        <f>RANK(S25,$S$4:$S$26)</f>
        <v>#DIV/0!</v>
      </c>
      <c r="W25" s="112" t="e">
        <f>RANK(C25,$C$4:$C$26)</f>
        <v>#N/A</v>
      </c>
      <c r="X25" s="96"/>
      <c r="Y25" s="25">
        <v>3</v>
      </c>
      <c r="Z25" s="25">
        <v>0</v>
      </c>
      <c r="AA25" s="25"/>
      <c r="AB25" s="25"/>
      <c r="AC25" s="25"/>
    </row>
    <row r="26" spans="1:29" ht="17.25" x14ac:dyDescent="0.3">
      <c r="A26" s="10" t="s">
        <v>54</v>
      </c>
      <c r="B26" s="1"/>
      <c r="C26" s="122"/>
      <c r="D26" s="115"/>
      <c r="E26" s="115"/>
      <c r="F26" s="115"/>
      <c r="G26" s="1"/>
      <c r="H26" s="115"/>
      <c r="I26" s="115"/>
      <c r="J26" s="115"/>
      <c r="K26" s="115"/>
      <c r="L26" s="115"/>
      <c r="M26" s="115"/>
      <c r="N26" s="115"/>
      <c r="O26" s="115"/>
      <c r="P26" s="79" t="e">
        <f>+O26/D26</f>
        <v>#DIV/0!</v>
      </c>
      <c r="Q26" s="46" t="e">
        <f>+(G26*1+H26*2+I26*3+J26*4)/E26</f>
        <v>#DIV/0!</v>
      </c>
      <c r="R26" s="2" t="e">
        <f>+(F26+N26)/(D26-AA26)</f>
        <v>#DIV/0!</v>
      </c>
      <c r="S26" s="58" t="e">
        <f>+R26+Q26</f>
        <v>#DIV/0!</v>
      </c>
      <c r="T26" s="76" t="e">
        <f>O26/(D26-(F26+N26))</f>
        <v>#DIV/0!</v>
      </c>
      <c r="U26" s="61" t="e">
        <f>RANK(R26,$R$4:$R$26)</f>
        <v>#DIV/0!</v>
      </c>
      <c r="V26" s="69" t="e">
        <f>RANK(S26,$S$4:$S$26)</f>
        <v>#DIV/0!</v>
      </c>
      <c r="W26" s="112" t="e">
        <f>RANK(C26,$C$4:$C$26)</f>
        <v>#N/A</v>
      </c>
      <c r="X26" s="96"/>
      <c r="Y26" s="25">
        <v>1</v>
      </c>
      <c r="Z26" s="25">
        <v>0</v>
      </c>
      <c r="AA26" s="25"/>
      <c r="AB26" s="25"/>
      <c r="AC26" s="25">
        <v>1</v>
      </c>
    </row>
    <row r="27" spans="1:29" ht="17.25" x14ac:dyDescent="0.3">
      <c r="A27" s="11" t="s">
        <v>10</v>
      </c>
      <c r="B27" s="11"/>
      <c r="C27" s="17">
        <f t="shared" ref="C27" si="9">+F27/E27</f>
        <v>0.5</v>
      </c>
      <c r="D27" s="11">
        <f t="shared" ref="D27:O27" si="10">SUM(D4:D26)</f>
        <v>2</v>
      </c>
      <c r="E27" s="11">
        <f t="shared" si="10"/>
        <v>2</v>
      </c>
      <c r="F27" s="11">
        <f t="shared" si="10"/>
        <v>1</v>
      </c>
      <c r="G27" s="11">
        <f t="shared" si="10"/>
        <v>1</v>
      </c>
      <c r="H27" s="11">
        <f t="shared" si="10"/>
        <v>0</v>
      </c>
      <c r="I27" s="11">
        <f t="shared" si="10"/>
        <v>0</v>
      </c>
      <c r="J27" s="11">
        <f t="shared" si="10"/>
        <v>0</v>
      </c>
      <c r="K27" s="11">
        <f t="shared" si="10"/>
        <v>0</v>
      </c>
      <c r="L27" s="11">
        <f t="shared" si="10"/>
        <v>0</v>
      </c>
      <c r="M27" s="11">
        <f t="shared" si="10"/>
        <v>0</v>
      </c>
      <c r="N27" s="11">
        <f t="shared" si="10"/>
        <v>0</v>
      </c>
      <c r="O27" s="11">
        <f t="shared" si="10"/>
        <v>0</v>
      </c>
      <c r="P27" s="29">
        <f t="shared" ref="P27" si="11">+O27/D27</f>
        <v>0</v>
      </c>
      <c r="Q27" s="17"/>
      <c r="R27" s="17"/>
      <c r="S27" s="57"/>
      <c r="T27" s="68"/>
      <c r="U27" s="68"/>
      <c r="V27" s="68"/>
      <c r="W27" s="68"/>
      <c r="Y27" s="81">
        <f>SUM(Y4:Y26)</f>
        <v>30</v>
      </c>
      <c r="Z27" s="81">
        <f>SUM(Z4:Z26)</f>
        <v>11</v>
      </c>
      <c r="AA27" s="81">
        <f>SUM(AA4:AA26)</f>
        <v>1</v>
      </c>
      <c r="AB27" s="81">
        <f>SUM(AB4:AB26)</f>
        <v>3</v>
      </c>
      <c r="AC27" s="81">
        <f>SUM(AC4:AC26)</f>
        <v>1</v>
      </c>
    </row>
    <row r="28" spans="1:29" ht="17.25" x14ac:dyDescent="0.3">
      <c r="A28" s="22"/>
      <c r="B28" s="22"/>
      <c r="C28" s="23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3"/>
      <c r="R28" s="23"/>
    </row>
    <row r="29" spans="1:29" ht="17.25" x14ac:dyDescent="0.3">
      <c r="A29" s="4" t="s">
        <v>3</v>
      </c>
    </row>
    <row r="30" spans="1:29" ht="34.5" x14ac:dyDescent="0.3">
      <c r="A30" s="10" t="s">
        <v>27</v>
      </c>
      <c r="B30" s="10" t="s">
        <v>46</v>
      </c>
      <c r="C30" s="10" t="s">
        <v>55</v>
      </c>
      <c r="D30" s="10" t="s">
        <v>41</v>
      </c>
      <c r="E30" s="10" t="s">
        <v>48</v>
      </c>
      <c r="F30" s="10" t="s">
        <v>45</v>
      </c>
      <c r="G30" s="10" t="s">
        <v>38</v>
      </c>
      <c r="H30" s="10" t="s">
        <v>5</v>
      </c>
      <c r="I30" s="10" t="s">
        <v>17</v>
      </c>
      <c r="J30" s="10" t="s">
        <v>26</v>
      </c>
      <c r="K30" s="10" t="s">
        <v>30</v>
      </c>
      <c r="L30" s="10" t="s">
        <v>89</v>
      </c>
      <c r="M30" s="10" t="s">
        <v>6</v>
      </c>
      <c r="N30" s="10" t="s">
        <v>42</v>
      </c>
      <c r="O30" s="10" t="s">
        <v>35</v>
      </c>
      <c r="P30" s="10" t="s">
        <v>49</v>
      </c>
      <c r="Q30" s="10" t="s">
        <v>56</v>
      </c>
      <c r="R30" s="10" t="s">
        <v>66</v>
      </c>
      <c r="S30" s="10" t="s">
        <v>90</v>
      </c>
      <c r="T30" s="10" t="s">
        <v>70</v>
      </c>
      <c r="U30" s="10" t="s">
        <v>149</v>
      </c>
      <c r="V30" s="10" t="s">
        <v>68</v>
      </c>
      <c r="W30" s="10" t="s">
        <v>135</v>
      </c>
      <c r="Y30" s="10" t="s">
        <v>159</v>
      </c>
      <c r="Z30" s="10" t="s">
        <v>148</v>
      </c>
    </row>
    <row r="31" spans="1:29" ht="17.25" x14ac:dyDescent="0.3">
      <c r="A31" s="10" t="s">
        <v>59</v>
      </c>
      <c r="B31" s="1"/>
      <c r="C31" s="115"/>
      <c r="D31" s="115"/>
      <c r="E31" s="115"/>
      <c r="F31" s="115"/>
      <c r="G31" s="115"/>
      <c r="H31" s="119"/>
      <c r="I31" s="115"/>
      <c r="J31" s="115"/>
      <c r="K31" s="115"/>
      <c r="L31" s="115"/>
      <c r="M31" s="115"/>
      <c r="N31" s="115"/>
      <c r="O31" s="115"/>
      <c r="P31" s="120" t="e">
        <f>+O31*9/H31</f>
        <v>#DIV/0!</v>
      </c>
      <c r="Q31" s="38" t="e">
        <f>(K31+L31)/H31</f>
        <v>#DIV/0!</v>
      </c>
      <c r="R31" s="121" t="e">
        <f>I31/H31</f>
        <v>#DIV/0!</v>
      </c>
      <c r="S31" s="39" t="e">
        <f>H31/B31</f>
        <v>#DIV/0!</v>
      </c>
      <c r="T31" s="40" t="e">
        <f>M31/H31</f>
        <v>#DIV/0!</v>
      </c>
      <c r="U31" s="33" t="e">
        <f>O31/N31</f>
        <v>#DIV/0!</v>
      </c>
      <c r="V31" s="38" t="e">
        <f>(I31+K31+L31)/H31</f>
        <v>#DIV/0!</v>
      </c>
      <c r="W31" s="134" t="e">
        <f t="shared" ref="W31:W41" si="12">+(L31+K31)/F31*100</f>
        <v>#DIV/0!</v>
      </c>
      <c r="X31" s="131"/>
      <c r="Y31" s="135"/>
      <c r="Z31" s="135"/>
    </row>
    <row r="32" spans="1:29" ht="17.25" x14ac:dyDescent="0.3">
      <c r="A32" s="10" t="s">
        <v>74</v>
      </c>
      <c r="B32" s="1"/>
      <c r="C32" s="115"/>
      <c r="D32" s="115"/>
      <c r="E32" s="115"/>
      <c r="F32" s="115"/>
      <c r="G32" s="115"/>
      <c r="H32" s="119"/>
      <c r="I32" s="115"/>
      <c r="J32" s="115"/>
      <c r="K32" s="115"/>
      <c r="L32" s="115"/>
      <c r="M32" s="115"/>
      <c r="N32" s="115"/>
      <c r="O32" s="115"/>
      <c r="P32" s="120" t="e">
        <f t="shared" ref="P32:P42" si="13">+O32*9/H32</f>
        <v>#DIV/0!</v>
      </c>
      <c r="Q32" s="38" t="e">
        <f t="shared" ref="Q32:Q41" si="14">(K32+L32)/H32</f>
        <v>#DIV/0!</v>
      </c>
      <c r="R32" s="121" t="e">
        <f t="shared" ref="R32:R41" si="15">I32/H32</f>
        <v>#DIV/0!</v>
      </c>
      <c r="S32" s="39" t="e">
        <f t="shared" ref="S32:S42" si="16">H32/B32</f>
        <v>#DIV/0!</v>
      </c>
      <c r="T32" s="40" t="e">
        <f t="shared" ref="T32:T41" si="17">M32/H32</f>
        <v>#DIV/0!</v>
      </c>
      <c r="U32" s="33" t="e">
        <f t="shared" ref="U32:U41" si="18">O32/N32</f>
        <v>#DIV/0!</v>
      </c>
      <c r="V32" s="38" t="e">
        <f t="shared" ref="V32:V41" si="19">(I32+K32+L32)/H32</f>
        <v>#DIV/0!</v>
      </c>
      <c r="W32" s="134" t="e">
        <f t="shared" si="12"/>
        <v>#DIV/0!</v>
      </c>
      <c r="X32" s="131"/>
      <c r="Y32" s="135"/>
      <c r="Z32" s="135"/>
    </row>
    <row r="33" spans="1:26" ht="17.25" x14ac:dyDescent="0.3">
      <c r="A33" s="10" t="s">
        <v>51</v>
      </c>
      <c r="B33" s="1"/>
      <c r="C33" s="115"/>
      <c r="D33" s="115"/>
      <c r="E33" s="115"/>
      <c r="F33" s="115"/>
      <c r="G33" s="115"/>
      <c r="H33" s="119"/>
      <c r="I33" s="115"/>
      <c r="J33" s="115"/>
      <c r="K33" s="115"/>
      <c r="L33" s="115"/>
      <c r="M33" s="115"/>
      <c r="N33" s="115"/>
      <c r="O33" s="115"/>
      <c r="P33" s="120" t="e">
        <f t="shared" si="13"/>
        <v>#DIV/0!</v>
      </c>
      <c r="Q33" s="38" t="e">
        <f t="shared" si="14"/>
        <v>#DIV/0!</v>
      </c>
      <c r="R33" s="121" t="e">
        <f t="shared" si="15"/>
        <v>#DIV/0!</v>
      </c>
      <c r="S33" s="39" t="e">
        <f t="shared" si="16"/>
        <v>#DIV/0!</v>
      </c>
      <c r="T33" s="40" t="e">
        <f t="shared" si="17"/>
        <v>#DIV/0!</v>
      </c>
      <c r="U33" s="33" t="e">
        <f t="shared" si="18"/>
        <v>#DIV/0!</v>
      </c>
      <c r="V33" s="38" t="e">
        <f t="shared" si="19"/>
        <v>#DIV/0!</v>
      </c>
      <c r="W33" s="134" t="e">
        <f t="shared" si="12"/>
        <v>#DIV/0!</v>
      </c>
      <c r="X33" s="131"/>
      <c r="Y33" s="135"/>
      <c r="Z33" s="135"/>
    </row>
    <row r="34" spans="1:26" ht="17.25" x14ac:dyDescent="0.3">
      <c r="A34" s="10" t="s">
        <v>15</v>
      </c>
      <c r="B34" s="1"/>
      <c r="C34" s="115"/>
      <c r="D34" s="115"/>
      <c r="E34" s="115"/>
      <c r="F34" s="115"/>
      <c r="G34" s="115"/>
      <c r="H34" s="119"/>
      <c r="I34" s="115"/>
      <c r="J34" s="115"/>
      <c r="K34" s="115"/>
      <c r="L34" s="115"/>
      <c r="M34" s="115"/>
      <c r="N34" s="115"/>
      <c r="O34" s="115"/>
      <c r="P34" s="120" t="e">
        <f t="shared" si="13"/>
        <v>#DIV/0!</v>
      </c>
      <c r="Q34" s="38" t="e">
        <f t="shared" si="14"/>
        <v>#DIV/0!</v>
      </c>
      <c r="R34" s="121" t="e">
        <f t="shared" si="15"/>
        <v>#DIV/0!</v>
      </c>
      <c r="S34" s="39" t="e">
        <f t="shared" si="16"/>
        <v>#DIV/0!</v>
      </c>
      <c r="T34" s="40" t="e">
        <f t="shared" si="17"/>
        <v>#DIV/0!</v>
      </c>
      <c r="U34" s="33" t="e">
        <f t="shared" si="18"/>
        <v>#DIV/0!</v>
      </c>
      <c r="V34" s="38" t="e">
        <f t="shared" si="19"/>
        <v>#DIV/0!</v>
      </c>
      <c r="W34" s="134" t="e">
        <f t="shared" si="12"/>
        <v>#DIV/0!</v>
      </c>
      <c r="X34" s="131"/>
      <c r="Y34" s="135"/>
      <c r="Z34" s="135"/>
    </row>
    <row r="35" spans="1:26" ht="17.25" x14ac:dyDescent="0.3">
      <c r="A35" s="10" t="s">
        <v>76</v>
      </c>
      <c r="B35" s="1"/>
      <c r="C35" s="115"/>
      <c r="D35" s="115"/>
      <c r="E35" s="115"/>
      <c r="F35" s="115"/>
      <c r="G35" s="115"/>
      <c r="H35" s="119"/>
      <c r="I35" s="115"/>
      <c r="J35" s="115"/>
      <c r="K35" s="115"/>
      <c r="L35" s="115"/>
      <c r="M35" s="115"/>
      <c r="N35" s="115"/>
      <c r="O35" s="115"/>
      <c r="P35" s="120" t="e">
        <f t="shared" si="13"/>
        <v>#DIV/0!</v>
      </c>
      <c r="Q35" s="38" t="e">
        <f t="shared" si="14"/>
        <v>#DIV/0!</v>
      </c>
      <c r="R35" s="121" t="e">
        <f t="shared" si="15"/>
        <v>#DIV/0!</v>
      </c>
      <c r="S35" s="39" t="e">
        <f t="shared" si="16"/>
        <v>#DIV/0!</v>
      </c>
      <c r="T35" s="40" t="e">
        <f t="shared" si="17"/>
        <v>#DIV/0!</v>
      </c>
      <c r="U35" s="33" t="e">
        <f t="shared" si="18"/>
        <v>#DIV/0!</v>
      </c>
      <c r="V35" s="38" t="e">
        <f t="shared" si="19"/>
        <v>#DIV/0!</v>
      </c>
      <c r="W35" s="134" t="e">
        <f t="shared" si="12"/>
        <v>#DIV/0!</v>
      </c>
      <c r="X35" s="131"/>
      <c r="Y35" s="135"/>
      <c r="Z35" s="135"/>
    </row>
    <row r="36" spans="1:26" ht="17.25" x14ac:dyDescent="0.3">
      <c r="A36" s="10" t="s">
        <v>50</v>
      </c>
      <c r="B36" s="1"/>
      <c r="C36" s="115"/>
      <c r="D36" s="115"/>
      <c r="E36" s="115"/>
      <c r="F36" s="115"/>
      <c r="G36" s="115"/>
      <c r="H36" s="119"/>
      <c r="I36" s="115"/>
      <c r="J36" s="115"/>
      <c r="K36" s="115"/>
      <c r="L36" s="115"/>
      <c r="M36" s="115"/>
      <c r="N36" s="115"/>
      <c r="O36" s="115"/>
      <c r="P36" s="120" t="e">
        <f t="shared" si="13"/>
        <v>#DIV/0!</v>
      </c>
      <c r="Q36" s="38" t="e">
        <f t="shared" si="14"/>
        <v>#DIV/0!</v>
      </c>
      <c r="R36" s="121" t="e">
        <f t="shared" si="15"/>
        <v>#DIV/0!</v>
      </c>
      <c r="S36" s="39" t="e">
        <f t="shared" si="16"/>
        <v>#DIV/0!</v>
      </c>
      <c r="T36" s="40" t="e">
        <f t="shared" si="17"/>
        <v>#DIV/0!</v>
      </c>
      <c r="U36" s="33" t="e">
        <f t="shared" si="18"/>
        <v>#DIV/0!</v>
      </c>
      <c r="V36" s="38" t="e">
        <f t="shared" si="19"/>
        <v>#DIV/0!</v>
      </c>
      <c r="W36" s="134" t="e">
        <f t="shared" si="12"/>
        <v>#DIV/0!</v>
      </c>
      <c r="X36" s="131"/>
      <c r="Y36" s="135"/>
      <c r="Z36" s="135"/>
    </row>
    <row r="37" spans="1:26" ht="17.25" x14ac:dyDescent="0.3">
      <c r="A37" s="10" t="s">
        <v>33</v>
      </c>
      <c r="B37" s="1"/>
      <c r="C37" s="115"/>
      <c r="D37" s="115"/>
      <c r="E37" s="115"/>
      <c r="F37" s="115"/>
      <c r="G37" s="115"/>
      <c r="H37" s="119"/>
      <c r="I37" s="115"/>
      <c r="J37" s="115"/>
      <c r="K37" s="115"/>
      <c r="L37" s="115"/>
      <c r="M37" s="115"/>
      <c r="N37" s="115"/>
      <c r="O37" s="115"/>
      <c r="P37" s="120" t="e">
        <f t="shared" si="13"/>
        <v>#DIV/0!</v>
      </c>
      <c r="Q37" s="38" t="e">
        <f t="shared" si="14"/>
        <v>#DIV/0!</v>
      </c>
      <c r="R37" s="121" t="e">
        <f t="shared" si="15"/>
        <v>#DIV/0!</v>
      </c>
      <c r="S37" s="39" t="e">
        <f t="shared" si="16"/>
        <v>#DIV/0!</v>
      </c>
      <c r="T37" s="40" t="e">
        <f t="shared" si="17"/>
        <v>#DIV/0!</v>
      </c>
      <c r="U37" s="33" t="e">
        <f t="shared" si="18"/>
        <v>#DIV/0!</v>
      </c>
      <c r="V37" s="38" t="e">
        <f t="shared" si="19"/>
        <v>#DIV/0!</v>
      </c>
      <c r="W37" s="134" t="e">
        <f t="shared" si="12"/>
        <v>#DIV/0!</v>
      </c>
      <c r="X37" s="131"/>
      <c r="Y37" s="135"/>
      <c r="Z37" s="135"/>
    </row>
    <row r="38" spans="1:26" ht="17.25" x14ac:dyDescent="0.3">
      <c r="A38" s="10" t="s">
        <v>126</v>
      </c>
      <c r="B38" s="1"/>
      <c r="C38" s="115"/>
      <c r="D38" s="115"/>
      <c r="E38" s="115"/>
      <c r="F38" s="115"/>
      <c r="G38" s="115"/>
      <c r="H38" s="119"/>
      <c r="I38" s="115"/>
      <c r="J38" s="115"/>
      <c r="K38" s="115"/>
      <c r="L38" s="115"/>
      <c r="M38" s="115"/>
      <c r="N38" s="115"/>
      <c r="O38" s="115"/>
      <c r="P38" s="120" t="e">
        <f t="shared" si="13"/>
        <v>#DIV/0!</v>
      </c>
      <c r="Q38" s="38" t="e">
        <f t="shared" si="14"/>
        <v>#DIV/0!</v>
      </c>
      <c r="R38" s="121" t="e">
        <f t="shared" si="15"/>
        <v>#DIV/0!</v>
      </c>
      <c r="S38" s="39" t="e">
        <f t="shared" si="16"/>
        <v>#DIV/0!</v>
      </c>
      <c r="T38" s="40" t="e">
        <f t="shared" si="17"/>
        <v>#DIV/0!</v>
      </c>
      <c r="U38" s="33" t="e">
        <f t="shared" si="18"/>
        <v>#DIV/0!</v>
      </c>
      <c r="V38" s="38" t="e">
        <f t="shared" si="19"/>
        <v>#DIV/0!</v>
      </c>
      <c r="W38" s="134" t="e">
        <f t="shared" si="12"/>
        <v>#DIV/0!</v>
      </c>
      <c r="X38" s="131"/>
      <c r="Y38" s="135"/>
      <c r="Z38" s="135"/>
    </row>
    <row r="39" spans="1:26" ht="17.25" x14ac:dyDescent="0.3">
      <c r="A39" s="10" t="s">
        <v>152</v>
      </c>
      <c r="B39" s="1"/>
      <c r="C39" s="115"/>
      <c r="D39" s="115"/>
      <c r="E39" s="115"/>
      <c r="F39" s="115"/>
      <c r="G39" s="115"/>
      <c r="H39" s="119"/>
      <c r="I39" s="115"/>
      <c r="J39" s="115"/>
      <c r="K39" s="115"/>
      <c r="L39" s="115"/>
      <c r="M39" s="115"/>
      <c r="N39" s="115"/>
      <c r="O39" s="115"/>
      <c r="P39" s="120" t="e">
        <f t="shared" si="13"/>
        <v>#DIV/0!</v>
      </c>
      <c r="Q39" s="38" t="e">
        <f t="shared" si="14"/>
        <v>#DIV/0!</v>
      </c>
      <c r="R39" s="121" t="e">
        <f t="shared" si="15"/>
        <v>#DIV/0!</v>
      </c>
      <c r="S39" s="39" t="e">
        <f t="shared" si="16"/>
        <v>#DIV/0!</v>
      </c>
      <c r="T39" s="40" t="e">
        <f t="shared" si="17"/>
        <v>#DIV/0!</v>
      </c>
      <c r="U39" s="33" t="e">
        <f t="shared" si="18"/>
        <v>#DIV/0!</v>
      </c>
      <c r="V39" s="38" t="e">
        <f t="shared" si="19"/>
        <v>#DIV/0!</v>
      </c>
      <c r="W39" s="134" t="e">
        <f t="shared" si="12"/>
        <v>#DIV/0!</v>
      </c>
      <c r="X39" s="131"/>
      <c r="Y39" s="135"/>
      <c r="Z39" s="135"/>
    </row>
    <row r="40" spans="1:26" ht="17.25" x14ac:dyDescent="0.3">
      <c r="A40" s="10" t="s">
        <v>47</v>
      </c>
      <c r="B40" s="1"/>
      <c r="C40" s="115"/>
      <c r="D40" s="115"/>
      <c r="E40" s="115"/>
      <c r="F40" s="115"/>
      <c r="G40" s="115"/>
      <c r="H40" s="119"/>
      <c r="I40" s="115"/>
      <c r="J40" s="115"/>
      <c r="K40" s="115"/>
      <c r="L40" s="115"/>
      <c r="M40" s="115"/>
      <c r="N40" s="115"/>
      <c r="O40" s="115"/>
      <c r="P40" s="120" t="e">
        <f t="shared" si="13"/>
        <v>#DIV/0!</v>
      </c>
      <c r="Q40" s="38" t="e">
        <f t="shared" si="14"/>
        <v>#DIV/0!</v>
      </c>
      <c r="R40" s="121" t="e">
        <f t="shared" si="15"/>
        <v>#DIV/0!</v>
      </c>
      <c r="S40" s="39" t="e">
        <f t="shared" si="16"/>
        <v>#DIV/0!</v>
      </c>
      <c r="T40" s="40" t="e">
        <f t="shared" si="17"/>
        <v>#DIV/0!</v>
      </c>
      <c r="U40" s="33" t="e">
        <f t="shared" si="18"/>
        <v>#DIV/0!</v>
      </c>
      <c r="V40" s="38" t="e">
        <f t="shared" si="19"/>
        <v>#DIV/0!</v>
      </c>
      <c r="W40" s="134" t="e">
        <f t="shared" si="12"/>
        <v>#DIV/0!</v>
      </c>
      <c r="X40" s="131"/>
      <c r="Y40" s="135"/>
      <c r="Z40" s="135"/>
    </row>
    <row r="41" spans="1:26" ht="17.25" x14ac:dyDescent="0.3">
      <c r="A41" s="10" t="s">
        <v>22</v>
      </c>
      <c r="B41" s="1"/>
      <c r="C41" s="115"/>
      <c r="D41" s="115"/>
      <c r="E41" s="115"/>
      <c r="F41" s="115"/>
      <c r="G41" s="115"/>
      <c r="H41" s="119"/>
      <c r="I41" s="115"/>
      <c r="J41" s="115"/>
      <c r="K41" s="115"/>
      <c r="L41" s="115"/>
      <c r="M41" s="115"/>
      <c r="N41" s="115"/>
      <c r="O41" s="115"/>
      <c r="P41" s="120" t="e">
        <f t="shared" si="13"/>
        <v>#DIV/0!</v>
      </c>
      <c r="Q41" s="38" t="e">
        <f t="shared" si="14"/>
        <v>#DIV/0!</v>
      </c>
      <c r="R41" s="121" t="e">
        <f t="shared" si="15"/>
        <v>#DIV/0!</v>
      </c>
      <c r="S41" s="39" t="e">
        <f t="shared" si="16"/>
        <v>#DIV/0!</v>
      </c>
      <c r="T41" s="40" t="e">
        <f t="shared" si="17"/>
        <v>#DIV/0!</v>
      </c>
      <c r="U41" s="33" t="e">
        <f t="shared" si="18"/>
        <v>#DIV/0!</v>
      </c>
      <c r="V41" s="38" t="e">
        <f t="shared" si="19"/>
        <v>#DIV/0!</v>
      </c>
      <c r="W41" s="134" t="e">
        <f t="shared" si="12"/>
        <v>#DIV/0!</v>
      </c>
      <c r="X41" s="131"/>
      <c r="Y41" s="135">
        <v>2</v>
      </c>
      <c r="Z41" s="135"/>
    </row>
    <row r="42" spans="1:26" ht="17.25" x14ac:dyDescent="0.3">
      <c r="A42" s="11" t="s">
        <v>10</v>
      </c>
      <c r="B42" s="11"/>
      <c r="C42" s="11">
        <f t="shared" ref="C42:O42" si="20">SUM(C31:C41)</f>
        <v>0</v>
      </c>
      <c r="D42" s="11">
        <f t="shared" si="20"/>
        <v>0</v>
      </c>
      <c r="E42" s="11">
        <f t="shared" si="20"/>
        <v>0</v>
      </c>
      <c r="F42" s="11">
        <f t="shared" si="20"/>
        <v>0</v>
      </c>
      <c r="G42" s="11">
        <f t="shared" si="20"/>
        <v>0</v>
      </c>
      <c r="H42" s="15">
        <f t="shared" si="20"/>
        <v>0</v>
      </c>
      <c r="I42" s="11">
        <f t="shared" si="20"/>
        <v>0</v>
      </c>
      <c r="J42" s="11">
        <f t="shared" si="20"/>
        <v>0</v>
      </c>
      <c r="K42" s="11">
        <f t="shared" si="20"/>
        <v>0</v>
      </c>
      <c r="L42" s="11">
        <f t="shared" si="20"/>
        <v>0</v>
      </c>
      <c r="M42" s="11">
        <f t="shared" si="20"/>
        <v>0</v>
      </c>
      <c r="N42" s="11">
        <f t="shared" si="20"/>
        <v>0</v>
      </c>
      <c r="O42" s="11">
        <f t="shared" si="20"/>
        <v>0</v>
      </c>
      <c r="P42" s="16" t="e">
        <f t="shared" si="13"/>
        <v>#DIV/0!</v>
      </c>
      <c r="Q42" s="34" t="e">
        <f>(K42+L42)/H42</f>
        <v>#DIV/0!</v>
      </c>
      <c r="R42" s="35" t="e">
        <f>I42/H42</f>
        <v>#DIV/0!</v>
      </c>
      <c r="S42" s="35" t="e">
        <f t="shared" si="16"/>
        <v>#DIV/0!</v>
      </c>
      <c r="T42" s="36" t="e">
        <f>M42/H42</f>
        <v>#DIV/0!</v>
      </c>
      <c r="U42" s="37" t="e">
        <f>O42/N42</f>
        <v>#DIV/0!</v>
      </c>
      <c r="V42" s="34" t="e">
        <f>(I42+K42+L42)/H42</f>
        <v>#DIV/0!</v>
      </c>
      <c r="W42" s="34"/>
      <c r="X42" s="131"/>
      <c r="Y42" s="11">
        <f t="shared" ref="Y42:Z42" si="21">SUM(Y31:Y41)</f>
        <v>2</v>
      </c>
      <c r="Z42" s="11">
        <f t="shared" si="21"/>
        <v>0</v>
      </c>
    </row>
  </sheetData>
  <phoneticPr fontId="10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B0F0"/>
  </sheetPr>
  <dimension ref="A1:X37"/>
  <sheetViews>
    <sheetView zoomScale="70" zoomScaleNormal="70" zoomScaleSheetLayoutView="75" workbookViewId="0">
      <selection activeCell="D16" sqref="D16"/>
    </sheetView>
  </sheetViews>
  <sheetFormatPr defaultColWidth="9" defaultRowHeight="16.5" x14ac:dyDescent="0.3"/>
  <cols>
    <col min="1" max="13" width="8.125" customWidth="1"/>
  </cols>
  <sheetData>
    <row r="1" spans="1:20" ht="26.25" x14ac:dyDescent="0.3">
      <c r="A1" s="24" t="s">
        <v>143</v>
      </c>
      <c r="B1" s="24"/>
    </row>
    <row r="2" spans="1:20" ht="17.25" x14ac:dyDescent="0.3">
      <c r="A2" s="4" t="s">
        <v>1</v>
      </c>
    </row>
    <row r="3" spans="1:20" ht="34.5" x14ac:dyDescent="0.3">
      <c r="A3" s="43" t="s">
        <v>27</v>
      </c>
      <c r="B3" s="43" t="s">
        <v>46</v>
      </c>
      <c r="C3" s="43" t="s">
        <v>57</v>
      </c>
      <c r="D3" s="43" t="s">
        <v>19</v>
      </c>
      <c r="E3" s="43" t="s">
        <v>38</v>
      </c>
      <c r="F3" s="43" t="s">
        <v>53</v>
      </c>
      <c r="G3" s="43" t="s">
        <v>79</v>
      </c>
      <c r="H3" s="43" t="s">
        <v>80</v>
      </c>
      <c r="I3" s="43" t="s">
        <v>81</v>
      </c>
      <c r="J3" s="43" t="s">
        <v>82</v>
      </c>
      <c r="K3" s="43" t="s">
        <v>31</v>
      </c>
      <c r="L3" s="43" t="s">
        <v>36</v>
      </c>
      <c r="M3" s="43" t="s">
        <v>40</v>
      </c>
      <c r="N3" s="43" t="s">
        <v>29</v>
      </c>
      <c r="O3" s="43" t="s">
        <v>58</v>
      </c>
      <c r="P3" s="43" t="s">
        <v>43</v>
      </c>
      <c r="Q3" s="43" t="s">
        <v>37</v>
      </c>
      <c r="R3" s="43" t="s">
        <v>83</v>
      </c>
      <c r="S3" s="10" t="s">
        <v>86</v>
      </c>
      <c r="T3" s="10" t="s">
        <v>115</v>
      </c>
    </row>
    <row r="4" spans="1:20" ht="17.25" x14ac:dyDescent="0.3">
      <c r="A4" s="43" t="s">
        <v>59</v>
      </c>
      <c r="B4" s="44">
        <v>2</v>
      </c>
      <c r="C4" s="45">
        <f>+F4/E4</f>
        <v>0</v>
      </c>
      <c r="D4" s="44">
        <v>1</v>
      </c>
      <c r="E4" s="44">
        <v>1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v>0</v>
      </c>
      <c r="L4" s="44">
        <v>0</v>
      </c>
      <c r="M4" s="44">
        <v>0</v>
      </c>
      <c r="N4" s="44">
        <v>0</v>
      </c>
      <c r="O4" s="44">
        <v>1</v>
      </c>
      <c r="P4" s="46">
        <f>+(G4*1+H4*2+I4*3+J4*4)/E4</f>
        <v>0</v>
      </c>
      <c r="Q4" s="46">
        <v>0</v>
      </c>
      <c r="R4" s="58">
        <f t="shared" ref="R4:R24" si="0">+Q4+P4</f>
        <v>0</v>
      </c>
      <c r="S4" s="69">
        <f t="shared" ref="S4:S24" si="1">RANK(R4,$R$4:$R$24)</f>
        <v>15</v>
      </c>
      <c r="T4" s="130">
        <f t="shared" ref="T4:T24" si="2">RANK(C4,$C$4:$C$24)</f>
        <v>14</v>
      </c>
    </row>
    <row r="5" spans="1:20" ht="17.25" x14ac:dyDescent="0.3">
      <c r="A5" s="43" t="s">
        <v>34</v>
      </c>
      <c r="B5" s="44">
        <v>6</v>
      </c>
      <c r="C5" s="45">
        <f>+F5/E5</f>
        <v>0</v>
      </c>
      <c r="D5" s="44">
        <v>11</v>
      </c>
      <c r="E5" s="44">
        <v>3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v>2</v>
      </c>
      <c r="L5" s="44">
        <v>1</v>
      </c>
      <c r="M5" s="44">
        <v>2</v>
      </c>
      <c r="N5" s="44">
        <v>8</v>
      </c>
      <c r="O5" s="44">
        <v>3</v>
      </c>
      <c r="P5" s="46">
        <f>+(G5*1+H5*2+I5*3+J5*4)/E5</f>
        <v>0</v>
      </c>
      <c r="Q5" s="46">
        <f>+(F5+N5)/D5</f>
        <v>0.72727272727272729</v>
      </c>
      <c r="R5" s="58">
        <f t="shared" si="0"/>
        <v>0.72727272727272729</v>
      </c>
      <c r="S5" s="69">
        <f t="shared" si="1"/>
        <v>14</v>
      </c>
      <c r="T5" s="130">
        <f t="shared" si="2"/>
        <v>14</v>
      </c>
    </row>
    <row r="6" spans="1:20" ht="17.25" x14ac:dyDescent="0.3">
      <c r="A6" s="43" t="s">
        <v>44</v>
      </c>
      <c r="B6" s="44">
        <v>9</v>
      </c>
      <c r="C6" s="45">
        <f>+F6/E6</f>
        <v>0.75</v>
      </c>
      <c r="D6" s="44">
        <v>28</v>
      </c>
      <c r="E6" s="44">
        <v>20</v>
      </c>
      <c r="F6" s="44">
        <v>15</v>
      </c>
      <c r="G6" s="44">
        <v>10</v>
      </c>
      <c r="H6" s="44">
        <v>4</v>
      </c>
      <c r="I6" s="44">
        <v>1</v>
      </c>
      <c r="J6" s="44">
        <v>0</v>
      </c>
      <c r="K6" s="44">
        <v>14</v>
      </c>
      <c r="L6" s="44">
        <v>11</v>
      </c>
      <c r="M6" s="44">
        <v>11</v>
      </c>
      <c r="N6" s="44">
        <v>8</v>
      </c>
      <c r="O6" s="44">
        <v>1</v>
      </c>
      <c r="P6" s="46">
        <f>+(G6*1+H6*2+I6*3+J6*4)/E6</f>
        <v>1.05</v>
      </c>
      <c r="Q6" s="46">
        <f>+(F6+N6)/D6</f>
        <v>0.8214285714285714</v>
      </c>
      <c r="R6" s="58">
        <f t="shared" si="0"/>
        <v>1.8714285714285714</v>
      </c>
      <c r="S6" s="69">
        <f t="shared" si="1"/>
        <v>1</v>
      </c>
      <c r="T6" s="130">
        <f t="shared" si="2"/>
        <v>1</v>
      </c>
    </row>
    <row r="7" spans="1:20" ht="17.25" x14ac:dyDescent="0.3">
      <c r="A7" s="43" t="s">
        <v>74</v>
      </c>
      <c r="B7" s="44">
        <v>0</v>
      </c>
      <c r="C7" s="45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v>0</v>
      </c>
      <c r="L7" s="44">
        <v>0</v>
      </c>
      <c r="M7" s="44">
        <v>0</v>
      </c>
      <c r="N7" s="44">
        <v>0</v>
      </c>
      <c r="O7" s="44">
        <v>0</v>
      </c>
      <c r="P7" s="46">
        <v>0</v>
      </c>
      <c r="Q7" s="46">
        <v>0</v>
      </c>
      <c r="R7" s="58">
        <f t="shared" si="0"/>
        <v>0</v>
      </c>
      <c r="S7" s="69">
        <f t="shared" si="1"/>
        <v>15</v>
      </c>
      <c r="T7" s="130">
        <f t="shared" si="2"/>
        <v>14</v>
      </c>
    </row>
    <row r="8" spans="1:20" ht="17.25" x14ac:dyDescent="0.3">
      <c r="A8" s="43" t="s">
        <v>4</v>
      </c>
      <c r="B8" s="44">
        <v>9</v>
      </c>
      <c r="C8" s="45">
        <f>+F8/E8</f>
        <v>0.45</v>
      </c>
      <c r="D8" s="44">
        <v>22</v>
      </c>
      <c r="E8" s="44">
        <v>20</v>
      </c>
      <c r="F8" s="44">
        <v>9</v>
      </c>
      <c r="G8" s="44">
        <v>6</v>
      </c>
      <c r="H8" s="44">
        <v>3</v>
      </c>
      <c r="I8" s="44">
        <v>0</v>
      </c>
      <c r="J8" s="44">
        <v>0</v>
      </c>
      <c r="K8" s="44">
        <v>8</v>
      </c>
      <c r="L8" s="44">
        <v>9</v>
      </c>
      <c r="M8" s="44">
        <v>6</v>
      </c>
      <c r="N8" s="44">
        <v>2</v>
      </c>
      <c r="O8" s="44">
        <v>4</v>
      </c>
      <c r="P8" s="46">
        <f>+(G8*1+H8*2+I8*3+J8*4)/E8</f>
        <v>0.6</v>
      </c>
      <c r="Q8" s="46">
        <f>+(F8+N8)/D8</f>
        <v>0.5</v>
      </c>
      <c r="R8" s="58">
        <f t="shared" si="0"/>
        <v>1.1000000000000001</v>
      </c>
      <c r="S8" s="69">
        <f t="shared" si="1"/>
        <v>6</v>
      </c>
      <c r="T8" s="130">
        <f t="shared" si="2"/>
        <v>4</v>
      </c>
    </row>
    <row r="9" spans="1:20" ht="17.25" x14ac:dyDescent="0.3">
      <c r="A9" s="43" t="s">
        <v>51</v>
      </c>
      <c r="B9" s="44">
        <v>5</v>
      </c>
      <c r="C9" s="45">
        <f>+F9/E9</f>
        <v>0.33333333333333331</v>
      </c>
      <c r="D9" s="44">
        <v>13</v>
      </c>
      <c r="E9" s="44">
        <v>12</v>
      </c>
      <c r="F9" s="44">
        <v>4</v>
      </c>
      <c r="G9" s="44">
        <v>3</v>
      </c>
      <c r="H9" s="44">
        <v>1</v>
      </c>
      <c r="I9" s="44">
        <v>0</v>
      </c>
      <c r="J9" s="44">
        <v>0</v>
      </c>
      <c r="K9" s="44">
        <v>2</v>
      </c>
      <c r="L9" s="44">
        <v>1</v>
      </c>
      <c r="M9" s="44">
        <v>2</v>
      </c>
      <c r="N9" s="44">
        <v>1</v>
      </c>
      <c r="O9" s="44">
        <v>4</v>
      </c>
      <c r="P9" s="46">
        <f>+(G9*1+H9*2+I9*3+J9*4)/E9</f>
        <v>0.41666666666666669</v>
      </c>
      <c r="Q9" s="46">
        <f>+(F9+N9)/D9</f>
        <v>0.38461538461538464</v>
      </c>
      <c r="R9" s="58">
        <f t="shared" si="0"/>
        <v>0.80128205128205132</v>
      </c>
      <c r="S9" s="69">
        <f t="shared" si="1"/>
        <v>12</v>
      </c>
      <c r="T9" s="130">
        <f t="shared" si="2"/>
        <v>9</v>
      </c>
    </row>
    <row r="10" spans="1:20" ht="17.25" x14ac:dyDescent="0.3">
      <c r="A10" s="43" t="s">
        <v>25</v>
      </c>
      <c r="B10" s="44">
        <v>9</v>
      </c>
      <c r="C10" s="45">
        <f>+F10/E10</f>
        <v>0.35714285714285715</v>
      </c>
      <c r="D10" s="44">
        <v>31</v>
      </c>
      <c r="E10" s="44">
        <v>28</v>
      </c>
      <c r="F10" s="44">
        <v>10</v>
      </c>
      <c r="G10" s="44">
        <v>6</v>
      </c>
      <c r="H10" s="44">
        <v>3</v>
      </c>
      <c r="I10" s="44">
        <v>1</v>
      </c>
      <c r="J10" s="44">
        <v>0</v>
      </c>
      <c r="K10" s="44">
        <v>7</v>
      </c>
      <c r="L10" s="44">
        <v>8</v>
      </c>
      <c r="M10" s="44">
        <v>5</v>
      </c>
      <c r="N10" s="44">
        <v>3</v>
      </c>
      <c r="O10" s="44">
        <v>5</v>
      </c>
      <c r="P10" s="46">
        <f>+(G10*1+H10*2+I10*3+J10*4)/E10</f>
        <v>0.5357142857142857</v>
      </c>
      <c r="Q10" s="46">
        <f>+(F10+N10)/D10</f>
        <v>0.41935483870967744</v>
      </c>
      <c r="R10" s="58">
        <f t="shared" si="0"/>
        <v>0.95506912442396308</v>
      </c>
      <c r="S10" s="69">
        <f t="shared" si="1"/>
        <v>8</v>
      </c>
      <c r="T10" s="130">
        <f t="shared" si="2"/>
        <v>8</v>
      </c>
    </row>
    <row r="11" spans="1:20" ht="17.25" x14ac:dyDescent="0.3">
      <c r="A11" s="43" t="s">
        <v>21</v>
      </c>
      <c r="B11" s="44">
        <v>5</v>
      </c>
      <c r="C11" s="45">
        <f>+F11/E11</f>
        <v>0.36363636363636365</v>
      </c>
      <c r="D11" s="44">
        <v>13</v>
      </c>
      <c r="E11" s="44">
        <v>11</v>
      </c>
      <c r="F11" s="44">
        <v>4</v>
      </c>
      <c r="G11" s="44">
        <v>4</v>
      </c>
      <c r="H11" s="44">
        <v>0</v>
      </c>
      <c r="I11" s="44">
        <v>0</v>
      </c>
      <c r="J11" s="44">
        <v>0</v>
      </c>
      <c r="K11" s="44">
        <v>4</v>
      </c>
      <c r="L11" s="44">
        <v>5</v>
      </c>
      <c r="M11" s="44">
        <v>3</v>
      </c>
      <c r="N11" s="44">
        <v>2</v>
      </c>
      <c r="O11" s="44">
        <v>4</v>
      </c>
      <c r="P11" s="46">
        <f>+(G11*1+H11*2+I11*3+J11*4)/E11</f>
        <v>0.36363636363636365</v>
      </c>
      <c r="Q11" s="46">
        <f>+(F11+N11)/D11</f>
        <v>0.46153846153846156</v>
      </c>
      <c r="R11" s="58">
        <f t="shared" si="0"/>
        <v>0.82517482517482521</v>
      </c>
      <c r="S11" s="69">
        <f t="shared" si="1"/>
        <v>11</v>
      </c>
      <c r="T11" s="130">
        <f t="shared" si="2"/>
        <v>7</v>
      </c>
    </row>
    <row r="12" spans="1:20" ht="17.25" x14ac:dyDescent="0.3">
      <c r="A12" s="43" t="s">
        <v>75</v>
      </c>
      <c r="B12" s="44">
        <v>0</v>
      </c>
      <c r="C12" s="45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v>0</v>
      </c>
      <c r="L12" s="44">
        <v>0</v>
      </c>
      <c r="M12" s="44">
        <v>0</v>
      </c>
      <c r="N12" s="44">
        <v>0</v>
      </c>
      <c r="O12" s="44">
        <v>0</v>
      </c>
      <c r="P12" s="46">
        <v>0</v>
      </c>
      <c r="Q12" s="46">
        <v>0</v>
      </c>
      <c r="R12" s="58">
        <f t="shared" si="0"/>
        <v>0</v>
      </c>
      <c r="S12" s="69">
        <f t="shared" si="1"/>
        <v>15</v>
      </c>
      <c r="T12" s="130">
        <f t="shared" si="2"/>
        <v>14</v>
      </c>
    </row>
    <row r="13" spans="1:20" ht="17.25" x14ac:dyDescent="0.3">
      <c r="A13" s="43" t="s">
        <v>15</v>
      </c>
      <c r="B13" s="44">
        <v>4</v>
      </c>
      <c r="C13" s="45">
        <f>+F13/E13</f>
        <v>0.25</v>
      </c>
      <c r="D13" s="44">
        <v>6</v>
      </c>
      <c r="E13" s="44">
        <v>4</v>
      </c>
      <c r="F13" s="44">
        <v>1</v>
      </c>
      <c r="G13" s="44">
        <v>0</v>
      </c>
      <c r="H13" s="44">
        <v>0</v>
      </c>
      <c r="I13" s="44">
        <v>0</v>
      </c>
      <c r="J13" s="44">
        <v>1</v>
      </c>
      <c r="K13" s="44">
        <v>2</v>
      </c>
      <c r="L13" s="44">
        <v>3</v>
      </c>
      <c r="M13" s="44">
        <v>0</v>
      </c>
      <c r="N13" s="44">
        <v>2</v>
      </c>
      <c r="O13" s="44">
        <v>1</v>
      </c>
      <c r="P13" s="46">
        <f>+(G13*1+H13*2+I13*3+J13*4)/E13</f>
        <v>1</v>
      </c>
      <c r="Q13" s="46">
        <f>+(F13+N13)/D13</f>
        <v>0.5</v>
      </c>
      <c r="R13" s="58">
        <f t="shared" si="0"/>
        <v>1.5</v>
      </c>
      <c r="S13" s="69">
        <f t="shared" si="1"/>
        <v>2</v>
      </c>
      <c r="T13" s="130">
        <f t="shared" si="2"/>
        <v>12</v>
      </c>
    </row>
    <row r="14" spans="1:20" ht="17.25" x14ac:dyDescent="0.3">
      <c r="A14" s="43" t="s">
        <v>52</v>
      </c>
      <c r="B14" s="44">
        <v>7</v>
      </c>
      <c r="C14" s="45">
        <f>+F14/E14</f>
        <v>0.2857142857142857</v>
      </c>
      <c r="D14" s="44">
        <v>17</v>
      </c>
      <c r="E14" s="44">
        <v>14</v>
      </c>
      <c r="F14" s="44">
        <v>4</v>
      </c>
      <c r="G14" s="44">
        <v>3</v>
      </c>
      <c r="H14" s="44">
        <v>0</v>
      </c>
      <c r="I14" s="44">
        <v>1</v>
      </c>
      <c r="J14" s="44">
        <v>0</v>
      </c>
      <c r="K14" s="44">
        <v>6</v>
      </c>
      <c r="L14" s="44">
        <v>1</v>
      </c>
      <c r="M14" s="44">
        <v>3</v>
      </c>
      <c r="N14" s="44">
        <v>3</v>
      </c>
      <c r="O14" s="44">
        <v>5</v>
      </c>
      <c r="P14" s="46">
        <f>+(G14*1+H14*2+I14*3+J14*4)/E14</f>
        <v>0.42857142857142855</v>
      </c>
      <c r="Q14" s="46">
        <f>+(F14+N14)/D14</f>
        <v>0.41176470588235292</v>
      </c>
      <c r="R14" s="58">
        <f t="shared" si="0"/>
        <v>0.84033613445378141</v>
      </c>
      <c r="S14" s="69">
        <f t="shared" si="1"/>
        <v>10</v>
      </c>
      <c r="T14" s="130">
        <f t="shared" si="2"/>
        <v>11</v>
      </c>
    </row>
    <row r="15" spans="1:20" ht="17.25" x14ac:dyDescent="0.3">
      <c r="A15" s="43" t="s">
        <v>76</v>
      </c>
      <c r="B15" s="44">
        <v>0</v>
      </c>
      <c r="C15" s="45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v>0</v>
      </c>
      <c r="L15" s="44">
        <v>0</v>
      </c>
      <c r="M15" s="44">
        <v>0</v>
      </c>
      <c r="N15" s="44">
        <v>0</v>
      </c>
      <c r="O15" s="44">
        <v>0</v>
      </c>
      <c r="P15" s="46">
        <v>0</v>
      </c>
      <c r="Q15" s="46">
        <v>0</v>
      </c>
      <c r="R15" s="58">
        <f t="shared" si="0"/>
        <v>0</v>
      </c>
      <c r="S15" s="69">
        <f t="shared" si="1"/>
        <v>15</v>
      </c>
      <c r="T15" s="130">
        <f t="shared" si="2"/>
        <v>14</v>
      </c>
    </row>
    <row r="16" spans="1:20" ht="17.25" x14ac:dyDescent="0.3">
      <c r="A16" s="43" t="s">
        <v>50</v>
      </c>
      <c r="B16" s="44">
        <v>6</v>
      </c>
      <c r="C16" s="45">
        <f>+F16/E16</f>
        <v>0.42857142857142855</v>
      </c>
      <c r="D16" s="44">
        <v>9</v>
      </c>
      <c r="E16" s="44">
        <v>7</v>
      </c>
      <c r="F16" s="44">
        <v>3</v>
      </c>
      <c r="G16" s="44">
        <v>2</v>
      </c>
      <c r="H16" s="44">
        <v>1</v>
      </c>
      <c r="I16" s="44">
        <v>0</v>
      </c>
      <c r="J16" s="44">
        <v>0</v>
      </c>
      <c r="K16" s="44">
        <v>1</v>
      </c>
      <c r="L16" s="44">
        <v>3</v>
      </c>
      <c r="M16" s="44">
        <v>2</v>
      </c>
      <c r="N16" s="44">
        <v>2</v>
      </c>
      <c r="O16" s="44">
        <v>1</v>
      </c>
      <c r="P16" s="46">
        <f>+(G16*1+H16*2+I16*3+J16*4)/E16</f>
        <v>0.5714285714285714</v>
      </c>
      <c r="Q16" s="46">
        <f>+(F16+N16)/D16</f>
        <v>0.55555555555555558</v>
      </c>
      <c r="R16" s="58">
        <f t="shared" si="0"/>
        <v>1.126984126984127</v>
      </c>
      <c r="S16" s="69">
        <f t="shared" si="1"/>
        <v>5</v>
      </c>
      <c r="T16" s="130">
        <f t="shared" si="2"/>
        <v>5</v>
      </c>
    </row>
    <row r="17" spans="1:24" ht="17.25" x14ac:dyDescent="0.3">
      <c r="A17" s="43" t="s">
        <v>77</v>
      </c>
      <c r="B17" s="44">
        <v>0</v>
      </c>
      <c r="C17" s="45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6">
        <v>0</v>
      </c>
      <c r="Q17" s="46">
        <v>0</v>
      </c>
      <c r="R17" s="58">
        <f t="shared" si="0"/>
        <v>0</v>
      </c>
      <c r="S17" s="69">
        <f t="shared" si="1"/>
        <v>15</v>
      </c>
      <c r="T17" s="130">
        <f t="shared" si="2"/>
        <v>14</v>
      </c>
    </row>
    <row r="18" spans="1:24" ht="17.25" x14ac:dyDescent="0.3">
      <c r="A18" s="43" t="s">
        <v>60</v>
      </c>
      <c r="B18" s="44">
        <v>1</v>
      </c>
      <c r="C18" s="45">
        <f t="shared" ref="C18:C23" si="3">+F18/E18</f>
        <v>0</v>
      </c>
      <c r="D18" s="44">
        <v>1</v>
      </c>
      <c r="E18" s="44">
        <v>1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v>0</v>
      </c>
      <c r="L18" s="44">
        <v>0</v>
      </c>
      <c r="M18" s="44">
        <v>0</v>
      </c>
      <c r="N18" s="44">
        <v>0</v>
      </c>
      <c r="O18" s="44">
        <v>1</v>
      </c>
      <c r="P18" s="46">
        <f t="shared" ref="P18:P23" si="4">+(G18*1+H18*2+I18*3+J18*4)/E18</f>
        <v>0</v>
      </c>
      <c r="Q18" s="46">
        <f t="shared" ref="Q18:Q23" si="5">+(F18+N18)/D18</f>
        <v>0</v>
      </c>
      <c r="R18" s="58">
        <f t="shared" si="0"/>
        <v>0</v>
      </c>
      <c r="S18" s="69">
        <f t="shared" si="1"/>
        <v>15</v>
      </c>
      <c r="T18" s="130">
        <f t="shared" si="2"/>
        <v>14</v>
      </c>
    </row>
    <row r="19" spans="1:24" ht="17.25" x14ac:dyDescent="0.3">
      <c r="A19" s="43" t="s">
        <v>12</v>
      </c>
      <c r="B19" s="44">
        <v>7</v>
      </c>
      <c r="C19" s="45">
        <f t="shared" si="3"/>
        <v>0.42857142857142855</v>
      </c>
      <c r="D19" s="44">
        <v>18</v>
      </c>
      <c r="E19" s="44">
        <v>14</v>
      </c>
      <c r="F19" s="44">
        <v>6</v>
      </c>
      <c r="G19" s="44">
        <v>6</v>
      </c>
      <c r="H19" s="44">
        <v>0</v>
      </c>
      <c r="I19" s="44">
        <v>0</v>
      </c>
      <c r="J19" s="44">
        <v>0</v>
      </c>
      <c r="K19" s="44">
        <v>7</v>
      </c>
      <c r="L19" s="44">
        <v>7</v>
      </c>
      <c r="M19" s="44">
        <v>3</v>
      </c>
      <c r="N19" s="44">
        <v>4</v>
      </c>
      <c r="O19" s="44">
        <v>2</v>
      </c>
      <c r="P19" s="46">
        <f t="shared" si="4"/>
        <v>0.42857142857142855</v>
      </c>
      <c r="Q19" s="46">
        <f t="shared" si="5"/>
        <v>0.55555555555555558</v>
      </c>
      <c r="R19" s="58">
        <f t="shared" si="0"/>
        <v>0.98412698412698418</v>
      </c>
      <c r="S19" s="69">
        <f t="shared" si="1"/>
        <v>7</v>
      </c>
      <c r="T19" s="130">
        <f t="shared" si="2"/>
        <v>5</v>
      </c>
    </row>
    <row r="20" spans="1:24" ht="17.25" x14ac:dyDescent="0.3">
      <c r="A20" s="43" t="s">
        <v>24</v>
      </c>
      <c r="B20" s="44">
        <v>8</v>
      </c>
      <c r="C20" s="45">
        <f t="shared" si="3"/>
        <v>0.33333333333333331</v>
      </c>
      <c r="D20" s="44">
        <v>18</v>
      </c>
      <c r="E20" s="44">
        <v>15</v>
      </c>
      <c r="F20" s="44">
        <v>5</v>
      </c>
      <c r="G20" s="44">
        <v>3</v>
      </c>
      <c r="H20" s="44">
        <v>2</v>
      </c>
      <c r="I20" s="44">
        <v>0</v>
      </c>
      <c r="J20" s="44">
        <v>0</v>
      </c>
      <c r="K20" s="44">
        <v>4</v>
      </c>
      <c r="L20" s="44">
        <v>8</v>
      </c>
      <c r="M20" s="44">
        <v>6</v>
      </c>
      <c r="N20" s="44">
        <v>3</v>
      </c>
      <c r="O20" s="44">
        <v>2</v>
      </c>
      <c r="P20" s="46">
        <f t="shared" si="4"/>
        <v>0.46666666666666667</v>
      </c>
      <c r="Q20" s="46">
        <f t="shared" si="5"/>
        <v>0.44444444444444442</v>
      </c>
      <c r="R20" s="58">
        <f t="shared" si="0"/>
        <v>0.91111111111111109</v>
      </c>
      <c r="S20" s="69">
        <f t="shared" si="1"/>
        <v>9</v>
      </c>
      <c r="T20" s="130">
        <f t="shared" si="2"/>
        <v>9</v>
      </c>
    </row>
    <row r="21" spans="1:24" ht="17.25" x14ac:dyDescent="0.3">
      <c r="A21" s="43" t="s">
        <v>14</v>
      </c>
      <c r="B21" s="44">
        <v>9</v>
      </c>
      <c r="C21" s="45">
        <f t="shared" si="3"/>
        <v>0.56000000000000005</v>
      </c>
      <c r="D21" s="44">
        <v>27</v>
      </c>
      <c r="E21" s="44">
        <v>25</v>
      </c>
      <c r="F21" s="44">
        <v>14</v>
      </c>
      <c r="G21" s="44">
        <v>13</v>
      </c>
      <c r="H21" s="44">
        <v>1</v>
      </c>
      <c r="I21" s="44">
        <v>0</v>
      </c>
      <c r="J21" s="44">
        <v>0</v>
      </c>
      <c r="K21" s="44">
        <v>5</v>
      </c>
      <c r="L21" s="44">
        <v>9</v>
      </c>
      <c r="M21" s="44">
        <v>4</v>
      </c>
      <c r="N21" s="44">
        <v>2</v>
      </c>
      <c r="O21" s="44">
        <v>2</v>
      </c>
      <c r="P21" s="46">
        <f t="shared" si="4"/>
        <v>0.6</v>
      </c>
      <c r="Q21" s="46">
        <f t="shared" si="5"/>
        <v>0.59259259259259256</v>
      </c>
      <c r="R21" s="58">
        <f t="shared" si="0"/>
        <v>1.1925925925925926</v>
      </c>
      <c r="S21" s="69">
        <f t="shared" si="1"/>
        <v>4</v>
      </c>
      <c r="T21" s="130">
        <f t="shared" si="2"/>
        <v>2</v>
      </c>
    </row>
    <row r="22" spans="1:24" ht="17.25" x14ac:dyDescent="0.3">
      <c r="A22" s="43" t="s">
        <v>47</v>
      </c>
      <c r="B22" s="44">
        <v>3</v>
      </c>
      <c r="C22" s="45">
        <f t="shared" si="3"/>
        <v>0.25</v>
      </c>
      <c r="D22" s="44">
        <v>6</v>
      </c>
      <c r="E22" s="44">
        <v>4</v>
      </c>
      <c r="F22" s="44">
        <v>1</v>
      </c>
      <c r="G22" s="44">
        <v>1</v>
      </c>
      <c r="H22" s="44">
        <v>0</v>
      </c>
      <c r="I22" s="44">
        <v>0</v>
      </c>
      <c r="J22" s="44">
        <v>0</v>
      </c>
      <c r="K22" s="44">
        <v>5</v>
      </c>
      <c r="L22" s="44">
        <v>1</v>
      </c>
      <c r="M22" s="44">
        <v>4</v>
      </c>
      <c r="N22" s="44">
        <v>2</v>
      </c>
      <c r="O22" s="44">
        <v>1</v>
      </c>
      <c r="P22" s="46">
        <f t="shared" si="4"/>
        <v>0.25</v>
      </c>
      <c r="Q22" s="46">
        <f t="shared" si="5"/>
        <v>0.5</v>
      </c>
      <c r="R22" s="58">
        <f t="shared" si="0"/>
        <v>0.75</v>
      </c>
      <c r="S22" s="69">
        <f t="shared" si="1"/>
        <v>13</v>
      </c>
      <c r="T22" s="130">
        <f t="shared" si="2"/>
        <v>12</v>
      </c>
    </row>
    <row r="23" spans="1:24" ht="17.25" x14ac:dyDescent="0.3">
      <c r="A23" s="43" t="s">
        <v>22</v>
      </c>
      <c r="B23" s="44">
        <v>9</v>
      </c>
      <c r="C23" s="45">
        <f t="shared" si="3"/>
        <v>0.5</v>
      </c>
      <c r="D23" s="44">
        <v>24</v>
      </c>
      <c r="E23" s="44">
        <v>22</v>
      </c>
      <c r="F23" s="44">
        <v>11</v>
      </c>
      <c r="G23" s="44">
        <v>6</v>
      </c>
      <c r="H23" s="44">
        <v>4</v>
      </c>
      <c r="I23" s="44">
        <v>1</v>
      </c>
      <c r="J23" s="44">
        <v>0</v>
      </c>
      <c r="K23" s="44">
        <v>9</v>
      </c>
      <c r="L23" s="44">
        <v>6</v>
      </c>
      <c r="M23" s="44">
        <v>3</v>
      </c>
      <c r="N23" s="44">
        <v>2</v>
      </c>
      <c r="O23" s="44">
        <v>3</v>
      </c>
      <c r="P23" s="46">
        <f t="shared" si="4"/>
        <v>0.77272727272727271</v>
      </c>
      <c r="Q23" s="46">
        <f t="shared" si="5"/>
        <v>0.54166666666666663</v>
      </c>
      <c r="R23" s="58">
        <f t="shared" si="0"/>
        <v>1.3143939393939394</v>
      </c>
      <c r="S23" s="69">
        <f t="shared" si="1"/>
        <v>3</v>
      </c>
      <c r="T23" s="130">
        <f t="shared" si="2"/>
        <v>3</v>
      </c>
    </row>
    <row r="24" spans="1:24" ht="17.25" x14ac:dyDescent="0.3">
      <c r="A24" s="43" t="s">
        <v>78</v>
      </c>
      <c r="B24" s="44">
        <v>0</v>
      </c>
      <c r="C24" s="45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v>0</v>
      </c>
      <c r="L24" s="44">
        <v>0</v>
      </c>
      <c r="M24" s="44">
        <v>0</v>
      </c>
      <c r="N24" s="44">
        <v>0</v>
      </c>
      <c r="O24" s="44">
        <v>0</v>
      </c>
      <c r="P24" s="46">
        <v>0</v>
      </c>
      <c r="Q24" s="46">
        <v>0</v>
      </c>
      <c r="R24" s="58">
        <f t="shared" si="0"/>
        <v>0</v>
      </c>
      <c r="S24" s="69">
        <f t="shared" si="1"/>
        <v>15</v>
      </c>
      <c r="T24" s="130">
        <f t="shared" si="2"/>
        <v>14</v>
      </c>
    </row>
    <row r="25" spans="1:24" ht="17.25" x14ac:dyDescent="0.3">
      <c r="A25" s="11" t="s">
        <v>10</v>
      </c>
      <c r="B25" s="12"/>
      <c r="C25" s="26">
        <f>+F25/E25</f>
        <v>0.43283582089552236</v>
      </c>
      <c r="D25" s="27">
        <f>SUM(D4:D24)</f>
        <v>245</v>
      </c>
      <c r="E25" s="27">
        <f t="shared" ref="E25:J25" si="6">SUM(E4:E24)</f>
        <v>201</v>
      </c>
      <c r="F25" s="27">
        <f t="shared" si="6"/>
        <v>87</v>
      </c>
      <c r="G25" s="27">
        <f t="shared" si="6"/>
        <v>63</v>
      </c>
      <c r="H25" s="27">
        <f t="shared" si="6"/>
        <v>19</v>
      </c>
      <c r="I25" s="27">
        <f t="shared" si="6"/>
        <v>4</v>
      </c>
      <c r="J25" s="27">
        <f t="shared" si="6"/>
        <v>1</v>
      </c>
      <c r="K25" s="27">
        <f>SUM(K4:K23)</f>
        <v>76</v>
      </c>
      <c r="L25" s="27">
        <f>SUM(L4:L23)</f>
        <v>73</v>
      </c>
      <c r="M25" s="27">
        <f>SUM(M4:M23)</f>
        <v>54</v>
      </c>
      <c r="N25" s="27">
        <f>SUM(N4:N23)</f>
        <v>44</v>
      </c>
      <c r="O25" s="27">
        <f>SUM(O4:O23)</f>
        <v>40</v>
      </c>
      <c r="P25" s="27"/>
      <c r="Q25" s="27"/>
      <c r="R25" s="57"/>
      <c r="S25" s="68"/>
      <c r="T25" s="68"/>
    </row>
    <row r="27" spans="1:24" ht="17.25" x14ac:dyDescent="0.3">
      <c r="A27" s="4" t="s">
        <v>3</v>
      </c>
    </row>
    <row r="28" spans="1:24" ht="51.75" x14ac:dyDescent="0.3">
      <c r="A28" s="10" t="s">
        <v>27</v>
      </c>
      <c r="B28" s="10" t="s">
        <v>46</v>
      </c>
      <c r="C28" s="10" t="s">
        <v>55</v>
      </c>
      <c r="D28" s="10" t="s">
        <v>41</v>
      </c>
      <c r="E28" s="10" t="s">
        <v>48</v>
      </c>
      <c r="F28" s="10" t="s">
        <v>45</v>
      </c>
      <c r="G28" s="10" t="s">
        <v>38</v>
      </c>
      <c r="H28" s="10" t="s">
        <v>5</v>
      </c>
      <c r="I28" s="10" t="s">
        <v>17</v>
      </c>
      <c r="J28" s="10" t="s">
        <v>26</v>
      </c>
      <c r="K28" s="10" t="s">
        <v>30</v>
      </c>
      <c r="L28" s="10" t="s">
        <v>11</v>
      </c>
      <c r="M28" s="10" t="s">
        <v>6</v>
      </c>
      <c r="N28" s="10" t="s">
        <v>42</v>
      </c>
      <c r="O28" s="10" t="s">
        <v>35</v>
      </c>
      <c r="P28" s="10" t="s">
        <v>49</v>
      </c>
      <c r="Q28" s="10" t="s">
        <v>56</v>
      </c>
      <c r="R28" s="10" t="s">
        <v>66</v>
      </c>
      <c r="S28" s="10" t="s">
        <v>90</v>
      </c>
      <c r="T28" s="10" t="s">
        <v>70</v>
      </c>
      <c r="U28" s="10" t="s">
        <v>69</v>
      </c>
      <c r="V28" s="10" t="s">
        <v>68</v>
      </c>
    </row>
    <row r="29" spans="1:24" ht="17.25" x14ac:dyDescent="0.3">
      <c r="A29" s="10" t="s">
        <v>59</v>
      </c>
      <c r="B29" s="1">
        <v>2</v>
      </c>
      <c r="C29" s="1">
        <v>0</v>
      </c>
      <c r="D29" s="1">
        <v>0</v>
      </c>
      <c r="E29" s="1">
        <v>0</v>
      </c>
      <c r="F29" s="1">
        <v>2</v>
      </c>
      <c r="G29" s="1">
        <v>0</v>
      </c>
      <c r="H29" s="6">
        <v>0</v>
      </c>
      <c r="I29" s="1">
        <v>0</v>
      </c>
      <c r="J29" s="1">
        <v>0</v>
      </c>
      <c r="K29" s="1">
        <v>2</v>
      </c>
      <c r="L29" s="1">
        <v>0</v>
      </c>
      <c r="M29" s="1">
        <v>0</v>
      </c>
      <c r="N29" s="1">
        <v>1</v>
      </c>
      <c r="O29" s="1">
        <v>0</v>
      </c>
      <c r="P29" s="3">
        <v>0</v>
      </c>
      <c r="Q29" s="38"/>
      <c r="R29" s="39"/>
      <c r="S29" s="39"/>
      <c r="T29" s="40"/>
      <c r="U29" s="33"/>
      <c r="V29" s="38"/>
      <c r="X29" s="131">
        <f>+(L29+K29)/F29*100</f>
        <v>100</v>
      </c>
    </row>
    <row r="30" spans="1:24" ht="17.25" x14ac:dyDescent="0.3">
      <c r="A30" s="10" t="s">
        <v>9</v>
      </c>
      <c r="B30" s="1">
        <v>1</v>
      </c>
      <c r="C30" s="1">
        <v>0</v>
      </c>
      <c r="D30" s="1">
        <v>0</v>
      </c>
      <c r="E30" s="1">
        <v>0</v>
      </c>
      <c r="F30" s="1">
        <v>1</v>
      </c>
      <c r="G30" s="1">
        <v>0</v>
      </c>
      <c r="H30" s="6">
        <v>0</v>
      </c>
      <c r="I30" s="1">
        <v>0</v>
      </c>
      <c r="J30" s="1">
        <v>0</v>
      </c>
      <c r="K30" s="1">
        <v>1</v>
      </c>
      <c r="L30" s="1">
        <v>0</v>
      </c>
      <c r="M30" s="1">
        <v>0</v>
      </c>
      <c r="N30" s="1">
        <v>0</v>
      </c>
      <c r="O30" s="1">
        <v>0</v>
      </c>
      <c r="P30" s="3">
        <v>0</v>
      </c>
      <c r="Q30" s="38"/>
      <c r="R30" s="39"/>
      <c r="S30" s="39"/>
      <c r="T30" s="40"/>
      <c r="U30" s="33"/>
      <c r="V30" s="38"/>
      <c r="X30" s="131">
        <f t="shared" ref="X30:X36" si="7">+(L30+K30)/F30*100</f>
        <v>100</v>
      </c>
    </row>
    <row r="31" spans="1:24" ht="17.25" x14ac:dyDescent="0.3">
      <c r="A31" s="9" t="s">
        <v>51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6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3">
        <v>0</v>
      </c>
      <c r="Q31" s="38"/>
      <c r="R31" s="39"/>
      <c r="S31" s="39"/>
      <c r="T31" s="40"/>
      <c r="U31" s="33"/>
      <c r="V31" s="38"/>
      <c r="X31" s="131"/>
    </row>
    <row r="32" spans="1:24" ht="17.25" x14ac:dyDescent="0.3">
      <c r="A32" s="10" t="s">
        <v>15</v>
      </c>
      <c r="B32" s="1">
        <v>4</v>
      </c>
      <c r="C32" s="1">
        <v>2</v>
      </c>
      <c r="D32" s="1">
        <v>0</v>
      </c>
      <c r="E32" s="1">
        <v>0</v>
      </c>
      <c r="F32" s="1">
        <v>36</v>
      </c>
      <c r="G32" s="1">
        <v>30</v>
      </c>
      <c r="H32" s="6">
        <v>7.3333332999999996</v>
      </c>
      <c r="I32" s="1">
        <v>10</v>
      </c>
      <c r="J32" s="1">
        <v>0</v>
      </c>
      <c r="K32" s="1">
        <v>6</v>
      </c>
      <c r="L32" s="1">
        <v>0</v>
      </c>
      <c r="M32" s="1">
        <v>5</v>
      </c>
      <c r="N32" s="1">
        <v>7</v>
      </c>
      <c r="O32" s="1">
        <v>3</v>
      </c>
      <c r="P32" s="3">
        <f>+O32*9/H32</f>
        <v>3.6818181985537195</v>
      </c>
      <c r="Q32" s="38">
        <f>(K32+L32)/H32</f>
        <v>0.81818182190082656</v>
      </c>
      <c r="R32" s="39">
        <f>I32/H32</f>
        <v>1.3636363698347109</v>
      </c>
      <c r="S32" s="39">
        <f>H32/B32</f>
        <v>1.8333333249999999</v>
      </c>
      <c r="T32" s="40">
        <f>M32/H32</f>
        <v>0.68181818491735546</v>
      </c>
      <c r="U32" s="33">
        <f>O32/N32</f>
        <v>0.42857142857142855</v>
      </c>
      <c r="V32" s="38">
        <f>(I32+K32+L32)/H32</f>
        <v>2.1818181917355375</v>
      </c>
      <c r="X32" s="131">
        <f t="shared" si="7"/>
        <v>16.666666666666664</v>
      </c>
    </row>
    <row r="33" spans="1:24" ht="17.25" x14ac:dyDescent="0.3">
      <c r="A33" s="10" t="s">
        <v>50</v>
      </c>
      <c r="B33" s="1">
        <v>3</v>
      </c>
      <c r="C33" s="1">
        <v>0</v>
      </c>
      <c r="D33" s="1">
        <v>0</v>
      </c>
      <c r="E33" s="1">
        <v>0</v>
      </c>
      <c r="F33" s="1">
        <v>16</v>
      </c>
      <c r="G33" s="1">
        <v>9</v>
      </c>
      <c r="H33" s="6">
        <v>2</v>
      </c>
      <c r="I33" s="1">
        <v>4</v>
      </c>
      <c r="J33" s="1">
        <v>0</v>
      </c>
      <c r="K33" s="1">
        <v>6</v>
      </c>
      <c r="L33" s="1">
        <v>0</v>
      </c>
      <c r="M33" s="1">
        <v>2</v>
      </c>
      <c r="N33" s="1">
        <v>6</v>
      </c>
      <c r="O33" s="1">
        <v>5</v>
      </c>
      <c r="P33" s="3">
        <f>+O33*9/H33</f>
        <v>22.5</v>
      </c>
      <c r="Q33" s="38">
        <f>(K33+L33)/H33</f>
        <v>3</v>
      </c>
      <c r="R33" s="39">
        <f>I33/H33</f>
        <v>2</v>
      </c>
      <c r="S33" s="39">
        <f>H33/B33</f>
        <v>0.66666666666666663</v>
      </c>
      <c r="T33" s="40">
        <f>M33/H33</f>
        <v>1</v>
      </c>
      <c r="U33" s="33">
        <f>O33/N33</f>
        <v>0.83333333333333337</v>
      </c>
      <c r="V33" s="38">
        <f>(I33+K33+L33)/H33</f>
        <v>5</v>
      </c>
      <c r="X33" s="131">
        <f t="shared" si="7"/>
        <v>37.5</v>
      </c>
    </row>
    <row r="34" spans="1:24" ht="17.25" x14ac:dyDescent="0.3">
      <c r="A34" s="10" t="s">
        <v>93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6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3">
        <v>0</v>
      </c>
      <c r="Q34" s="38"/>
      <c r="R34" s="39"/>
      <c r="S34" s="39"/>
      <c r="T34" s="40"/>
      <c r="U34" s="33"/>
      <c r="V34" s="38"/>
      <c r="X34" s="131"/>
    </row>
    <row r="35" spans="1:24" ht="17.25" x14ac:dyDescent="0.3">
      <c r="A35" s="10" t="s">
        <v>47</v>
      </c>
      <c r="B35" s="1">
        <v>3</v>
      </c>
      <c r="C35" s="1">
        <v>2</v>
      </c>
      <c r="D35" s="1">
        <v>0</v>
      </c>
      <c r="E35" s="1">
        <v>0</v>
      </c>
      <c r="F35" s="1">
        <v>44</v>
      </c>
      <c r="G35" s="1">
        <v>26</v>
      </c>
      <c r="H35" s="6">
        <v>7</v>
      </c>
      <c r="I35" s="1">
        <v>9</v>
      </c>
      <c r="J35" s="1">
        <v>0</v>
      </c>
      <c r="K35" s="1">
        <v>17</v>
      </c>
      <c r="L35" s="1">
        <v>0</v>
      </c>
      <c r="M35" s="1">
        <v>10</v>
      </c>
      <c r="N35" s="1">
        <v>10</v>
      </c>
      <c r="O35" s="1">
        <v>8</v>
      </c>
      <c r="P35" s="3">
        <f>+O35*9/H35</f>
        <v>10.285714285714286</v>
      </c>
      <c r="Q35" s="38">
        <f>(K35+L35)/H35</f>
        <v>2.4285714285714284</v>
      </c>
      <c r="R35" s="39">
        <f>I35/H35</f>
        <v>1.2857142857142858</v>
      </c>
      <c r="S35" s="39">
        <f>H35/B35</f>
        <v>2.3333333333333335</v>
      </c>
      <c r="T35" s="40">
        <f>M35/H35</f>
        <v>1.4285714285714286</v>
      </c>
      <c r="U35" s="33">
        <f>O35/N35</f>
        <v>0.8</v>
      </c>
      <c r="V35" s="38">
        <f>(I35+K35+L35)/H35</f>
        <v>3.7142857142857144</v>
      </c>
      <c r="X35" s="131">
        <f t="shared" si="7"/>
        <v>38.636363636363633</v>
      </c>
    </row>
    <row r="36" spans="1:24" ht="17.25" x14ac:dyDescent="0.3">
      <c r="A36" s="10" t="s">
        <v>22</v>
      </c>
      <c r="B36" s="1">
        <v>9</v>
      </c>
      <c r="C36" s="1">
        <v>2</v>
      </c>
      <c r="D36" s="1">
        <v>4</v>
      </c>
      <c r="E36" s="1">
        <v>1</v>
      </c>
      <c r="F36" s="1">
        <v>180</v>
      </c>
      <c r="G36" s="1">
        <v>126</v>
      </c>
      <c r="H36" s="6">
        <v>26</v>
      </c>
      <c r="I36" s="1">
        <v>40</v>
      </c>
      <c r="J36" s="1">
        <v>0</v>
      </c>
      <c r="K36" s="1">
        <v>46</v>
      </c>
      <c r="L36" s="1">
        <v>7</v>
      </c>
      <c r="M36" s="1">
        <v>55</v>
      </c>
      <c r="N36" s="1">
        <v>58</v>
      </c>
      <c r="O36" s="1">
        <v>25</v>
      </c>
      <c r="P36" s="3">
        <f>+O36*9/H36</f>
        <v>8.6538461538461533</v>
      </c>
      <c r="Q36" s="38">
        <f>(K36+L36)/H36</f>
        <v>2.0384615384615383</v>
      </c>
      <c r="R36" s="39">
        <f>I36/H36</f>
        <v>1.5384615384615385</v>
      </c>
      <c r="S36" s="39">
        <f>H36/B36</f>
        <v>2.8888888888888888</v>
      </c>
      <c r="T36" s="40">
        <f>M36/H36</f>
        <v>2.1153846153846154</v>
      </c>
      <c r="U36" s="33">
        <f>O36/N36</f>
        <v>0.43103448275862066</v>
      </c>
      <c r="V36" s="38">
        <f>(I36+K36+L36)/H36</f>
        <v>3.5769230769230771</v>
      </c>
      <c r="X36" s="131">
        <f t="shared" si="7"/>
        <v>29.444444444444446</v>
      </c>
    </row>
    <row r="37" spans="1:24" ht="17.25" x14ac:dyDescent="0.3">
      <c r="A37" s="11" t="s">
        <v>10</v>
      </c>
      <c r="B37" s="11"/>
      <c r="C37" s="11">
        <f>SUM(C29:C36)</f>
        <v>6</v>
      </c>
      <c r="D37" s="11">
        <f t="shared" ref="D37:O37" si="8">SUM(D29:D36)</f>
        <v>4</v>
      </c>
      <c r="E37" s="11">
        <f t="shared" si="8"/>
        <v>1</v>
      </c>
      <c r="F37" s="11">
        <f t="shared" si="8"/>
        <v>279</v>
      </c>
      <c r="G37" s="11">
        <f t="shared" si="8"/>
        <v>191</v>
      </c>
      <c r="H37" s="15">
        <f t="shared" si="8"/>
        <v>42.3333333</v>
      </c>
      <c r="I37" s="11">
        <f t="shared" si="8"/>
        <v>63</v>
      </c>
      <c r="J37" s="11">
        <f t="shared" si="8"/>
        <v>0</v>
      </c>
      <c r="K37" s="11">
        <f t="shared" si="8"/>
        <v>78</v>
      </c>
      <c r="L37" s="11">
        <f t="shared" si="8"/>
        <v>7</v>
      </c>
      <c r="M37" s="11">
        <f t="shared" si="8"/>
        <v>72</v>
      </c>
      <c r="N37" s="11">
        <f t="shared" si="8"/>
        <v>82</v>
      </c>
      <c r="O37" s="11">
        <f t="shared" si="8"/>
        <v>41</v>
      </c>
      <c r="P37" s="16">
        <f>+O37*9/H37</f>
        <v>8.7165354399342796</v>
      </c>
      <c r="Q37" s="34">
        <f t="shared" ref="Q37" si="9">(K37+L37)/H37</f>
        <v>2.0078740173290348</v>
      </c>
      <c r="R37" s="35">
        <f t="shared" ref="R37" si="10">I37/H37</f>
        <v>1.4881889775497552</v>
      </c>
      <c r="S37" s="35">
        <v>0</v>
      </c>
      <c r="T37" s="36">
        <f t="shared" ref="T37" si="11">M37/H37</f>
        <v>1.7007874029140058</v>
      </c>
      <c r="U37" s="37">
        <f t="shared" ref="U37" si="12">O37/N37</f>
        <v>0.5</v>
      </c>
      <c r="V37" s="34">
        <f t="shared" ref="V37" si="13">(I37+K37+L37)/H37</f>
        <v>3.4960629948787898</v>
      </c>
    </row>
  </sheetData>
  <sortState xmlns:xlrd2="http://schemas.microsoft.com/office/spreadsheetml/2017/richdata2" ref="A29:P36">
    <sortCondition ref="A29:A36"/>
  </sortState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0000"/>
  </sheetPr>
  <dimension ref="A1:X37"/>
  <sheetViews>
    <sheetView zoomScale="70" zoomScaleNormal="70" zoomScaleSheetLayoutView="75" workbookViewId="0">
      <selection activeCell="D16" sqref="D16"/>
    </sheetView>
  </sheetViews>
  <sheetFormatPr defaultColWidth="9" defaultRowHeight="16.5" x14ac:dyDescent="0.3"/>
  <cols>
    <col min="1" max="14" width="8.75" customWidth="1"/>
    <col min="15" max="19" width="8.875" customWidth="1"/>
  </cols>
  <sheetData>
    <row r="1" spans="1:24" ht="26.25" x14ac:dyDescent="0.3">
      <c r="A1" s="24" t="s">
        <v>142</v>
      </c>
    </row>
    <row r="2" spans="1:24" ht="17.25" x14ac:dyDescent="0.3">
      <c r="A2" s="4" t="s">
        <v>1</v>
      </c>
    </row>
    <row r="3" spans="1:24" ht="34.5" x14ac:dyDescent="0.3">
      <c r="A3" s="43" t="s">
        <v>27</v>
      </c>
      <c r="B3" s="43" t="s">
        <v>46</v>
      </c>
      <c r="C3" s="43" t="s">
        <v>57</v>
      </c>
      <c r="D3" s="43" t="s">
        <v>19</v>
      </c>
      <c r="E3" s="43" t="s">
        <v>38</v>
      </c>
      <c r="F3" s="43" t="s">
        <v>53</v>
      </c>
      <c r="G3" s="43" t="s">
        <v>79</v>
      </c>
      <c r="H3" s="43" t="s">
        <v>72</v>
      </c>
      <c r="I3" s="43" t="s">
        <v>0</v>
      </c>
      <c r="J3" s="43" t="s">
        <v>82</v>
      </c>
      <c r="K3" s="43" t="s">
        <v>31</v>
      </c>
      <c r="L3" s="43" t="s">
        <v>36</v>
      </c>
      <c r="M3" s="43" t="s">
        <v>40</v>
      </c>
      <c r="N3" s="43" t="s">
        <v>29</v>
      </c>
      <c r="O3" s="43" t="s">
        <v>58</v>
      </c>
      <c r="P3" s="10" t="s">
        <v>28</v>
      </c>
      <c r="Q3" s="43" t="s">
        <v>43</v>
      </c>
      <c r="R3" s="43" t="s">
        <v>37</v>
      </c>
      <c r="S3" s="43" t="s">
        <v>83</v>
      </c>
      <c r="T3" s="10" t="s">
        <v>95</v>
      </c>
      <c r="U3" s="10" t="s">
        <v>115</v>
      </c>
      <c r="V3" s="10" t="s">
        <v>86</v>
      </c>
      <c r="W3" s="10" t="s">
        <v>88</v>
      </c>
      <c r="X3" s="10" t="s">
        <v>116</v>
      </c>
    </row>
    <row r="4" spans="1:24" ht="19.5" customHeight="1" x14ac:dyDescent="0.3">
      <c r="A4" s="43" t="s">
        <v>59</v>
      </c>
      <c r="B4" s="52">
        <v>4</v>
      </c>
      <c r="C4" s="45">
        <v>0</v>
      </c>
      <c r="D4" s="52">
        <v>0</v>
      </c>
      <c r="E4" s="52">
        <v>0</v>
      </c>
      <c r="F4" s="52">
        <v>0</v>
      </c>
      <c r="G4" s="52">
        <v>0</v>
      </c>
      <c r="H4" s="52">
        <v>0</v>
      </c>
      <c r="I4" s="52">
        <v>0</v>
      </c>
      <c r="J4" s="52">
        <v>0</v>
      </c>
      <c r="K4" s="52">
        <v>0</v>
      </c>
      <c r="L4" s="52">
        <v>0</v>
      </c>
      <c r="M4" s="52">
        <v>1</v>
      </c>
      <c r="N4" s="52">
        <v>0</v>
      </c>
      <c r="O4" s="52">
        <v>0</v>
      </c>
      <c r="P4" s="30">
        <v>0</v>
      </c>
      <c r="Q4" s="46">
        <v>0</v>
      </c>
      <c r="R4" s="46">
        <v>0</v>
      </c>
      <c r="S4" s="58">
        <v>0</v>
      </c>
      <c r="T4" s="85" t="e">
        <f t="shared" ref="T4:T23" si="0">O4/(D4-(F4+N4))</f>
        <v>#DIV/0!</v>
      </c>
      <c r="U4" s="98">
        <f t="shared" ref="U4:U23" si="1">RANK(R4,$R$4:$R$23)</f>
        <v>19</v>
      </c>
      <c r="V4" s="99">
        <f t="shared" ref="V4:V23" si="2">RANK(S4,$S$4:$S$23)</f>
        <v>19</v>
      </c>
      <c r="W4" s="52">
        <f>+'23 서구하반기(''24)'!W4+'23 下코모도리그(''24)'!W4</f>
        <v>1</v>
      </c>
      <c r="X4" s="112">
        <f t="shared" ref="X4:X23" si="3">RANK(C4,$C$4:$C$23)</f>
        <v>18</v>
      </c>
    </row>
    <row r="5" spans="1:24" ht="19.5" customHeight="1" x14ac:dyDescent="0.3">
      <c r="A5" s="43" t="s">
        <v>34</v>
      </c>
      <c r="B5" s="52">
        <v>13</v>
      </c>
      <c r="C5" s="45">
        <v>0.2857142857142857</v>
      </c>
      <c r="D5" s="52">
        <v>23</v>
      </c>
      <c r="E5" s="52">
        <v>14</v>
      </c>
      <c r="F5" s="52">
        <v>4</v>
      </c>
      <c r="G5" s="52">
        <v>4</v>
      </c>
      <c r="H5" s="52">
        <v>0</v>
      </c>
      <c r="I5" s="52">
        <v>0</v>
      </c>
      <c r="J5" s="52">
        <v>0</v>
      </c>
      <c r="K5" s="52">
        <v>4</v>
      </c>
      <c r="L5" s="52">
        <v>5</v>
      </c>
      <c r="M5" s="52">
        <v>1</v>
      </c>
      <c r="N5" s="52">
        <v>8</v>
      </c>
      <c r="O5" s="52">
        <v>4</v>
      </c>
      <c r="P5" s="30">
        <v>0.17391304347826086</v>
      </c>
      <c r="Q5" s="46">
        <v>0.2857142857142857</v>
      </c>
      <c r="R5" s="46">
        <v>0.52173913043478259</v>
      </c>
      <c r="S5" s="58">
        <v>0.80745341614906829</v>
      </c>
      <c r="T5" s="85">
        <f t="shared" si="0"/>
        <v>0.36363636363636365</v>
      </c>
      <c r="U5" s="98">
        <f t="shared" si="1"/>
        <v>4</v>
      </c>
      <c r="V5" s="99">
        <f t="shared" si="2"/>
        <v>9</v>
      </c>
      <c r="W5" s="52">
        <f>+'23 서구하반기(''24)'!W5+'23 下코모도리그(''24)'!W5</f>
        <v>1</v>
      </c>
      <c r="X5" s="112">
        <f t="shared" si="3"/>
        <v>11</v>
      </c>
    </row>
    <row r="6" spans="1:24" ht="19.5" customHeight="1" x14ac:dyDescent="0.3">
      <c r="A6" s="43" t="s">
        <v>44</v>
      </c>
      <c r="B6" s="52">
        <v>20</v>
      </c>
      <c r="C6" s="45">
        <v>0.45</v>
      </c>
      <c r="D6" s="52">
        <v>50</v>
      </c>
      <c r="E6" s="52">
        <v>40</v>
      </c>
      <c r="F6" s="52">
        <v>18</v>
      </c>
      <c r="G6" s="52">
        <v>14</v>
      </c>
      <c r="H6" s="52">
        <v>3</v>
      </c>
      <c r="I6" s="52">
        <v>1</v>
      </c>
      <c r="J6" s="52">
        <v>0</v>
      </c>
      <c r="K6" s="52">
        <v>21</v>
      </c>
      <c r="L6" s="52">
        <v>19</v>
      </c>
      <c r="M6" s="52">
        <v>13</v>
      </c>
      <c r="N6" s="52">
        <v>8</v>
      </c>
      <c r="O6" s="52">
        <v>4</v>
      </c>
      <c r="P6" s="30">
        <v>0.08</v>
      </c>
      <c r="Q6" s="46">
        <v>0.57499999999999996</v>
      </c>
      <c r="R6" s="46">
        <v>0.52</v>
      </c>
      <c r="S6" s="58">
        <v>1.095</v>
      </c>
      <c r="T6" s="78">
        <f t="shared" si="0"/>
        <v>0.16666666666666666</v>
      </c>
      <c r="U6" s="98">
        <f t="shared" si="1"/>
        <v>5</v>
      </c>
      <c r="V6" s="99">
        <f t="shared" si="2"/>
        <v>4</v>
      </c>
      <c r="W6" s="52">
        <f>+'23 서구하반기(''24)'!W6+'23 下코모도리그(''24)'!W6</f>
        <v>5</v>
      </c>
      <c r="X6" s="112">
        <f t="shared" si="3"/>
        <v>4</v>
      </c>
    </row>
    <row r="7" spans="1:24" ht="19.5" customHeight="1" x14ac:dyDescent="0.3">
      <c r="A7" s="43" t="s">
        <v>9</v>
      </c>
      <c r="B7" s="52">
        <v>1</v>
      </c>
      <c r="C7" s="45">
        <v>0</v>
      </c>
      <c r="D7" s="52">
        <v>4</v>
      </c>
      <c r="E7" s="52">
        <v>4</v>
      </c>
      <c r="F7" s="52">
        <v>0</v>
      </c>
      <c r="G7" s="52">
        <v>0</v>
      </c>
      <c r="H7" s="52">
        <v>0</v>
      </c>
      <c r="I7" s="52">
        <v>0</v>
      </c>
      <c r="J7" s="52">
        <v>0</v>
      </c>
      <c r="K7" s="52">
        <v>0</v>
      </c>
      <c r="L7" s="52">
        <v>3</v>
      </c>
      <c r="M7" s="52">
        <v>0</v>
      </c>
      <c r="N7" s="52">
        <v>0</v>
      </c>
      <c r="O7" s="52">
        <v>0</v>
      </c>
      <c r="P7" s="30">
        <v>0</v>
      </c>
      <c r="Q7" s="46">
        <v>0</v>
      </c>
      <c r="R7" s="46">
        <v>0</v>
      </c>
      <c r="S7" s="58">
        <v>0</v>
      </c>
      <c r="T7" s="85">
        <f t="shared" si="0"/>
        <v>0</v>
      </c>
      <c r="U7" s="98">
        <f t="shared" si="1"/>
        <v>19</v>
      </c>
      <c r="V7" s="99">
        <f t="shared" si="2"/>
        <v>19</v>
      </c>
      <c r="W7" s="52">
        <f>+'23 서구하반기(''24)'!W7+'23 下코모도리그(''24)'!W7</f>
        <v>0</v>
      </c>
      <c r="X7" s="112">
        <f t="shared" si="3"/>
        <v>18</v>
      </c>
    </row>
    <row r="8" spans="1:24" ht="19.5" customHeight="1" x14ac:dyDescent="0.3">
      <c r="A8" s="43" t="s">
        <v>4</v>
      </c>
      <c r="B8" s="52">
        <v>21</v>
      </c>
      <c r="C8" s="45">
        <v>0.32500000000000001</v>
      </c>
      <c r="D8" s="52">
        <v>53</v>
      </c>
      <c r="E8" s="52">
        <v>40</v>
      </c>
      <c r="F8" s="52">
        <v>13</v>
      </c>
      <c r="G8" s="52">
        <v>8</v>
      </c>
      <c r="H8" s="52">
        <v>2</v>
      </c>
      <c r="I8" s="52">
        <v>3</v>
      </c>
      <c r="J8" s="52">
        <v>0</v>
      </c>
      <c r="K8" s="52">
        <v>14</v>
      </c>
      <c r="L8" s="52">
        <v>15</v>
      </c>
      <c r="M8" s="52">
        <v>7</v>
      </c>
      <c r="N8" s="52">
        <v>12</v>
      </c>
      <c r="O8" s="52">
        <v>10</v>
      </c>
      <c r="P8" s="30">
        <v>0.18867924528301888</v>
      </c>
      <c r="Q8" s="46">
        <v>0.52500000000000002</v>
      </c>
      <c r="R8" s="46">
        <v>0.47169811320754718</v>
      </c>
      <c r="S8" s="58">
        <v>0.9966981132075472</v>
      </c>
      <c r="T8" s="85">
        <f t="shared" si="0"/>
        <v>0.35714285714285715</v>
      </c>
      <c r="U8" s="98">
        <f t="shared" si="1"/>
        <v>7</v>
      </c>
      <c r="V8" s="99">
        <f t="shared" si="2"/>
        <v>5</v>
      </c>
      <c r="W8" s="52">
        <f>+'23 서구하반기(''24)'!W8+'23 下코모도리그(''24)'!W8</f>
        <v>0</v>
      </c>
      <c r="X8" s="112">
        <f t="shared" si="3"/>
        <v>9</v>
      </c>
    </row>
    <row r="9" spans="1:24" ht="19.5" customHeight="1" x14ac:dyDescent="0.3">
      <c r="A9" s="43" t="s">
        <v>51</v>
      </c>
      <c r="B9" s="52">
        <v>12</v>
      </c>
      <c r="C9" s="45">
        <v>0.15789473684210525</v>
      </c>
      <c r="D9" s="52">
        <v>25</v>
      </c>
      <c r="E9" s="52">
        <v>19</v>
      </c>
      <c r="F9" s="52">
        <v>3</v>
      </c>
      <c r="G9" s="52">
        <v>3</v>
      </c>
      <c r="H9" s="52">
        <v>0</v>
      </c>
      <c r="I9" s="52">
        <v>0</v>
      </c>
      <c r="J9" s="52">
        <v>0</v>
      </c>
      <c r="K9" s="52">
        <v>5</v>
      </c>
      <c r="L9" s="52">
        <v>3</v>
      </c>
      <c r="M9" s="52">
        <v>5</v>
      </c>
      <c r="N9" s="52">
        <v>6</v>
      </c>
      <c r="O9" s="52">
        <v>11</v>
      </c>
      <c r="P9" s="79">
        <v>0.44</v>
      </c>
      <c r="Q9" s="46">
        <v>0.15789473684210525</v>
      </c>
      <c r="R9" s="46">
        <v>0.36</v>
      </c>
      <c r="S9" s="58">
        <v>0.51789473684210519</v>
      </c>
      <c r="T9" s="85">
        <f t="shared" si="0"/>
        <v>0.6875</v>
      </c>
      <c r="U9" s="98">
        <f t="shared" si="1"/>
        <v>14</v>
      </c>
      <c r="V9" s="99">
        <f t="shared" si="2"/>
        <v>14</v>
      </c>
      <c r="W9" s="52">
        <f>+'23 서구하반기(''24)'!W9+'23 下코모도리그(''24)'!W9</f>
        <v>2</v>
      </c>
      <c r="X9" s="112">
        <f t="shared" si="3"/>
        <v>15</v>
      </c>
    </row>
    <row r="10" spans="1:24" ht="19.5" customHeight="1" x14ac:dyDescent="0.3">
      <c r="A10" s="43" t="s">
        <v>25</v>
      </c>
      <c r="B10" s="52">
        <v>20</v>
      </c>
      <c r="C10" s="45">
        <v>0.60416666666666663</v>
      </c>
      <c r="D10" s="52">
        <v>63</v>
      </c>
      <c r="E10" s="52">
        <v>48</v>
      </c>
      <c r="F10" s="52">
        <v>29</v>
      </c>
      <c r="G10" s="52">
        <v>22</v>
      </c>
      <c r="H10" s="52">
        <v>4</v>
      </c>
      <c r="I10" s="52">
        <v>2</v>
      </c>
      <c r="J10" s="52">
        <v>1</v>
      </c>
      <c r="K10" s="52">
        <v>33</v>
      </c>
      <c r="L10" s="52">
        <v>19</v>
      </c>
      <c r="M10" s="52">
        <v>42</v>
      </c>
      <c r="N10" s="52">
        <v>13</v>
      </c>
      <c r="O10" s="52">
        <v>3</v>
      </c>
      <c r="P10" s="30">
        <v>4.7619047619047616E-2</v>
      </c>
      <c r="Q10" s="46">
        <v>0.83333333333333337</v>
      </c>
      <c r="R10" s="46">
        <v>0.66666666666666663</v>
      </c>
      <c r="S10" s="58">
        <v>1.5</v>
      </c>
      <c r="T10" s="78">
        <f t="shared" si="0"/>
        <v>0.14285714285714285</v>
      </c>
      <c r="U10" s="98">
        <f t="shared" si="1"/>
        <v>1</v>
      </c>
      <c r="V10" s="99">
        <f t="shared" si="2"/>
        <v>1</v>
      </c>
      <c r="W10" s="52">
        <f>+'23 서구하반기(''24)'!W10+'23 下코모도리그(''24)'!W10</f>
        <v>2</v>
      </c>
      <c r="X10" s="112">
        <f t="shared" si="3"/>
        <v>1</v>
      </c>
    </row>
    <row r="11" spans="1:24" ht="19.5" customHeight="1" x14ac:dyDescent="0.3">
      <c r="A11" s="43" t="s">
        <v>21</v>
      </c>
      <c r="B11" s="52">
        <v>11</v>
      </c>
      <c r="C11" s="45">
        <v>0.23809523809523808</v>
      </c>
      <c r="D11" s="52">
        <v>23</v>
      </c>
      <c r="E11" s="52">
        <v>21</v>
      </c>
      <c r="F11" s="52">
        <v>5</v>
      </c>
      <c r="G11" s="52">
        <v>4</v>
      </c>
      <c r="H11" s="52">
        <v>1</v>
      </c>
      <c r="I11" s="52">
        <v>0</v>
      </c>
      <c r="J11" s="52">
        <v>0</v>
      </c>
      <c r="K11" s="52">
        <v>6</v>
      </c>
      <c r="L11" s="52">
        <v>4</v>
      </c>
      <c r="M11" s="52">
        <v>5</v>
      </c>
      <c r="N11" s="52">
        <v>2</v>
      </c>
      <c r="O11" s="52">
        <v>4</v>
      </c>
      <c r="P11" s="30">
        <v>0.17391304347826086</v>
      </c>
      <c r="Q11" s="46">
        <v>0.2857142857142857</v>
      </c>
      <c r="R11" s="46">
        <v>0.30434782608695654</v>
      </c>
      <c r="S11" s="58">
        <v>0.59006211180124224</v>
      </c>
      <c r="T11" s="78">
        <f t="shared" si="0"/>
        <v>0.25</v>
      </c>
      <c r="U11" s="98">
        <f t="shared" si="1"/>
        <v>16</v>
      </c>
      <c r="V11" s="99">
        <f t="shared" si="2"/>
        <v>13</v>
      </c>
      <c r="W11" s="52">
        <f>+'23 서구하반기(''24)'!W11+'23 下코모도리그(''24)'!W11</f>
        <v>2</v>
      </c>
      <c r="X11" s="112">
        <f t="shared" si="3"/>
        <v>13</v>
      </c>
    </row>
    <row r="12" spans="1:24" ht="19.5" customHeight="1" x14ac:dyDescent="0.3">
      <c r="A12" s="43" t="s">
        <v>8</v>
      </c>
      <c r="B12" s="52">
        <v>5</v>
      </c>
      <c r="C12" s="45">
        <v>0.16666666666666666</v>
      </c>
      <c r="D12" s="52">
        <v>9</v>
      </c>
      <c r="E12" s="52">
        <v>6</v>
      </c>
      <c r="F12" s="52">
        <v>1</v>
      </c>
      <c r="G12" s="52">
        <v>1</v>
      </c>
      <c r="H12" s="52">
        <v>0</v>
      </c>
      <c r="I12" s="52">
        <v>0</v>
      </c>
      <c r="J12" s="52">
        <v>0</v>
      </c>
      <c r="K12" s="52">
        <v>1</v>
      </c>
      <c r="L12" s="52">
        <v>1</v>
      </c>
      <c r="M12" s="52">
        <v>1</v>
      </c>
      <c r="N12" s="52">
        <v>0</v>
      </c>
      <c r="O12" s="52">
        <v>1</v>
      </c>
      <c r="P12" s="30">
        <v>0.1111111111111111</v>
      </c>
      <c r="Q12" s="46">
        <v>0.16666666666666666</v>
      </c>
      <c r="R12" s="46">
        <v>0.1111111111111111</v>
      </c>
      <c r="S12" s="58">
        <v>0.27777777777777779</v>
      </c>
      <c r="T12" s="78">
        <f t="shared" si="0"/>
        <v>0.125</v>
      </c>
      <c r="U12" s="98">
        <f t="shared" si="1"/>
        <v>18</v>
      </c>
      <c r="V12" s="99">
        <f t="shared" si="2"/>
        <v>18</v>
      </c>
      <c r="W12" s="52">
        <f>+'23 서구하반기(''24)'!W12+'23 下코모도리그(''24)'!W12</f>
        <v>1</v>
      </c>
      <c r="X12" s="112">
        <f t="shared" si="3"/>
        <v>14</v>
      </c>
    </row>
    <row r="13" spans="1:24" ht="19.5" customHeight="1" x14ac:dyDescent="0.3">
      <c r="A13" s="43" t="s">
        <v>15</v>
      </c>
      <c r="B13" s="52">
        <v>20</v>
      </c>
      <c r="C13" s="45">
        <v>0.54166666666666663</v>
      </c>
      <c r="D13" s="52">
        <v>52</v>
      </c>
      <c r="E13" s="52">
        <v>48</v>
      </c>
      <c r="F13" s="52">
        <v>26</v>
      </c>
      <c r="G13" s="52">
        <v>12</v>
      </c>
      <c r="H13" s="52">
        <v>13</v>
      </c>
      <c r="I13" s="52">
        <v>1</v>
      </c>
      <c r="J13" s="52">
        <v>0</v>
      </c>
      <c r="K13" s="52">
        <v>16</v>
      </c>
      <c r="L13" s="52">
        <v>20</v>
      </c>
      <c r="M13" s="52">
        <v>8</v>
      </c>
      <c r="N13" s="52">
        <v>3</v>
      </c>
      <c r="O13" s="52">
        <v>4</v>
      </c>
      <c r="P13" s="30">
        <v>7.6923076923076927E-2</v>
      </c>
      <c r="Q13" s="46">
        <v>0.85416666666666663</v>
      </c>
      <c r="R13" s="46">
        <v>0.55769230769230771</v>
      </c>
      <c r="S13" s="58">
        <v>1.4118589743589745</v>
      </c>
      <c r="T13" s="78">
        <f t="shared" si="0"/>
        <v>0.17391304347826086</v>
      </c>
      <c r="U13" s="98">
        <f t="shared" si="1"/>
        <v>3</v>
      </c>
      <c r="V13" s="99">
        <f t="shared" si="2"/>
        <v>2</v>
      </c>
      <c r="W13" s="52">
        <f>+'23 서구하반기(''24)'!W13+'23 下코모도리그(''24)'!W13</f>
        <v>3</v>
      </c>
      <c r="X13" s="112">
        <f t="shared" si="3"/>
        <v>2</v>
      </c>
    </row>
    <row r="14" spans="1:24" ht="19.5" customHeight="1" x14ac:dyDescent="0.3">
      <c r="A14" s="43" t="s">
        <v>52</v>
      </c>
      <c r="B14" s="52">
        <v>7</v>
      </c>
      <c r="C14" s="45">
        <v>0</v>
      </c>
      <c r="D14" s="52">
        <v>16</v>
      </c>
      <c r="E14" s="52">
        <v>10</v>
      </c>
      <c r="F14" s="52">
        <v>0</v>
      </c>
      <c r="G14" s="52">
        <v>0</v>
      </c>
      <c r="H14" s="52">
        <v>0</v>
      </c>
      <c r="I14" s="52">
        <v>0</v>
      </c>
      <c r="J14" s="52">
        <v>0</v>
      </c>
      <c r="K14" s="52">
        <v>4</v>
      </c>
      <c r="L14" s="52">
        <v>1</v>
      </c>
      <c r="M14" s="52">
        <v>2</v>
      </c>
      <c r="N14" s="52">
        <v>6</v>
      </c>
      <c r="O14" s="52">
        <v>6</v>
      </c>
      <c r="P14" s="30">
        <v>0.375</v>
      </c>
      <c r="Q14" s="46">
        <v>0</v>
      </c>
      <c r="R14" s="46">
        <v>0.375</v>
      </c>
      <c r="S14" s="58">
        <v>0.375</v>
      </c>
      <c r="T14" s="85">
        <f t="shared" si="0"/>
        <v>0.6</v>
      </c>
      <c r="U14" s="98">
        <f t="shared" si="1"/>
        <v>12</v>
      </c>
      <c r="V14" s="99">
        <f t="shared" si="2"/>
        <v>17</v>
      </c>
      <c r="W14" s="52">
        <f>+'23 서구하반기(''24)'!W14+'23 下코모도리그(''24)'!W14</f>
        <v>10</v>
      </c>
      <c r="X14" s="112">
        <f t="shared" si="3"/>
        <v>18</v>
      </c>
    </row>
    <row r="15" spans="1:24" ht="19.5" customHeight="1" x14ac:dyDescent="0.3">
      <c r="A15" s="43" t="s">
        <v>23</v>
      </c>
      <c r="B15" s="52">
        <v>8</v>
      </c>
      <c r="C15" s="45">
        <v>0.15384615384615385</v>
      </c>
      <c r="D15" s="52">
        <v>20</v>
      </c>
      <c r="E15" s="52">
        <v>13</v>
      </c>
      <c r="F15" s="52">
        <v>2</v>
      </c>
      <c r="G15" s="52">
        <v>2</v>
      </c>
      <c r="H15" s="52">
        <v>0</v>
      </c>
      <c r="I15" s="52">
        <v>0</v>
      </c>
      <c r="J15" s="52">
        <v>0</v>
      </c>
      <c r="K15" s="52">
        <v>3</v>
      </c>
      <c r="L15" s="52">
        <v>4</v>
      </c>
      <c r="M15" s="52">
        <v>1</v>
      </c>
      <c r="N15" s="52">
        <v>4</v>
      </c>
      <c r="O15" s="52">
        <v>7</v>
      </c>
      <c r="P15" s="79">
        <v>0.35</v>
      </c>
      <c r="Q15" s="46">
        <v>0.15384615384615385</v>
      </c>
      <c r="R15" s="46">
        <v>0.3</v>
      </c>
      <c r="S15" s="58">
        <v>0.45384615384615384</v>
      </c>
      <c r="T15" s="78">
        <f t="shared" si="0"/>
        <v>0.5</v>
      </c>
      <c r="U15" s="98">
        <f t="shared" si="1"/>
        <v>17</v>
      </c>
      <c r="V15" s="99">
        <f t="shared" si="2"/>
        <v>15</v>
      </c>
      <c r="W15" s="52">
        <f>+'23 서구하반기(''24)'!W15+'23 下코모도리그(''24)'!W15</f>
        <v>1</v>
      </c>
      <c r="X15" s="112">
        <f t="shared" si="3"/>
        <v>16</v>
      </c>
    </row>
    <row r="16" spans="1:24" ht="19.5" customHeight="1" x14ac:dyDescent="0.3">
      <c r="A16" s="43" t="s">
        <v>50</v>
      </c>
      <c r="B16" s="52">
        <v>9</v>
      </c>
      <c r="C16" s="45">
        <v>0.33333333333333331</v>
      </c>
      <c r="D16" s="52">
        <v>12</v>
      </c>
      <c r="E16" s="52">
        <v>9</v>
      </c>
      <c r="F16" s="52">
        <v>3</v>
      </c>
      <c r="G16" s="52">
        <v>2</v>
      </c>
      <c r="H16" s="52">
        <v>1</v>
      </c>
      <c r="I16" s="52">
        <v>0</v>
      </c>
      <c r="J16" s="52">
        <v>0</v>
      </c>
      <c r="K16" s="52">
        <v>3</v>
      </c>
      <c r="L16" s="52">
        <v>3</v>
      </c>
      <c r="M16" s="52">
        <v>3</v>
      </c>
      <c r="N16" s="52">
        <v>3</v>
      </c>
      <c r="O16" s="52">
        <v>2</v>
      </c>
      <c r="P16" s="30">
        <v>0.16666666666666666</v>
      </c>
      <c r="Q16" s="46">
        <v>0.44444444444444442</v>
      </c>
      <c r="R16" s="46">
        <v>0.5</v>
      </c>
      <c r="S16" s="58">
        <v>0.94444444444444442</v>
      </c>
      <c r="T16" s="78">
        <f t="shared" si="0"/>
        <v>0.33333333333333331</v>
      </c>
      <c r="U16" s="98">
        <f t="shared" si="1"/>
        <v>6</v>
      </c>
      <c r="V16" s="99">
        <f t="shared" si="2"/>
        <v>6</v>
      </c>
      <c r="W16" s="52">
        <f>+'23 서구하반기(''24)'!W16+'23 下코모도리그(''24)'!W16</f>
        <v>5</v>
      </c>
      <c r="X16" s="112">
        <f t="shared" si="3"/>
        <v>7</v>
      </c>
    </row>
    <row r="17" spans="1:24" ht="19.5" customHeight="1" x14ac:dyDescent="0.3">
      <c r="A17" s="43" t="s">
        <v>33</v>
      </c>
      <c r="B17" s="52">
        <v>4</v>
      </c>
      <c r="C17" s="45">
        <v>0.3</v>
      </c>
      <c r="D17" s="52">
        <v>12</v>
      </c>
      <c r="E17" s="52">
        <v>10</v>
      </c>
      <c r="F17" s="52">
        <v>3</v>
      </c>
      <c r="G17" s="52">
        <v>2</v>
      </c>
      <c r="H17" s="52">
        <v>1</v>
      </c>
      <c r="I17" s="52">
        <v>0</v>
      </c>
      <c r="J17" s="52">
        <v>0</v>
      </c>
      <c r="K17" s="52">
        <v>3</v>
      </c>
      <c r="L17" s="52">
        <v>2</v>
      </c>
      <c r="M17" s="52">
        <v>2</v>
      </c>
      <c r="N17" s="52">
        <v>2</v>
      </c>
      <c r="O17" s="52">
        <v>4</v>
      </c>
      <c r="P17" s="79">
        <v>0.33333333333333331</v>
      </c>
      <c r="Q17" s="46">
        <v>0.4</v>
      </c>
      <c r="R17" s="46">
        <v>0.41666666666666669</v>
      </c>
      <c r="S17" s="58">
        <v>0.81666666666666665</v>
      </c>
      <c r="T17" s="78">
        <f t="shared" si="0"/>
        <v>0.5714285714285714</v>
      </c>
      <c r="U17" s="98">
        <f t="shared" si="1"/>
        <v>10</v>
      </c>
      <c r="V17" s="99">
        <f t="shared" si="2"/>
        <v>8</v>
      </c>
      <c r="W17" s="52">
        <f>+'23 서구하반기(''24)'!W17+'23 下코모도리그(''24)'!W17</f>
        <v>5</v>
      </c>
      <c r="X17" s="112">
        <f t="shared" si="3"/>
        <v>10</v>
      </c>
    </row>
    <row r="18" spans="1:24" ht="19.5" customHeight="1" x14ac:dyDescent="0.3">
      <c r="A18" s="43" t="s">
        <v>60</v>
      </c>
      <c r="B18" s="52">
        <v>15</v>
      </c>
      <c r="C18" s="45">
        <v>0.53333333333333333</v>
      </c>
      <c r="D18" s="52">
        <v>36</v>
      </c>
      <c r="E18" s="52">
        <v>30</v>
      </c>
      <c r="F18" s="52">
        <v>16</v>
      </c>
      <c r="G18" s="52">
        <v>14</v>
      </c>
      <c r="H18" s="52">
        <v>0</v>
      </c>
      <c r="I18" s="52">
        <v>1</v>
      </c>
      <c r="J18" s="52">
        <v>1</v>
      </c>
      <c r="K18" s="52">
        <v>10</v>
      </c>
      <c r="L18" s="52">
        <v>9</v>
      </c>
      <c r="M18" s="52">
        <v>6</v>
      </c>
      <c r="N18" s="52">
        <v>5</v>
      </c>
      <c r="O18" s="52">
        <v>5</v>
      </c>
      <c r="P18" s="30">
        <v>0.1388888888888889</v>
      </c>
      <c r="Q18" s="46">
        <v>0.7</v>
      </c>
      <c r="R18" s="46">
        <v>0.58333333333333337</v>
      </c>
      <c r="S18" s="58">
        <v>1.2833333333333332</v>
      </c>
      <c r="T18" s="78">
        <f t="shared" si="0"/>
        <v>0.33333333333333331</v>
      </c>
      <c r="U18" s="98">
        <f t="shared" si="1"/>
        <v>2</v>
      </c>
      <c r="V18" s="99">
        <f t="shared" si="2"/>
        <v>3</v>
      </c>
      <c r="W18" s="52">
        <f>+'23 서구하반기(''24)'!W18+'23 下코모도리그(''24)'!W18</f>
        <v>0</v>
      </c>
      <c r="X18" s="112">
        <f t="shared" si="3"/>
        <v>3</v>
      </c>
    </row>
    <row r="19" spans="1:24" ht="19.5" customHeight="1" x14ac:dyDescent="0.3">
      <c r="A19" s="43" t="s">
        <v>12</v>
      </c>
      <c r="B19" s="52">
        <v>9</v>
      </c>
      <c r="C19" s="45">
        <v>0.35</v>
      </c>
      <c r="D19" s="52">
        <v>22</v>
      </c>
      <c r="E19" s="52">
        <v>20</v>
      </c>
      <c r="F19" s="52">
        <v>7</v>
      </c>
      <c r="G19" s="52">
        <v>7</v>
      </c>
      <c r="H19" s="52">
        <v>0</v>
      </c>
      <c r="I19" s="52">
        <v>0</v>
      </c>
      <c r="J19" s="52">
        <v>0</v>
      </c>
      <c r="K19" s="52">
        <v>4</v>
      </c>
      <c r="L19" s="52">
        <v>4</v>
      </c>
      <c r="M19" s="52">
        <v>4</v>
      </c>
      <c r="N19" s="52">
        <v>1</v>
      </c>
      <c r="O19" s="52">
        <v>2</v>
      </c>
      <c r="P19" s="30">
        <v>9.0909090909090912E-2</v>
      </c>
      <c r="Q19" s="46">
        <v>0.35</v>
      </c>
      <c r="R19" s="46">
        <v>0.36363636363636365</v>
      </c>
      <c r="S19" s="58">
        <v>0.71363636363636362</v>
      </c>
      <c r="T19" s="85">
        <f t="shared" si="0"/>
        <v>0.14285714285714285</v>
      </c>
      <c r="U19" s="98">
        <f t="shared" si="1"/>
        <v>13</v>
      </c>
      <c r="V19" s="99">
        <f t="shared" si="2"/>
        <v>12</v>
      </c>
      <c r="W19" s="52">
        <f>+'23 서구하반기(''24)'!W19+'23 下코모도리그(''24)'!W19</f>
        <v>3</v>
      </c>
      <c r="X19" s="112">
        <f t="shared" si="3"/>
        <v>5</v>
      </c>
    </row>
    <row r="20" spans="1:24" ht="19.5" customHeight="1" x14ac:dyDescent="0.3">
      <c r="A20" s="43" t="s">
        <v>24</v>
      </c>
      <c r="B20" s="52">
        <v>16</v>
      </c>
      <c r="C20" s="45">
        <v>9.5238095238095233E-2</v>
      </c>
      <c r="D20" s="52">
        <v>29</v>
      </c>
      <c r="E20" s="52">
        <v>21</v>
      </c>
      <c r="F20" s="52">
        <v>2</v>
      </c>
      <c r="G20" s="52">
        <v>2</v>
      </c>
      <c r="H20" s="52">
        <v>0</v>
      </c>
      <c r="I20" s="52">
        <v>0</v>
      </c>
      <c r="J20" s="52">
        <v>0</v>
      </c>
      <c r="K20" s="52">
        <v>5</v>
      </c>
      <c r="L20" s="52">
        <v>6</v>
      </c>
      <c r="M20" s="52">
        <v>6</v>
      </c>
      <c r="N20" s="52">
        <v>8</v>
      </c>
      <c r="O20" s="52">
        <v>15</v>
      </c>
      <c r="P20" s="79">
        <v>0.51724137931034486</v>
      </c>
      <c r="Q20" s="46">
        <v>9.5238095238095233E-2</v>
      </c>
      <c r="R20" s="46">
        <v>0.34482758620689657</v>
      </c>
      <c r="S20" s="58">
        <v>0.44006568144499181</v>
      </c>
      <c r="T20" s="78">
        <f t="shared" si="0"/>
        <v>0.78947368421052633</v>
      </c>
      <c r="U20" s="98">
        <f t="shared" si="1"/>
        <v>15</v>
      </c>
      <c r="V20" s="99">
        <f t="shared" si="2"/>
        <v>16</v>
      </c>
      <c r="W20" s="52">
        <f>+'23 서구하반기(''24)'!W20+'23 下코모도리그(''24)'!W20</f>
        <v>5</v>
      </c>
      <c r="X20" s="112">
        <f t="shared" si="3"/>
        <v>17</v>
      </c>
    </row>
    <row r="21" spans="1:24" ht="19.5" customHeight="1" x14ac:dyDescent="0.3">
      <c r="A21" s="43" t="s">
        <v>14</v>
      </c>
      <c r="B21" s="52">
        <v>19</v>
      </c>
      <c r="C21" s="45">
        <v>0.34210526315789475</v>
      </c>
      <c r="D21" s="52">
        <v>44</v>
      </c>
      <c r="E21" s="52">
        <v>38</v>
      </c>
      <c r="F21" s="52">
        <v>13</v>
      </c>
      <c r="G21" s="52">
        <v>9</v>
      </c>
      <c r="H21" s="52">
        <v>3</v>
      </c>
      <c r="I21" s="52">
        <v>0</v>
      </c>
      <c r="J21" s="52">
        <v>1</v>
      </c>
      <c r="K21" s="52">
        <v>17</v>
      </c>
      <c r="L21" s="52">
        <v>8</v>
      </c>
      <c r="M21" s="52">
        <v>9</v>
      </c>
      <c r="N21" s="52">
        <v>6</v>
      </c>
      <c r="O21" s="52">
        <v>8</v>
      </c>
      <c r="P21" s="30">
        <v>0.18181818181818182</v>
      </c>
      <c r="Q21" s="46">
        <v>0.5</v>
      </c>
      <c r="R21" s="46">
        <v>0.43181818181818182</v>
      </c>
      <c r="S21" s="58">
        <v>0.93181818181818188</v>
      </c>
      <c r="T21" s="85">
        <f t="shared" si="0"/>
        <v>0.32</v>
      </c>
      <c r="U21" s="98">
        <f t="shared" si="1"/>
        <v>8</v>
      </c>
      <c r="V21" s="99">
        <f t="shared" si="2"/>
        <v>7</v>
      </c>
      <c r="W21" s="52">
        <f>+'23 서구하반기(''24)'!W21+'23 下코모도리그(''24)'!W21</f>
        <v>0</v>
      </c>
      <c r="X21" s="112">
        <f t="shared" si="3"/>
        <v>6</v>
      </c>
    </row>
    <row r="22" spans="1:24" ht="19.5" customHeight="1" x14ac:dyDescent="0.3">
      <c r="A22" s="43" t="s">
        <v>47</v>
      </c>
      <c r="B22" s="52">
        <v>10</v>
      </c>
      <c r="C22" s="45">
        <v>0.33333333333333331</v>
      </c>
      <c r="D22" s="52">
        <v>18</v>
      </c>
      <c r="E22" s="52">
        <v>15</v>
      </c>
      <c r="F22" s="52">
        <v>5</v>
      </c>
      <c r="G22" s="52">
        <v>5</v>
      </c>
      <c r="H22" s="52">
        <v>0</v>
      </c>
      <c r="I22" s="52">
        <v>0</v>
      </c>
      <c r="J22" s="52">
        <v>0</v>
      </c>
      <c r="K22" s="52">
        <v>5</v>
      </c>
      <c r="L22" s="52">
        <v>1</v>
      </c>
      <c r="M22" s="52">
        <v>6</v>
      </c>
      <c r="N22" s="52">
        <v>2</v>
      </c>
      <c r="O22" s="52">
        <v>4</v>
      </c>
      <c r="P22" s="30">
        <v>0.22222222222222221</v>
      </c>
      <c r="Q22" s="46">
        <v>0.33333333333333331</v>
      </c>
      <c r="R22" s="46">
        <v>0.3888888888888889</v>
      </c>
      <c r="S22" s="58">
        <v>0.72222222222222221</v>
      </c>
      <c r="T22" s="78">
        <f t="shared" si="0"/>
        <v>0.36363636363636365</v>
      </c>
      <c r="U22" s="98">
        <f t="shared" si="1"/>
        <v>11</v>
      </c>
      <c r="V22" s="99">
        <f t="shared" si="2"/>
        <v>11</v>
      </c>
      <c r="W22" s="52">
        <f>+'23 서구하반기(''24)'!W22+'23 下코모도리그(''24)'!W22</f>
        <v>2</v>
      </c>
      <c r="X22" s="112">
        <f t="shared" si="3"/>
        <v>7</v>
      </c>
    </row>
    <row r="23" spans="1:24" ht="19.5" customHeight="1" x14ac:dyDescent="0.3">
      <c r="A23" s="43" t="s">
        <v>22</v>
      </c>
      <c r="B23" s="52">
        <v>14</v>
      </c>
      <c r="C23" s="45">
        <v>0.26666666666666666</v>
      </c>
      <c r="D23" s="52">
        <v>38</v>
      </c>
      <c r="E23" s="52">
        <v>30</v>
      </c>
      <c r="F23" s="52">
        <v>8</v>
      </c>
      <c r="G23" s="52">
        <v>6</v>
      </c>
      <c r="H23" s="52">
        <v>2</v>
      </c>
      <c r="I23" s="52">
        <v>0</v>
      </c>
      <c r="J23" s="52">
        <v>0</v>
      </c>
      <c r="K23" s="52">
        <v>6</v>
      </c>
      <c r="L23" s="52">
        <v>7</v>
      </c>
      <c r="M23" s="52">
        <v>5</v>
      </c>
      <c r="N23" s="52">
        <v>8</v>
      </c>
      <c r="O23" s="52">
        <v>9</v>
      </c>
      <c r="P23" s="30">
        <v>0.23684210526315788</v>
      </c>
      <c r="Q23" s="46">
        <v>0.33333333333333331</v>
      </c>
      <c r="R23" s="46">
        <v>0.42105263157894735</v>
      </c>
      <c r="S23" s="58">
        <v>0.7543859649122806</v>
      </c>
      <c r="T23" s="84">
        <f t="shared" si="0"/>
        <v>0.40909090909090912</v>
      </c>
      <c r="U23" s="98">
        <f t="shared" si="1"/>
        <v>9</v>
      </c>
      <c r="V23" s="99">
        <f t="shared" si="2"/>
        <v>10</v>
      </c>
      <c r="W23" s="52">
        <f>+'23 서구하반기(''24)'!W23+'23 下코모도리그(''24)'!W23</f>
        <v>1</v>
      </c>
      <c r="X23" s="112">
        <f t="shared" si="3"/>
        <v>12</v>
      </c>
    </row>
    <row r="24" spans="1:24" ht="19.5" customHeight="1" x14ac:dyDescent="0.3">
      <c r="A24" s="43" t="s">
        <v>54</v>
      </c>
      <c r="B24" s="52">
        <v>7</v>
      </c>
      <c r="C24" s="45">
        <v>9.0909090909090912E-2</v>
      </c>
      <c r="D24" s="52">
        <v>16</v>
      </c>
      <c r="E24" s="52">
        <v>11</v>
      </c>
      <c r="F24" s="52">
        <v>1</v>
      </c>
      <c r="G24" s="52">
        <v>1</v>
      </c>
      <c r="H24" s="52">
        <v>0</v>
      </c>
      <c r="I24" s="52">
        <v>0</v>
      </c>
      <c r="J24" s="52">
        <v>0</v>
      </c>
      <c r="K24" s="52">
        <v>3</v>
      </c>
      <c r="L24" s="52">
        <v>0</v>
      </c>
      <c r="M24" s="52">
        <v>2</v>
      </c>
      <c r="N24" s="52">
        <v>2</v>
      </c>
      <c r="O24" s="52">
        <v>3</v>
      </c>
      <c r="P24" s="30">
        <v>0.1875</v>
      </c>
      <c r="Q24" s="46">
        <v>9.0909090909090912E-2</v>
      </c>
      <c r="R24" s="46">
        <v>0.1875</v>
      </c>
      <c r="S24" s="58">
        <v>0.27840909090909094</v>
      </c>
      <c r="T24" s="68"/>
      <c r="U24" s="68"/>
      <c r="V24" s="68"/>
      <c r="W24" s="11">
        <f>SUM(W4:W23)</f>
        <v>49</v>
      </c>
      <c r="X24" s="68"/>
    </row>
    <row r="25" spans="1:24" ht="19.5" customHeight="1" x14ac:dyDescent="0.3">
      <c r="A25" s="55" t="s">
        <v>10</v>
      </c>
      <c r="B25" s="55"/>
      <c r="C25" s="56">
        <f>+F25/E25</f>
        <v>0.35570469798657717</v>
      </c>
      <c r="D25" s="55">
        <f t="shared" ref="D25:O25" si="4">SUM(D4:D24)</f>
        <v>565</v>
      </c>
      <c r="E25" s="55">
        <f t="shared" si="4"/>
        <v>447</v>
      </c>
      <c r="F25" s="55">
        <f t="shared" si="4"/>
        <v>159</v>
      </c>
      <c r="G25" s="55">
        <f t="shared" si="4"/>
        <v>118</v>
      </c>
      <c r="H25" s="55">
        <f t="shared" si="4"/>
        <v>30</v>
      </c>
      <c r="I25" s="55">
        <f t="shared" si="4"/>
        <v>8</v>
      </c>
      <c r="J25" s="55">
        <f t="shared" si="4"/>
        <v>3</v>
      </c>
      <c r="K25" s="55">
        <f t="shared" si="4"/>
        <v>163</v>
      </c>
      <c r="L25" s="55">
        <f t="shared" si="4"/>
        <v>134</v>
      </c>
      <c r="M25" s="55">
        <f t="shared" si="4"/>
        <v>129</v>
      </c>
      <c r="N25" s="55">
        <f t="shared" si="4"/>
        <v>99</v>
      </c>
      <c r="O25" s="55">
        <f t="shared" si="4"/>
        <v>106</v>
      </c>
      <c r="P25" s="29">
        <f>+O25/D25</f>
        <v>0.18761061946902655</v>
      </c>
      <c r="Q25" s="56"/>
      <c r="R25" s="56"/>
      <c r="S25" s="57"/>
      <c r="T25" s="68"/>
      <c r="U25" s="68"/>
    </row>
    <row r="27" spans="1:24" ht="17.25" x14ac:dyDescent="0.3">
      <c r="A27" s="4" t="s">
        <v>3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24" ht="51.75" x14ac:dyDescent="0.3">
      <c r="A28" s="10" t="s">
        <v>27</v>
      </c>
      <c r="B28" s="10" t="s">
        <v>46</v>
      </c>
      <c r="C28" s="10" t="s">
        <v>55</v>
      </c>
      <c r="D28" s="10" t="s">
        <v>41</v>
      </c>
      <c r="E28" s="10" t="s">
        <v>48</v>
      </c>
      <c r="F28" s="10" t="s">
        <v>45</v>
      </c>
      <c r="G28" s="10" t="s">
        <v>38</v>
      </c>
      <c r="H28" s="10" t="s">
        <v>5</v>
      </c>
      <c r="I28" s="10" t="s">
        <v>17</v>
      </c>
      <c r="J28" s="10" t="s">
        <v>26</v>
      </c>
      <c r="K28" s="10" t="s">
        <v>30</v>
      </c>
      <c r="L28" s="10" t="s">
        <v>11</v>
      </c>
      <c r="M28" s="10" t="s">
        <v>6</v>
      </c>
      <c r="N28" s="10" t="s">
        <v>42</v>
      </c>
      <c r="O28" s="10" t="s">
        <v>35</v>
      </c>
      <c r="P28" s="10" t="s">
        <v>49</v>
      </c>
      <c r="Q28" s="10" t="s">
        <v>56</v>
      </c>
      <c r="R28" s="10" t="s">
        <v>66</v>
      </c>
      <c r="S28" s="10" t="s">
        <v>90</v>
      </c>
      <c r="T28" s="10" t="s">
        <v>70</v>
      </c>
      <c r="U28" s="10" t="s">
        <v>69</v>
      </c>
      <c r="V28" s="10" t="s">
        <v>68</v>
      </c>
    </row>
    <row r="29" spans="1:24" ht="19.5" customHeight="1" x14ac:dyDescent="0.3">
      <c r="A29" s="10" t="s">
        <v>59</v>
      </c>
      <c r="B29" s="1">
        <f>+'22년 드림즈(23'')'!B29+'23년 상반기 코모도(23'')'!B29+'23년 디비전 리그(23'')'!B29</f>
        <v>10</v>
      </c>
      <c r="C29" s="1">
        <f>+'22년 드림즈(23'')'!C29+'23년 상반기 코모도(23'')'!C29+'23년 디비전 리그(23'')'!C29</f>
        <v>1</v>
      </c>
      <c r="D29" s="1">
        <f>+'22년 드림즈(23'')'!D29+'23년 상반기 코모도(23'')'!D29+'23년 디비전 리그(23'')'!D29</f>
        <v>2</v>
      </c>
      <c r="E29" s="1">
        <f>+'22년 드림즈(23'')'!E29+'23년 상반기 코모도(23'')'!E29+'23년 디비전 리그(23'')'!E29</f>
        <v>0</v>
      </c>
      <c r="F29" s="1">
        <f>+'22년 드림즈(23'')'!F29+'23년 상반기 코모도(23'')'!F29+'23년 디비전 리그(23'')'!F29</f>
        <v>71</v>
      </c>
      <c r="G29" s="1">
        <f>+'22년 드림즈(23'')'!G29+'23년 상반기 코모도(23'')'!G29+'23년 디비전 리그(23'')'!G29</f>
        <v>40</v>
      </c>
      <c r="H29" s="6">
        <f>+'22년 드림즈(23'')'!H29+'23년 상반기 코모도(23'')'!H29+'23년 디비전 리그(23'')'!H29</f>
        <v>6.3333266660000005</v>
      </c>
      <c r="I29" s="1">
        <f>+'22년 드림즈(23'')'!I29+'23년 상반기 코모도(23'')'!I29+'23년 디비전 리그(23'')'!I29</f>
        <v>15</v>
      </c>
      <c r="J29" s="1">
        <f>+'22년 드림즈(23'')'!J29+'23년 상반기 코모도(23'')'!J29+'23년 디비전 리그(23'')'!J29</f>
        <v>0</v>
      </c>
      <c r="K29" s="1">
        <f>+'22년 드림즈(23'')'!K29+'23년 상반기 코모도(23'')'!K29+'23년 디비전 리그(23'')'!K29</f>
        <v>27</v>
      </c>
      <c r="L29" s="1">
        <f>+'22년 드림즈(23'')'!L29+'23년 상반기 코모도(23'')'!L29+'23년 디비전 리그(23'')'!L29</f>
        <v>4</v>
      </c>
      <c r="M29" s="1">
        <f>+'22년 드림즈(23'')'!M29+'23년 상반기 코모도(23'')'!M29+'23년 디비전 리그(23'')'!M29</f>
        <v>4</v>
      </c>
      <c r="N29" s="1">
        <f>+'22년 드림즈(23'')'!N29+'23년 상반기 코모도(23'')'!N29+'23년 디비전 리그(23'')'!N29</f>
        <v>33</v>
      </c>
      <c r="O29" s="1">
        <f>+'22년 드림즈(23'')'!O29+'23년 상반기 코모도(23'')'!O29+'23년 디비전 리그(23'')'!O29</f>
        <v>19</v>
      </c>
      <c r="P29" s="3">
        <f>+O29*9/H29</f>
        <v>27.000028423924658</v>
      </c>
      <c r="Q29" s="38">
        <f>(K29+L29)/H29</f>
        <v>4.8947419949804933</v>
      </c>
      <c r="R29" s="39">
        <f>I29/H29</f>
        <v>2.3684235459583034</v>
      </c>
      <c r="S29" s="39">
        <f>H29/B29</f>
        <v>0.63333266660000009</v>
      </c>
      <c r="T29" s="40">
        <f>M29/H29</f>
        <v>0.6315796122555476</v>
      </c>
      <c r="U29" s="33">
        <f>O29/N29</f>
        <v>0.5757575757575758</v>
      </c>
      <c r="V29" s="38">
        <f>(I29+K29+L29)/H29</f>
        <v>7.2631655409387967</v>
      </c>
      <c r="X29" s="131">
        <f>+(L29+K29)/F29*100</f>
        <v>43.661971830985912</v>
      </c>
    </row>
    <row r="30" spans="1:24" ht="19.5" customHeight="1" x14ac:dyDescent="0.3">
      <c r="A30" s="10" t="s">
        <v>94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6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3"/>
      <c r="Q30" s="38"/>
      <c r="R30" s="39"/>
      <c r="S30" s="39"/>
      <c r="T30" s="40"/>
      <c r="U30" s="33"/>
      <c r="V30" s="38"/>
      <c r="X30" s="131"/>
    </row>
    <row r="31" spans="1:24" ht="19.5" customHeight="1" x14ac:dyDescent="0.3">
      <c r="A31" s="10" t="s">
        <v>51</v>
      </c>
      <c r="B31" s="1">
        <f>+'22년 드림즈(23'')'!B30+'23년 상반기 코모도(23'')'!B30+'23년 디비전 리그(23'')'!B30</f>
        <v>9</v>
      </c>
      <c r="C31" s="1">
        <f>+'22년 드림즈(23'')'!C30+'23년 상반기 코모도(23'')'!C30+'23년 디비전 리그(23'')'!C30</f>
        <v>1</v>
      </c>
      <c r="D31" s="1">
        <f>+'22년 드림즈(23'')'!D30+'23년 상반기 코모도(23'')'!D30+'23년 디비전 리그(23'')'!D30</f>
        <v>2</v>
      </c>
      <c r="E31" s="1">
        <f>+'22년 드림즈(23'')'!E30+'23년 상반기 코모도(23'')'!E30+'23년 디비전 리그(23'')'!E30</f>
        <v>0</v>
      </c>
      <c r="F31" s="1">
        <f>+'22년 드림즈(23'')'!F30+'23년 상반기 코모도(23'')'!F30+'23년 디비전 리그(23'')'!F30</f>
        <v>113</v>
      </c>
      <c r="G31" s="1">
        <f>+'22년 드림즈(23'')'!G30+'23년 상반기 코모도(23'')'!G30+'23년 디비전 리그(23'')'!G30</f>
        <v>85</v>
      </c>
      <c r="H31" s="6">
        <f>+'22년 드림즈(23'')'!H30+'23년 상반기 코모도(23'')'!H30+'23년 디비전 리그(23'')'!H30</f>
        <v>12.66663333</v>
      </c>
      <c r="I31" s="1">
        <f>+'22년 드림즈(23'')'!I30+'23년 상반기 코모도(23'')'!I30+'23년 디비전 리그(23'')'!I30</f>
        <v>33</v>
      </c>
      <c r="J31" s="1">
        <f>+'22년 드림즈(23'')'!J30+'23년 상반기 코모도(23'')'!J30+'23년 디비전 리그(23'')'!J30</f>
        <v>3</v>
      </c>
      <c r="K31" s="1">
        <f>+'22년 드림즈(23'')'!K30+'23년 상반기 코모도(23'')'!K30+'23년 디비전 리그(23'')'!K30</f>
        <v>23</v>
      </c>
      <c r="L31" s="1">
        <f>+'22년 드림즈(23'')'!L30+'23년 상반기 코모도(23'')'!L30+'23년 디비전 리그(23'')'!L30</f>
        <v>5</v>
      </c>
      <c r="M31" s="1">
        <f>+'22년 드림즈(23'')'!M30+'23년 상반기 코모도(23'')'!M30+'23년 디비전 리그(23'')'!M30</f>
        <v>11</v>
      </c>
      <c r="N31" s="1">
        <f>+'22년 드림즈(23'')'!N30+'23년 상반기 코모도(23'')'!N30+'23년 디비전 리그(23'')'!N30</f>
        <v>48</v>
      </c>
      <c r="O31" s="1">
        <f>+'22년 드림즈(23'')'!O30+'23년 상반기 코모도(23'')'!O30+'23년 디비전 리그(23'')'!O30</f>
        <v>32</v>
      </c>
      <c r="P31" s="3">
        <f t="shared" ref="P31:P37" si="5">+O31*9/H31</f>
        <v>22.73690194519904</v>
      </c>
      <c r="Q31" s="38">
        <f t="shared" ref="Q31:Q36" si="6">(K31+L31)/H31</f>
        <v>2.210532133561018</v>
      </c>
      <c r="R31" s="39">
        <f t="shared" ref="R31:R36" si="7">I31/H31</f>
        <v>2.6052700145540566</v>
      </c>
      <c r="S31" s="39">
        <f t="shared" ref="S31:S36" si="8">H31/B31</f>
        <v>1.4074037033333333</v>
      </c>
      <c r="T31" s="40">
        <f t="shared" ref="T31:T36" si="9">M31/H31</f>
        <v>0.86842333818468553</v>
      </c>
      <c r="U31" s="33">
        <f>O31/N31</f>
        <v>0.66666666666666663</v>
      </c>
      <c r="V31" s="38">
        <f t="shared" ref="V31:V36" si="10">(I31+K31+L31)/H31</f>
        <v>4.8158021481150746</v>
      </c>
      <c r="X31" s="131">
        <f t="shared" ref="X31:X36" si="11">+(L31+K31)/F31*100</f>
        <v>24.778761061946902</v>
      </c>
    </row>
    <row r="32" spans="1:24" ht="19.5" customHeight="1" x14ac:dyDescent="0.3">
      <c r="A32" s="10" t="s">
        <v>15</v>
      </c>
      <c r="B32" s="1">
        <f>+'22년 드림즈(23'')'!B31+'23년 상반기 코모도(23'')'!B31+'23년 디비전 리그(23'')'!B31</f>
        <v>15</v>
      </c>
      <c r="C32" s="1">
        <f>+'22년 드림즈(23'')'!C31+'23년 상반기 코모도(23'')'!C31+'23년 디비전 리그(23'')'!C31</f>
        <v>1</v>
      </c>
      <c r="D32" s="1">
        <f>+'22년 드림즈(23'')'!D31+'23년 상반기 코모도(23'')'!D31+'23년 디비전 리그(23'')'!D31</f>
        <v>3</v>
      </c>
      <c r="E32" s="1">
        <f>+'22년 드림즈(23'')'!E31+'23년 상반기 코모도(23'')'!E31+'23년 디비전 리그(23'')'!E31</f>
        <v>1</v>
      </c>
      <c r="F32" s="1">
        <f>+'22년 드림즈(23'')'!F31+'23년 상반기 코모도(23'')'!F31+'23년 디비전 리그(23'')'!F31</f>
        <v>115</v>
      </c>
      <c r="G32" s="1">
        <f>+'22년 드림즈(23'')'!G31+'23년 상반기 코모도(23'')'!G31+'23년 디비전 리그(23'')'!G31</f>
        <v>97</v>
      </c>
      <c r="H32" s="6">
        <f>+'22년 드림즈(23'')'!H31+'23년 상반기 코모도(23'')'!H31+'23년 디비전 리그(23'')'!H31</f>
        <v>19.999933333329999</v>
      </c>
      <c r="I32" s="132">
        <f>+'22년 드림즈(23'')'!I31+'23년 상반기 코모도(23'')'!I31+'23년 디비전 리그(23'')'!I31</f>
        <v>29</v>
      </c>
      <c r="J32" s="132">
        <f>+'22년 드림즈(23'')'!J31+'23년 상반기 코모도(23'')'!J31+'23년 디비전 리그(23'')'!J31</f>
        <v>0</v>
      </c>
      <c r="K32" s="132">
        <f>+'22년 드림즈(23'')'!K31+'23년 상반기 코모도(23'')'!K31+'23년 디비전 리그(23'')'!K31</f>
        <v>14</v>
      </c>
      <c r="L32" s="132">
        <f>+'22년 드림즈(23'')'!L31+'23년 상반기 코모도(23'')'!L31+'23년 디비전 리그(23'')'!L31</f>
        <v>4</v>
      </c>
      <c r="M32" s="132">
        <f>+'22년 드림즈(23'')'!M31+'23년 상반기 코모도(23'')'!M31+'23년 디비전 리그(23'')'!M31</f>
        <v>34</v>
      </c>
      <c r="N32" s="132">
        <f>+'22년 드림즈(23'')'!N31+'23년 상반기 코모도(23'')'!N31+'23년 디비전 리그(23'')'!N31</f>
        <v>29</v>
      </c>
      <c r="O32" s="132">
        <f>+'22년 드림즈(23'')'!O31+'23년 상반기 코모도(23'')'!O31+'23년 디비전 리그(23'')'!O31</f>
        <v>16</v>
      </c>
      <c r="P32" s="3">
        <f t="shared" si="5"/>
        <v>7.2000240000812008</v>
      </c>
      <c r="Q32" s="38">
        <f t="shared" si="6"/>
        <v>0.9000030000101501</v>
      </c>
      <c r="R32" s="39">
        <f t="shared" si="7"/>
        <v>1.4500048333496862</v>
      </c>
      <c r="S32" s="39">
        <f t="shared" si="8"/>
        <v>1.3333288888886665</v>
      </c>
      <c r="T32" s="40">
        <f t="shared" si="9"/>
        <v>1.700005666685839</v>
      </c>
      <c r="U32" s="33">
        <f>O32/N32</f>
        <v>0.55172413793103448</v>
      </c>
      <c r="V32" s="38">
        <f t="shared" si="10"/>
        <v>2.3500078333598364</v>
      </c>
      <c r="X32" s="131">
        <f t="shared" si="11"/>
        <v>15.65217391304348</v>
      </c>
    </row>
    <row r="33" spans="1:24" ht="19.5" customHeight="1" x14ac:dyDescent="0.3">
      <c r="A33" s="10" t="s">
        <v>50</v>
      </c>
      <c r="B33" s="1">
        <f>+'22년 드림즈(23'')'!B32+'23년 상반기 코모도(23'')'!B32+'23년 디비전 리그(23'')'!B32</f>
        <v>9</v>
      </c>
      <c r="C33" s="1">
        <f>+'22년 드림즈(23'')'!C32+'23년 상반기 코모도(23'')'!C32+'23년 디비전 리그(23'')'!C32</f>
        <v>0</v>
      </c>
      <c r="D33" s="1">
        <f>+'22년 드림즈(23'')'!D32+'23년 상반기 코모도(23'')'!D32+'23년 디비전 리그(23'')'!D32</f>
        <v>3</v>
      </c>
      <c r="E33" s="1">
        <f>+'22년 드림즈(23'')'!E32+'23년 상반기 코모도(23'')'!E32+'23년 디비전 리그(23'')'!E32</f>
        <v>0</v>
      </c>
      <c r="F33" s="1">
        <f>+'22년 드림즈(23'')'!F32+'23년 상반기 코모도(23'')'!F32+'23년 디비전 리그(23'')'!F32</f>
        <v>127</v>
      </c>
      <c r="G33" s="1">
        <f>+'22년 드림즈(23'')'!G32+'23년 상반기 코모도(23'')'!G32+'23년 디비전 리그(23'')'!G32</f>
        <v>92</v>
      </c>
      <c r="H33" s="6">
        <f>+'22년 드림즈(23'')'!H32+'23년 상반기 코모도(23'')'!H32+'23년 디비전 리그(23'')'!H32</f>
        <v>16.3332666666</v>
      </c>
      <c r="I33" s="1">
        <f>+'22년 드림즈(23'')'!I32+'23년 상반기 코모도(23'')'!I32+'23년 디비전 리그(23'')'!I32</f>
        <v>37</v>
      </c>
      <c r="J33" s="1">
        <f>+'22년 드림즈(23'')'!J32+'23년 상반기 코모도(23'')'!J32+'23년 디비전 리그(23'')'!J32</f>
        <v>2</v>
      </c>
      <c r="K33" s="1">
        <f>+'22년 드림즈(23'')'!K32+'23년 상반기 코모도(23'')'!K32+'23년 디비전 리그(23'')'!K32</f>
        <v>32</v>
      </c>
      <c r="L33" s="1">
        <f>+'22년 드림즈(23'')'!L32+'23년 상반기 코모도(23'')'!L32+'23년 디비전 리그(23'')'!L32</f>
        <v>3</v>
      </c>
      <c r="M33" s="1">
        <f>+'22년 드림즈(23'')'!M32+'23년 상반기 코모도(23'')'!M32+'23년 디비전 리그(23'')'!M32</f>
        <v>19</v>
      </c>
      <c r="N33" s="1">
        <f>+'22년 드림즈(23'')'!N32+'23년 상반기 코모도(23'')'!N32+'23년 디비전 리그(23'')'!N32</f>
        <v>52</v>
      </c>
      <c r="O33" s="1">
        <f>+'22년 드림즈(23'')'!O32+'23년 상반기 코모도(23'')'!O32+'23년 디비전 리그(23'')'!O32</f>
        <v>36</v>
      </c>
      <c r="P33" s="3">
        <f t="shared" si="5"/>
        <v>19.83681566055305</v>
      </c>
      <c r="Q33" s="38">
        <f t="shared" si="6"/>
        <v>2.1428658892572741</v>
      </c>
      <c r="R33" s="39">
        <f t="shared" si="7"/>
        <v>2.265315368643404</v>
      </c>
      <c r="S33" s="39">
        <f t="shared" si="8"/>
        <v>1.8148074074</v>
      </c>
      <c r="T33" s="40">
        <f t="shared" si="9"/>
        <v>1.1632700541682344</v>
      </c>
      <c r="U33" s="33">
        <f>O33/N33</f>
        <v>0.69230769230769229</v>
      </c>
      <c r="V33" s="38">
        <f t="shared" si="10"/>
        <v>4.4081812579006776</v>
      </c>
      <c r="X33" s="131">
        <f t="shared" si="11"/>
        <v>27.559055118110237</v>
      </c>
    </row>
    <row r="34" spans="1:24" ht="19.5" customHeight="1" x14ac:dyDescent="0.3">
      <c r="A34" s="10" t="s">
        <v>33</v>
      </c>
      <c r="B34" s="1">
        <f>+'23년 디비전 리그(23'')'!B33</f>
        <v>1</v>
      </c>
      <c r="C34" s="1">
        <f>+'23년 디비전 리그(23'')'!C33</f>
        <v>0</v>
      </c>
      <c r="D34" s="1">
        <f>+'23년 디비전 리그(23'')'!D33</f>
        <v>0</v>
      </c>
      <c r="E34" s="1">
        <f>+'23년 디비전 리그(23'')'!E33</f>
        <v>0</v>
      </c>
      <c r="F34" s="1">
        <f>+'23년 디비전 리그(23'')'!F33</f>
        <v>3</v>
      </c>
      <c r="G34" s="1">
        <f>+'23년 디비전 리그(23'')'!G33</f>
        <v>2</v>
      </c>
      <c r="H34" s="6">
        <f>+'23년 디비전 리그(23'')'!H33</f>
        <v>0.3333333</v>
      </c>
      <c r="I34" s="1">
        <f>+'23년 디비전 리그(23'')'!I33</f>
        <v>1</v>
      </c>
      <c r="J34" s="1">
        <f>+'23년 디비전 리그(23'')'!J33</f>
        <v>0</v>
      </c>
      <c r="K34" s="1">
        <f>+'23년 디비전 리그(23'')'!K33</f>
        <v>1</v>
      </c>
      <c r="L34" s="1">
        <f>+'23년 디비전 리그(23'')'!L33</f>
        <v>0</v>
      </c>
      <c r="M34" s="1">
        <f>+'23년 디비전 리그(23'')'!M33</f>
        <v>1</v>
      </c>
      <c r="N34" s="1">
        <f>+'23년 디비전 리그(23'')'!N33</f>
        <v>0</v>
      </c>
      <c r="O34" s="1">
        <f>+'23년 디비전 리그(23'')'!O33</f>
        <v>0</v>
      </c>
      <c r="P34" s="3">
        <f t="shared" si="5"/>
        <v>0</v>
      </c>
      <c r="Q34" s="38">
        <f t="shared" si="6"/>
        <v>3.0000003000000302</v>
      </c>
      <c r="R34" s="39">
        <f t="shared" si="7"/>
        <v>3.0000003000000302</v>
      </c>
      <c r="S34" s="39">
        <f t="shared" si="8"/>
        <v>0.3333333</v>
      </c>
      <c r="T34" s="40">
        <f t="shared" si="9"/>
        <v>3.0000003000000302</v>
      </c>
      <c r="U34" s="33"/>
      <c r="V34" s="38">
        <f t="shared" si="10"/>
        <v>6.0000006000000603</v>
      </c>
      <c r="X34" s="131">
        <f t="shared" si="11"/>
        <v>33.333333333333329</v>
      </c>
    </row>
    <row r="35" spans="1:24" ht="19.5" customHeight="1" x14ac:dyDescent="0.3">
      <c r="A35" s="10" t="s">
        <v>47</v>
      </c>
      <c r="B35" s="1">
        <f>+'22년 드림즈(23'')'!B33+'23년 상반기 코모도(23'')'!B33+'23년 디비전 리그(23'')'!B34</f>
        <v>3</v>
      </c>
      <c r="C35" s="1">
        <f>+'22년 드림즈(23'')'!C33+'23년 상반기 코모도(23'')'!C33+'23년 디비전 리그(23'')'!C34</f>
        <v>0</v>
      </c>
      <c r="D35" s="1">
        <f>+'22년 드림즈(23'')'!D33+'23년 상반기 코모도(23'')'!D33+'23년 디비전 리그(23'')'!D34</f>
        <v>2</v>
      </c>
      <c r="E35" s="1">
        <f>+'22년 드림즈(23'')'!E33+'23년 상반기 코모도(23'')'!E33+'23년 디비전 리그(23'')'!E34</f>
        <v>0</v>
      </c>
      <c r="F35" s="1">
        <f>+'22년 드림즈(23'')'!F33+'23년 상반기 코모도(23'')'!F33+'23년 디비전 리그(23'')'!F34</f>
        <v>53</v>
      </c>
      <c r="G35" s="1">
        <f>+'22년 드림즈(23'')'!G33+'23년 상반기 코모도(23'')'!G33+'23년 디비전 리그(23'')'!G34</f>
        <v>27</v>
      </c>
      <c r="H35" s="6">
        <f>+'22년 드림즈(23'')'!H33+'23년 상반기 코모도(23'')'!H33+'23년 디비전 리그(23'')'!H34</f>
        <v>5.9999666666000007</v>
      </c>
      <c r="I35" s="1">
        <f>+'22년 드림즈(23'')'!I33+'23년 상반기 코모도(23'')'!I33+'23년 디비전 리그(23'')'!I34</f>
        <v>7</v>
      </c>
      <c r="J35" s="1">
        <f>+'22년 드림즈(23'')'!J33+'23년 상반기 코모도(23'')'!J33+'23년 디비전 리그(23'')'!J34</f>
        <v>1</v>
      </c>
      <c r="K35" s="1">
        <f>+'22년 드림즈(23'')'!K33+'23년 상반기 코모도(23'')'!K33+'23년 디비전 리그(23'')'!K34</f>
        <v>26</v>
      </c>
      <c r="L35" s="1">
        <f>+'22년 드림즈(23'')'!L33+'23년 상반기 코모도(23'')'!L33+'23년 디비전 리그(23'')'!L34</f>
        <v>0</v>
      </c>
      <c r="M35" s="1">
        <f>+'22년 드림즈(23'')'!M33+'23년 상반기 코모도(23'')'!M33+'23년 디비전 리그(23'')'!M34</f>
        <v>3</v>
      </c>
      <c r="N35" s="1">
        <f>+'22년 드림즈(23'')'!N33+'23년 상반기 코모도(23'')'!N33+'23년 디비전 리그(23'')'!N34</f>
        <v>25</v>
      </c>
      <c r="O35" s="1">
        <f>+'22년 드림즈(23'')'!O33+'23년 상반기 코모도(23'')'!O33+'23년 디비전 리그(23'')'!O34</f>
        <v>13</v>
      </c>
      <c r="P35" s="3">
        <f t="shared" si="5"/>
        <v>19.500108334151854</v>
      </c>
      <c r="Q35" s="38">
        <f t="shared" si="6"/>
        <v>4.3333574075893013</v>
      </c>
      <c r="R35" s="39">
        <f t="shared" si="7"/>
        <v>1.1666731481971195</v>
      </c>
      <c r="S35" s="39">
        <f t="shared" si="8"/>
        <v>1.9999888888666668</v>
      </c>
      <c r="T35" s="40">
        <f t="shared" si="9"/>
        <v>0.50000277779876556</v>
      </c>
      <c r="U35" s="33">
        <f>O35/N35</f>
        <v>0.52</v>
      </c>
      <c r="V35" s="38">
        <f t="shared" si="10"/>
        <v>5.5000305557864211</v>
      </c>
      <c r="X35" s="131">
        <f t="shared" si="11"/>
        <v>49.056603773584904</v>
      </c>
    </row>
    <row r="36" spans="1:24" ht="19.5" customHeight="1" x14ac:dyDescent="0.3">
      <c r="A36" s="10" t="s">
        <v>22</v>
      </c>
      <c r="B36" s="1">
        <f>+'22년 드림즈(23'')'!B34+'23년 상반기 코모도(23'')'!B34+'23년 디비전 리그(23'')'!B35</f>
        <v>15</v>
      </c>
      <c r="C36" s="1">
        <f>+'22년 드림즈(23'')'!C34+'23년 상반기 코모도(23'')'!C34+'23년 디비전 리그(23'')'!C35</f>
        <v>3</v>
      </c>
      <c r="D36" s="1">
        <f>+'22년 드림즈(23'')'!D34+'23년 상반기 코모도(23'')'!D34+'23년 디비전 리그(23'')'!D35</f>
        <v>4</v>
      </c>
      <c r="E36" s="1">
        <f>+'22년 드림즈(23'')'!E34+'23년 상반기 코모도(23'')'!E34+'23년 디비전 리그(23'')'!E35</f>
        <v>2</v>
      </c>
      <c r="F36" s="1">
        <f>+'22년 드림즈(23'')'!F34+'23년 상반기 코모도(23'')'!F34+'23년 디비전 리그(23'')'!F35</f>
        <v>210</v>
      </c>
      <c r="G36" s="1">
        <f>+'22년 드림즈(23'')'!G34+'23년 상반기 코모도(23'')'!G34+'23년 디비전 리그(23'')'!G35</f>
        <v>158</v>
      </c>
      <c r="H36" s="6">
        <f>+'22년 드림즈(23'')'!H34+'23년 상반기 코모도(23'')'!H34+'23년 디비전 리그(23'')'!H35</f>
        <v>28.999966662999999</v>
      </c>
      <c r="I36" s="1">
        <f>+'22년 드림즈(23'')'!I34+'23년 상반기 코모도(23'')'!I34+'23년 디비전 리그(23'')'!I35</f>
        <v>62</v>
      </c>
      <c r="J36" s="1">
        <f>+'22년 드림즈(23'')'!J34+'23년 상반기 코모도(23'')'!J34+'23년 디비전 리그(23'')'!J35</f>
        <v>1</v>
      </c>
      <c r="K36" s="1">
        <f>+'22년 드림즈(23'')'!K34+'23년 상반기 코모도(23'')'!K34+'23년 디비전 리그(23'')'!K35</f>
        <v>44</v>
      </c>
      <c r="L36" s="1">
        <f>+'22년 드림즈(23'')'!L34+'23년 상반기 코모도(23'')'!L34+'23년 디비전 리그(23'')'!L35</f>
        <v>8</v>
      </c>
      <c r="M36" s="1">
        <f>+'22년 드림즈(23'')'!M34+'23년 상반기 코모도(23'')'!M34+'23년 디비전 리그(23'')'!M35</f>
        <v>31</v>
      </c>
      <c r="N36" s="1">
        <f>+'22년 드림즈(23'')'!N34+'23년 상반기 코모도(23'')'!N34+'23년 디비전 리그(23'')'!N35</f>
        <v>83</v>
      </c>
      <c r="O36" s="1">
        <f>+'22년 드림즈(23'')'!O34+'23년 상반기 코모도(23'')'!O34+'23년 디비전 리그(23'')'!O35</f>
        <v>70</v>
      </c>
      <c r="P36" s="3">
        <f t="shared" si="5"/>
        <v>21.724162904083407</v>
      </c>
      <c r="Q36" s="38">
        <f t="shared" si="6"/>
        <v>1.7931055095433923</v>
      </c>
      <c r="R36" s="39">
        <f t="shared" si="7"/>
        <v>2.1379334921478907</v>
      </c>
      <c r="S36" s="39">
        <f t="shared" si="8"/>
        <v>1.9333311108666666</v>
      </c>
      <c r="T36" s="40">
        <f t="shared" si="9"/>
        <v>1.0689667460739454</v>
      </c>
      <c r="U36" s="33">
        <f>O36/N36</f>
        <v>0.84337349397590367</v>
      </c>
      <c r="V36" s="38">
        <f t="shared" si="10"/>
        <v>3.9310390016912828</v>
      </c>
      <c r="X36" s="131">
        <f t="shared" si="11"/>
        <v>24.761904761904763</v>
      </c>
    </row>
    <row r="37" spans="1:24" ht="19.5" customHeight="1" x14ac:dyDescent="0.3">
      <c r="A37" s="11" t="s">
        <v>10</v>
      </c>
      <c r="B37" s="11"/>
      <c r="C37" s="11">
        <f>SUM(C29:C36)</f>
        <v>6</v>
      </c>
      <c r="D37" s="11">
        <f t="shared" ref="D37:O37" si="12">SUM(D29:D36)</f>
        <v>16</v>
      </c>
      <c r="E37" s="11">
        <f t="shared" si="12"/>
        <v>3</v>
      </c>
      <c r="F37" s="11">
        <f t="shared" si="12"/>
        <v>692</v>
      </c>
      <c r="G37" s="11">
        <f t="shared" si="12"/>
        <v>501</v>
      </c>
      <c r="H37" s="15">
        <f t="shared" si="12"/>
        <v>90.666426625530008</v>
      </c>
      <c r="I37" s="11">
        <f t="shared" si="12"/>
        <v>184</v>
      </c>
      <c r="J37" s="11">
        <f t="shared" si="12"/>
        <v>7</v>
      </c>
      <c r="K37" s="11">
        <f t="shared" si="12"/>
        <v>167</v>
      </c>
      <c r="L37" s="11">
        <f t="shared" si="12"/>
        <v>24</v>
      </c>
      <c r="M37" s="11">
        <f t="shared" si="12"/>
        <v>103</v>
      </c>
      <c r="N37" s="11">
        <f t="shared" si="12"/>
        <v>270</v>
      </c>
      <c r="O37" s="11">
        <f t="shared" si="12"/>
        <v>186</v>
      </c>
      <c r="P37" s="16">
        <f t="shared" si="5"/>
        <v>18.463284175893971</v>
      </c>
      <c r="Q37" s="34">
        <f t="shared" ref="Q37" si="13">(K37+L37)/H37</f>
        <v>2.1066232243702201</v>
      </c>
      <c r="R37" s="35">
        <f t="shared" ref="R37" si="14">I37/H37</f>
        <v>2.0294171376131964</v>
      </c>
      <c r="S37" s="35">
        <v>0</v>
      </c>
      <c r="T37" s="36">
        <f t="shared" ref="T37" si="15">M37/H37</f>
        <v>1.1360324194247784</v>
      </c>
      <c r="U37" s="37">
        <f t="shared" ref="U37" si="16">O37/N37</f>
        <v>0.68888888888888888</v>
      </c>
      <c r="V37" s="34">
        <f t="shared" ref="V37" si="17">(I37+K37+L37)/H37</f>
        <v>4.1360403619834161</v>
      </c>
    </row>
  </sheetData>
  <sortState xmlns:xlrd2="http://schemas.microsoft.com/office/spreadsheetml/2017/richdata2" ref="A4:U24">
    <sortCondition ref="A4:A24"/>
  </sortState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0366D-7BD3-4BA8-979B-9833C4F017F4}">
  <sheetPr>
    <tabColor rgb="FF92D050"/>
  </sheetPr>
  <dimension ref="A1:AA41"/>
  <sheetViews>
    <sheetView showGridLines="0" zoomScale="70" zoomScaleNormal="70" zoomScaleSheetLayoutView="75" workbookViewId="0">
      <selection activeCell="D16" sqref="D16"/>
    </sheetView>
  </sheetViews>
  <sheetFormatPr defaultColWidth="9" defaultRowHeight="16.5" x14ac:dyDescent="0.3"/>
  <cols>
    <col min="1" max="14" width="8.75" customWidth="1"/>
    <col min="15" max="18" width="8.875" customWidth="1"/>
    <col min="19" max="19" width="10.875" customWidth="1"/>
    <col min="20" max="21" width="9" customWidth="1"/>
    <col min="23" max="23" width="9" hidden="1" customWidth="1"/>
    <col min="24" max="24" width="11.375" customWidth="1"/>
    <col min="25" max="25" width="2.625" customWidth="1"/>
    <col min="26" max="27" width="12.625" style="80" customWidth="1"/>
    <col min="28" max="28" width="12.625" customWidth="1"/>
    <col min="29" max="31" width="11.5" customWidth="1"/>
    <col min="33" max="33" width="9" customWidth="1"/>
  </cols>
  <sheetData>
    <row r="1" spans="1:27" ht="26.25" x14ac:dyDescent="0.3">
      <c r="A1" s="24" t="s">
        <v>144</v>
      </c>
    </row>
    <row r="2" spans="1:27" ht="17.25" x14ac:dyDescent="0.3">
      <c r="A2" s="4" t="s">
        <v>137</v>
      </c>
    </row>
    <row r="3" spans="1:27" ht="34.5" x14ac:dyDescent="0.3">
      <c r="A3" s="43" t="s">
        <v>27</v>
      </c>
      <c r="B3" s="43" t="s">
        <v>46</v>
      </c>
      <c r="C3" s="43" t="s">
        <v>57</v>
      </c>
      <c r="D3" s="43" t="s">
        <v>19</v>
      </c>
      <c r="E3" s="43" t="s">
        <v>38</v>
      </c>
      <c r="F3" s="43" t="s">
        <v>53</v>
      </c>
      <c r="G3" s="43" t="s">
        <v>79</v>
      </c>
      <c r="H3" s="43" t="s">
        <v>72</v>
      </c>
      <c r="I3" s="43" t="s">
        <v>0</v>
      </c>
      <c r="J3" s="43" t="s">
        <v>82</v>
      </c>
      <c r="K3" s="43" t="s">
        <v>31</v>
      </c>
      <c r="L3" s="43" t="s">
        <v>36</v>
      </c>
      <c r="M3" s="43" t="s">
        <v>40</v>
      </c>
      <c r="N3" s="43" t="s">
        <v>29</v>
      </c>
      <c r="O3" s="43" t="s">
        <v>58</v>
      </c>
      <c r="P3" s="10" t="s">
        <v>96</v>
      </c>
      <c r="Q3" s="43" t="s">
        <v>43</v>
      </c>
      <c r="R3" s="43" t="s">
        <v>37</v>
      </c>
      <c r="S3" s="43" t="s">
        <v>83</v>
      </c>
      <c r="T3" s="10" t="s">
        <v>95</v>
      </c>
      <c r="U3" s="10" t="s">
        <v>115</v>
      </c>
      <c r="V3" s="10" t="s">
        <v>86</v>
      </c>
      <c r="W3" s="10" t="s">
        <v>88</v>
      </c>
      <c r="X3" s="10" t="s">
        <v>116</v>
      </c>
    </row>
    <row r="4" spans="1:27" ht="19.5" customHeight="1" x14ac:dyDescent="0.3">
      <c r="A4" s="43" t="s">
        <v>59</v>
      </c>
      <c r="B4" s="52">
        <f>+'23 서구하반기(''24)'!B4+'23 下코모도리그(''24)'!B4+'24 上코모도리그(''24)'!B4+'24 上디비전리그(''24)'!B4</f>
        <v>14</v>
      </c>
      <c r="C4" s="111">
        <f t="shared" ref="C4:C23" si="0">+F4/E4</f>
        <v>0.15</v>
      </c>
      <c r="D4" s="52">
        <f>+'23 서구하반기(''24)'!D4+'23 下코모도리그(''24)'!D4+'24 上코모도리그(''24)'!D4+'24 上디비전리그(''24)'!D4</f>
        <v>24</v>
      </c>
      <c r="E4" s="52">
        <f>+'23 서구하반기(''24)'!E4+'23 下코모도리그(''24)'!E4+'24 上코모도리그(''24)'!E4+'24 上디비전리그(''24)'!E4</f>
        <v>20</v>
      </c>
      <c r="F4" s="52">
        <f>+'23 서구하반기(''24)'!F4+'23 下코모도리그(''24)'!F4+'24 上코모도리그(''24)'!F4+'24 上디비전리그(''24)'!F4</f>
        <v>3</v>
      </c>
      <c r="G4" s="52">
        <f>+'23 서구하반기(''24)'!G4+'23 下코모도리그(''24)'!G4+'24 上코모도리그(''24)'!G4+'24 上디비전리그(''24)'!G4</f>
        <v>2</v>
      </c>
      <c r="H4" s="52">
        <f>+'23 서구하반기(''24)'!H4+'23 下코모도리그(''24)'!H4+'24 上코모도리그(''24)'!H4+'24 上디비전리그(''24)'!H4</f>
        <v>0</v>
      </c>
      <c r="I4" s="52">
        <f>+'23 서구하반기(''24)'!I4+'23 下코모도리그(''24)'!I4+'24 上코모도리그(''24)'!I4+'24 上디비전리그(''24)'!I4</f>
        <v>1</v>
      </c>
      <c r="J4" s="52">
        <f>+'23 서구하반기(''24)'!J4+'23 下코모도리그(''24)'!J4+'24 上코모도리그(''24)'!J4+'24 上디비전리그(''24)'!J4</f>
        <v>0</v>
      </c>
      <c r="K4" s="52">
        <f>+'23 서구하반기(''24)'!K4+'23 下코모도리그(''24)'!K4+'24 上코모도리그(''24)'!K4+'24 上디비전리그(''24)'!K4</f>
        <v>8</v>
      </c>
      <c r="L4" s="52">
        <f>+'23 서구하반기(''24)'!L4+'23 下코모도리그(''24)'!L4+'24 上코모도리그(''24)'!L4+'24 上디비전리그(''24)'!L4</f>
        <v>4</v>
      </c>
      <c r="M4" s="52">
        <f>+'23 서구하반기(''24)'!M4+'23 下코모도리그(''24)'!M4+'24 上코모도리그(''24)'!M4+'24 上디비전리그(''24)'!M4</f>
        <v>9</v>
      </c>
      <c r="N4" s="52">
        <f>+'23 서구하반기(''24)'!N4+'23 下코모도리그(''24)'!N4+'24 上코모도리그(''24)'!N4+'24 上디비전리그(''24)'!N4</f>
        <v>4</v>
      </c>
      <c r="O4" s="52">
        <f>+'23 서구하반기(''24)'!O4+'23 下코모도리그(''24)'!O4+'24 上코모도리그(''24)'!O4+'24 上디비전리그(''24)'!O4</f>
        <v>10</v>
      </c>
      <c r="P4" s="100">
        <f t="shared" ref="P4:P23" si="1">+O4/D4</f>
        <v>0.41666666666666669</v>
      </c>
      <c r="Q4" s="46">
        <f t="shared" ref="Q4:Q23" si="2">+(G4*1+H4*2+I4*3+J4*4)/E4</f>
        <v>0.25</v>
      </c>
      <c r="R4" s="46">
        <f t="shared" ref="R4:R23" si="3">+(F4+N4)/D4</f>
        <v>0.29166666666666669</v>
      </c>
      <c r="S4" s="58">
        <f t="shared" ref="S4:S23" si="4">+R4+Q4</f>
        <v>0.54166666666666674</v>
      </c>
      <c r="T4" s="85">
        <f t="shared" ref="T4:T23" si="5">O4/(D4-(F4+N4))</f>
        <v>0.58823529411764708</v>
      </c>
      <c r="U4" s="98">
        <f t="shared" ref="U4:U23" si="6">RANK(R4,$R$4:$R$23)</f>
        <v>20</v>
      </c>
      <c r="V4" s="99">
        <f t="shared" ref="V4:V23" si="7">RANK(S4,$S$4:$S$23)</f>
        <v>20</v>
      </c>
      <c r="W4" s="52">
        <f>+'23 서구하반기(''24)'!W4+'23 下코모도리그(''24)'!W4</f>
        <v>1</v>
      </c>
      <c r="X4" s="112">
        <f t="shared" ref="X4:X23" si="8">RANK(C4,$C$4:$C$23)</f>
        <v>17</v>
      </c>
      <c r="Y4" s="96"/>
      <c r="Z4" s="140">
        <f t="shared" ref="Z4:Z23" si="9">+N4/D4</f>
        <v>0.16666666666666666</v>
      </c>
      <c r="AA4" s="99">
        <f t="shared" ref="AA4:AA23" si="10">RANK(Z4,$Z$4:$Z$23)</f>
        <v>13</v>
      </c>
    </row>
    <row r="5" spans="1:27" ht="19.5" customHeight="1" x14ac:dyDescent="0.3">
      <c r="A5" s="43" t="s">
        <v>34</v>
      </c>
      <c r="B5" s="52">
        <f>+'23 서구하반기(''24)'!B5+'23 下코모도리그(''24)'!B5+'24 上코모도리그(''24)'!B5+'24 上디비전리그(''24)'!B5</f>
        <v>10</v>
      </c>
      <c r="C5" s="111">
        <f t="shared" si="0"/>
        <v>0.14285714285714285</v>
      </c>
      <c r="D5" s="52">
        <f>+'23 서구하반기(''24)'!D5+'23 下코모도리그(''24)'!D5+'24 上코모도리그(''24)'!D5+'24 上디비전리그(''24)'!D5</f>
        <v>21</v>
      </c>
      <c r="E5" s="52">
        <f>+'23 서구하반기(''24)'!E5+'23 下코모도리그(''24)'!E5+'24 上코모도리그(''24)'!E5+'24 上디비전리그(''24)'!E5</f>
        <v>14</v>
      </c>
      <c r="F5" s="52">
        <f>+'23 서구하반기(''24)'!F5+'23 下코모도리그(''24)'!F5+'24 上코모도리그(''24)'!F5+'24 上디비전리그(''24)'!F5</f>
        <v>2</v>
      </c>
      <c r="G5" s="52">
        <f>+'23 서구하반기(''24)'!G5+'23 下코모도리그(''24)'!G5+'24 上코모도리그(''24)'!G5+'24 上디비전리그(''24)'!G5</f>
        <v>0</v>
      </c>
      <c r="H5" s="52">
        <f>+'23 서구하반기(''24)'!H5+'23 下코모도리그(''24)'!H5+'24 上코모도리그(''24)'!H5+'24 上디비전리그(''24)'!H5</f>
        <v>2</v>
      </c>
      <c r="I5" s="52">
        <f>+'23 서구하반기(''24)'!I5+'23 下코모도리그(''24)'!I5+'24 上코모도리그(''24)'!I5+'24 上디비전리그(''24)'!I5</f>
        <v>0</v>
      </c>
      <c r="J5" s="52">
        <f>+'23 서구하반기(''24)'!J5+'23 下코모도리그(''24)'!J5+'24 上코모도리그(''24)'!J5+'24 上디비전리그(''24)'!J5</f>
        <v>0</v>
      </c>
      <c r="K5" s="52">
        <f>+'23 서구하반기(''24)'!K5+'23 下코모도리그(''24)'!K5+'24 上코모도리그(''24)'!K5+'24 上디비전리그(''24)'!K5</f>
        <v>6</v>
      </c>
      <c r="L5" s="52">
        <f>+'23 서구하반기(''24)'!L5+'23 下코모도리그(''24)'!L5+'24 上코모도리그(''24)'!L5+'24 上디비전리그(''24)'!L5+1</f>
        <v>2</v>
      </c>
      <c r="M5" s="52">
        <f>+'23 서구하반기(''24)'!M5+'23 下코모도리그(''24)'!M5+'24 上코모도리그(''24)'!M5+'24 上디비전리그(''24)'!M5</f>
        <v>3</v>
      </c>
      <c r="N5" s="52">
        <f>+'23 서구하반기(''24)'!N5+'23 下코모도리그(''24)'!N5+'24 上코모도리그(''24)'!N5+'24 上디비전리그(''24)'!N5</f>
        <v>7</v>
      </c>
      <c r="O5" s="52">
        <f>+'23 서구하반기(''24)'!O5+'23 下코모도리그(''24)'!O5+'24 上코모도리그(''24)'!O5+'24 上디비전리그(''24)'!O5</f>
        <v>10</v>
      </c>
      <c r="P5" s="100">
        <f t="shared" si="1"/>
        <v>0.47619047619047616</v>
      </c>
      <c r="Q5" s="46">
        <f t="shared" si="2"/>
        <v>0.2857142857142857</v>
      </c>
      <c r="R5" s="46">
        <f t="shared" si="3"/>
        <v>0.42857142857142855</v>
      </c>
      <c r="S5" s="58">
        <f t="shared" si="4"/>
        <v>0.71428571428571419</v>
      </c>
      <c r="T5" s="85">
        <f t="shared" si="5"/>
        <v>0.83333333333333337</v>
      </c>
      <c r="U5" s="98">
        <f t="shared" si="6"/>
        <v>16</v>
      </c>
      <c r="V5" s="99">
        <f t="shared" si="7"/>
        <v>15</v>
      </c>
      <c r="W5" s="52">
        <f>+'23 서구하반기(''24)'!W5+'23 下코모도리그(''24)'!W5</f>
        <v>1</v>
      </c>
      <c r="X5" s="112">
        <f t="shared" si="8"/>
        <v>18</v>
      </c>
      <c r="Y5" s="96"/>
      <c r="Z5" s="140">
        <f t="shared" si="9"/>
        <v>0.33333333333333331</v>
      </c>
      <c r="AA5" s="99">
        <f t="shared" si="10"/>
        <v>3</v>
      </c>
    </row>
    <row r="6" spans="1:27" ht="19.5" customHeight="1" x14ac:dyDescent="0.3">
      <c r="A6" s="43" t="s">
        <v>44</v>
      </c>
      <c r="B6" s="52">
        <f>+'23 서구하반기(''24)'!B6+'23 下코모도리그(''24)'!B6+'24 上코모도리그(''24)'!B6+'24 上디비전리그(''24)'!B6</f>
        <v>23</v>
      </c>
      <c r="C6" s="111">
        <f t="shared" si="0"/>
        <v>0.5714285714285714</v>
      </c>
      <c r="D6" s="52">
        <f>+'23 서구하반기(''24)'!D6+'23 下코모도리그(''24)'!D6+'24 上코모도리그(''24)'!D6+'24 上디비전리그(''24)'!D6</f>
        <v>72</v>
      </c>
      <c r="E6" s="52">
        <f>+'23 서구하반기(''24)'!E6+'23 下코모도리그(''24)'!E6+'24 上코모도리그(''24)'!E6+'24 上디비전리그(''24)'!E6</f>
        <v>63</v>
      </c>
      <c r="F6" s="52">
        <f>+'23 서구하반기(''24)'!F6+'23 下코모도리그(''24)'!F6+'24 上코모도리그(''24)'!F6+'24 上디비전리그(''24)'!F6</f>
        <v>36</v>
      </c>
      <c r="G6" s="52">
        <f>+'23 서구하반기(''24)'!G6+'23 下코모도리그(''24)'!G6+'24 上코모도리그(''24)'!G6+'24 上디비전리그(''24)'!G6</f>
        <v>26</v>
      </c>
      <c r="H6" s="52">
        <f>+'23 서구하반기(''24)'!H6+'23 下코모도리그(''24)'!H6+'24 上코모도리그(''24)'!H6+'24 上디비전리그(''24)'!H6</f>
        <v>7</v>
      </c>
      <c r="I6" s="52">
        <f>+'23 서구하반기(''24)'!I6+'23 下코모도리그(''24)'!I6+'24 上코모도리그(''24)'!I6+'24 上디비전리그(''24)'!I6</f>
        <v>2</v>
      </c>
      <c r="J6" s="52">
        <f>+'23 서구하반기(''24)'!J6+'23 下코모도리그(''24)'!J6+'24 上코모도리그(''24)'!J6+'24 上디비전리그(''24)'!J6</f>
        <v>1</v>
      </c>
      <c r="K6" s="52">
        <f>+'23 서구하반기(''24)'!K6+'23 下코모도리그(''24)'!K6+'24 上코모도리그(''24)'!K6+'24 上디비전리그(''24)'!K6</f>
        <v>22</v>
      </c>
      <c r="L6" s="52">
        <f>+'23 서구하반기(''24)'!L6+'23 下코모도리그(''24)'!L6+'24 上코모도리그(''24)'!L6+'24 上디비전리그(''24)'!L6</f>
        <v>32</v>
      </c>
      <c r="M6" s="52">
        <f>+'23 서구하반기(''24)'!M6+'23 下코모도리그(''24)'!M6+'24 上코모도리그(''24)'!M6+'24 上디비전리그(''24)'!M6</f>
        <v>15</v>
      </c>
      <c r="N6" s="52">
        <f>+'23 서구하반기(''24)'!N6+'23 下코모도리그(''24)'!N6+'24 上코모도리그(''24)'!N6+'24 上디비전리그(''24)'!N6</f>
        <v>9</v>
      </c>
      <c r="O6" s="52">
        <f>+'23 서구하반기(''24)'!O6+'23 下코모도리그(''24)'!O6+'24 上코모도리그(''24)'!O6+'24 上디비전리그(''24)'!O6</f>
        <v>4</v>
      </c>
      <c r="P6" s="97">
        <f t="shared" si="1"/>
        <v>5.5555555555555552E-2</v>
      </c>
      <c r="Q6" s="46">
        <f t="shared" si="2"/>
        <v>0.79365079365079361</v>
      </c>
      <c r="R6" s="46">
        <f t="shared" si="3"/>
        <v>0.625</v>
      </c>
      <c r="S6" s="58">
        <f t="shared" si="4"/>
        <v>1.4186507936507935</v>
      </c>
      <c r="T6" s="78">
        <f t="shared" si="5"/>
        <v>0.14814814814814814</v>
      </c>
      <c r="U6" s="98">
        <f t="shared" si="6"/>
        <v>1</v>
      </c>
      <c r="V6" s="99">
        <f t="shared" si="7"/>
        <v>1</v>
      </c>
      <c r="W6" s="52">
        <f>+'23 서구하반기(''24)'!W6+'23 下코모도리그(''24)'!W6</f>
        <v>5</v>
      </c>
      <c r="X6" s="112">
        <f t="shared" si="8"/>
        <v>1</v>
      </c>
      <c r="Y6" s="96"/>
      <c r="Z6" s="140">
        <f t="shared" si="9"/>
        <v>0.125</v>
      </c>
      <c r="AA6" s="99">
        <f t="shared" si="10"/>
        <v>15</v>
      </c>
    </row>
    <row r="7" spans="1:27" ht="19.5" customHeight="1" x14ac:dyDescent="0.3">
      <c r="A7" s="43" t="s">
        <v>9</v>
      </c>
      <c r="B7" s="52">
        <f>+'23 서구하반기(''24)'!B7+'23 下코모도리그(''24)'!B7+'24 上코모도리그(''24)'!B7+'24 上디비전리그(''24)'!B7</f>
        <v>3</v>
      </c>
      <c r="C7" s="111">
        <f t="shared" si="0"/>
        <v>0</v>
      </c>
      <c r="D7" s="52">
        <f>+'23 서구하반기(''24)'!D7+'23 下코모도리그(''24)'!D7+'24 上코모도리그(''24)'!D7+'24 上디비전리그(''24)'!D7</f>
        <v>7</v>
      </c>
      <c r="E7" s="52">
        <f>+'23 서구하반기(''24)'!E7+'23 下코모도리그(''24)'!E7+'24 上코모도리그(''24)'!E7+'24 上디비전리그(''24)'!E7</f>
        <v>3</v>
      </c>
      <c r="F7" s="52">
        <f>+'23 서구하반기(''24)'!F7+'23 下코모도리그(''24)'!F7+'24 上코모도리그(''24)'!F7+'24 上디비전리그(''24)'!F7</f>
        <v>0</v>
      </c>
      <c r="G7" s="52">
        <f>+'23 서구하반기(''24)'!G7+'23 下코모도리그(''24)'!G7+'24 上코모도리그(''24)'!G7+'24 上디비전리그(''24)'!G7</f>
        <v>0</v>
      </c>
      <c r="H7" s="52">
        <f>+'23 서구하반기(''24)'!H7+'23 下코모도리그(''24)'!H7+'24 上코모도리그(''24)'!H7+'24 上디비전리그(''24)'!H7</f>
        <v>0</v>
      </c>
      <c r="I7" s="52">
        <f>+'23 서구하반기(''24)'!I7+'23 下코모도리그(''24)'!I7+'24 上코모도리그(''24)'!I7+'24 上디비전리그(''24)'!I7</f>
        <v>0</v>
      </c>
      <c r="J7" s="52">
        <f>+'23 서구하반기(''24)'!J7+'23 下코모도리그(''24)'!J7+'24 上코모도리그(''24)'!J7+'24 上디비전리그(''24)'!J7</f>
        <v>0</v>
      </c>
      <c r="K7" s="52">
        <f>+'23 서구하반기(''24)'!K7+'23 下코모도리그(''24)'!K7+'24 上코모도리그(''24)'!K7+'24 上디비전리그(''24)'!K7</f>
        <v>4</v>
      </c>
      <c r="L7" s="52">
        <f>+'23 서구하반기(''24)'!L7+'23 下코모도리그(''24)'!L7+'24 上코모도리그(''24)'!L7+'24 上디비전리그(''24)'!L7</f>
        <v>3</v>
      </c>
      <c r="M7" s="52">
        <f>+'23 서구하반기(''24)'!M7+'23 下코모도리그(''24)'!M7+'24 上코모도리그(''24)'!M7+'24 上디비전리그(''24)'!M7</f>
        <v>1</v>
      </c>
      <c r="N7" s="52">
        <f>+'23 서구하반기(''24)'!N7+'23 下코모도리그(''24)'!N7+'24 上코모도리그(''24)'!N7+'24 上디비전리그(''24)'!N7</f>
        <v>4</v>
      </c>
      <c r="O7" s="52">
        <f>+'23 서구하반기(''24)'!O7+'23 下코모도리그(''24)'!O7+'24 上코모도리그(''24)'!O7+'24 上디비전리그(''24)'!O7</f>
        <v>2</v>
      </c>
      <c r="P7" s="97">
        <f t="shared" si="1"/>
        <v>0.2857142857142857</v>
      </c>
      <c r="Q7" s="46">
        <f t="shared" si="2"/>
        <v>0</v>
      </c>
      <c r="R7" s="46">
        <f t="shared" si="3"/>
        <v>0.5714285714285714</v>
      </c>
      <c r="S7" s="58">
        <f t="shared" si="4"/>
        <v>0.5714285714285714</v>
      </c>
      <c r="T7" s="85">
        <f t="shared" si="5"/>
        <v>0.66666666666666663</v>
      </c>
      <c r="U7" s="98">
        <f t="shared" si="6"/>
        <v>5</v>
      </c>
      <c r="V7" s="99">
        <f t="shared" si="7"/>
        <v>18</v>
      </c>
      <c r="W7" s="52">
        <f>+'23 서구하반기(''24)'!W7+'23 下코모도리그(''24)'!W7</f>
        <v>0</v>
      </c>
      <c r="X7" s="112">
        <f t="shared" si="8"/>
        <v>20</v>
      </c>
      <c r="Y7" s="96"/>
      <c r="Z7" s="140">
        <f t="shared" si="9"/>
        <v>0.5714285714285714</v>
      </c>
      <c r="AA7" s="99">
        <f t="shared" si="10"/>
        <v>1</v>
      </c>
    </row>
    <row r="8" spans="1:27" ht="19.5" customHeight="1" x14ac:dyDescent="0.3">
      <c r="A8" s="43" t="s">
        <v>4</v>
      </c>
      <c r="B8" s="52">
        <f>+'23 서구하반기(''24)'!B8+'23 下코모도리그(''24)'!B8+'24 上코모도리그(''24)'!B8+'24 上디비전리그(''24)'!B8</f>
        <v>14</v>
      </c>
      <c r="C8" s="111">
        <f t="shared" si="0"/>
        <v>0.36</v>
      </c>
      <c r="D8" s="52">
        <f>+'23 서구하반기(''24)'!D8+'23 下코모도리그(''24)'!D8+'24 上코모도리그(''24)'!D8+'24 上디비전리그(''24)'!D8</f>
        <v>37</v>
      </c>
      <c r="E8" s="52">
        <f>+'23 서구하반기(''24)'!E8+'23 下코모도리그(''24)'!E8+'24 上코모도리그(''24)'!E8+'24 上디비전리그(''24)'!E8</f>
        <v>25</v>
      </c>
      <c r="F8" s="52">
        <f>+'23 서구하반기(''24)'!F8+'23 下코모도리그(''24)'!F8+'24 上코모도리그(''24)'!F8+'24 上디비전리그(''24)'!F8</f>
        <v>9</v>
      </c>
      <c r="G8" s="52">
        <f>+'23 서구하반기(''24)'!G8+'23 下코모도리그(''24)'!G8+'24 上코모도리그(''24)'!G8+'24 上디비전리그(''24)'!G8</f>
        <v>6</v>
      </c>
      <c r="H8" s="52">
        <f>+'23 서구하반기(''24)'!H8+'23 下코모도리그(''24)'!H8+'24 上코모도리그(''24)'!H8+'24 上디비전리그(''24)'!H8</f>
        <v>2</v>
      </c>
      <c r="I8" s="52">
        <f>+'23 서구하반기(''24)'!I8+'23 下코모도리그(''24)'!I8+'24 上코모도리그(''24)'!I8+'24 上디비전리그(''24)'!I8</f>
        <v>0</v>
      </c>
      <c r="J8" s="52">
        <f>+'23 서구하반기(''24)'!J8+'23 下코모도리그(''24)'!J8+'24 上코모도리그(''24)'!J8+'24 上디비전리그(''24)'!J8</f>
        <v>1</v>
      </c>
      <c r="K8" s="52">
        <f>+'23 서구하반기(''24)'!K8+'23 下코모도리그(''24)'!K8+'24 上코모도리그(''24)'!K8+'24 上디비전리그(''24)'!K8</f>
        <v>13</v>
      </c>
      <c r="L8" s="52">
        <f>+'23 서구하반기(''24)'!L8+'23 下코모도리그(''24)'!L8+'24 上코모도리그(''24)'!L8+'24 上디비전리그(''24)'!L8</f>
        <v>9</v>
      </c>
      <c r="M8" s="52">
        <f>+'23 서구하반기(''24)'!M8+'23 下코모도리그(''24)'!M8+'24 上코모도리그(''24)'!M8+'24 上디비전리그(''24)'!M8</f>
        <v>6</v>
      </c>
      <c r="N8" s="52">
        <f>+'23 서구하반기(''24)'!N8+'23 下코모도리그(''24)'!N8+'24 上코모도리그(''24)'!N8+'24 上디비전리그(''24)'!N8</f>
        <v>12</v>
      </c>
      <c r="O8" s="52">
        <f>+'23 서구하반기(''24)'!O8+'23 下코모도리그(''24)'!O8+'24 上코모도리그(''24)'!O8+'24 上디비전리그(''24)'!O8</f>
        <v>9</v>
      </c>
      <c r="P8" s="97">
        <f t="shared" si="1"/>
        <v>0.24324324324324326</v>
      </c>
      <c r="Q8" s="46">
        <f t="shared" si="2"/>
        <v>0.56000000000000005</v>
      </c>
      <c r="R8" s="46">
        <f t="shared" si="3"/>
        <v>0.56756756756756754</v>
      </c>
      <c r="S8" s="58">
        <f t="shared" si="4"/>
        <v>1.1275675675675676</v>
      </c>
      <c r="T8" s="85">
        <f t="shared" si="5"/>
        <v>0.5625</v>
      </c>
      <c r="U8" s="98">
        <f t="shared" si="6"/>
        <v>6</v>
      </c>
      <c r="V8" s="99">
        <f t="shared" si="7"/>
        <v>5</v>
      </c>
      <c r="W8" s="52">
        <f>+'23 서구하반기(''24)'!W8+'23 下코모도리그(''24)'!W8</f>
        <v>0</v>
      </c>
      <c r="X8" s="112">
        <f t="shared" si="8"/>
        <v>7</v>
      </c>
      <c r="Y8" s="96"/>
      <c r="Z8" s="140">
        <f t="shared" si="9"/>
        <v>0.32432432432432434</v>
      </c>
      <c r="AA8" s="99">
        <f t="shared" si="10"/>
        <v>4</v>
      </c>
    </row>
    <row r="9" spans="1:27" ht="19.5" customHeight="1" x14ac:dyDescent="0.3">
      <c r="A9" s="43" t="s">
        <v>51</v>
      </c>
      <c r="B9" s="52">
        <f>+'23 서구하반기(''24)'!B9+'23 下코모도리그(''24)'!B9+'24 上코모도리그(''24)'!B9+'24 上디비전리그(''24)'!B9</f>
        <v>5</v>
      </c>
      <c r="C9" s="111">
        <f t="shared" si="0"/>
        <v>0.25</v>
      </c>
      <c r="D9" s="52">
        <f>+'23 서구하반기(''24)'!D9+'23 下코모도리그(''24)'!D9+'24 上코모도리그(''24)'!D9+'24 上디비전리그(''24)'!D9</f>
        <v>10</v>
      </c>
      <c r="E9" s="52">
        <f>+'23 서구하반기(''24)'!E9+'23 下코모도리그(''24)'!E9+'24 上코모도리그(''24)'!E9+'24 上디비전리그(''24)'!E9</f>
        <v>16</v>
      </c>
      <c r="F9" s="52">
        <f>+'23 서구하반기(''24)'!F9+'23 下코모도리그(''24)'!F9+'24 上코모도리그(''24)'!F9+'24 上디비전리그(''24)'!F9</f>
        <v>4</v>
      </c>
      <c r="G9" s="52">
        <f>+'23 서구하반기(''24)'!G9+'23 下코모도리그(''24)'!G9+'24 上코모도리그(''24)'!G9+'24 上디비전리그(''24)'!G9</f>
        <v>4</v>
      </c>
      <c r="H9" s="52">
        <f>+'23 서구하반기(''24)'!H9+'23 下코모도리그(''24)'!H9+'24 上코모도리그(''24)'!H9+'24 上디비전리그(''24)'!H9</f>
        <v>0</v>
      </c>
      <c r="I9" s="52">
        <f>+'23 서구하반기(''24)'!I9+'23 下코모도리그(''24)'!I9+'24 上코모도리그(''24)'!I9+'24 上디비전리그(''24)'!I9</f>
        <v>0</v>
      </c>
      <c r="J9" s="52">
        <f>+'23 서구하반기(''24)'!J9+'23 下코모도리그(''24)'!J9+'24 上코모도리그(''24)'!J9+'24 上디비전리그(''24)'!J9</f>
        <v>0</v>
      </c>
      <c r="K9" s="52">
        <f>+'23 서구하반기(''24)'!K9+'23 下코모도리그(''24)'!K9+'24 上코모도리그(''24)'!K9+'24 上디비전리그(''24)'!K9</f>
        <v>3</v>
      </c>
      <c r="L9" s="52">
        <f>+'23 서구하반기(''24)'!L9+'23 下코모도리그(''24)'!L9+'24 上코모도리그(''24)'!L9+'24 上디비전리그(''24)'!L9</f>
        <v>2</v>
      </c>
      <c r="M9" s="52">
        <f>+'23 서구하반기(''24)'!M9+'23 下코모도리그(''24)'!M9+'24 上코모도리그(''24)'!M9+'24 上디비전리그(''24)'!M9</f>
        <v>1</v>
      </c>
      <c r="N9" s="52">
        <f>+'23 서구하반기(''24)'!N9+'23 下코모도리그(''24)'!N9+'24 上코모도리그(''24)'!N9+'24 上디비전리그(''24)'!N9</f>
        <v>-1</v>
      </c>
      <c r="O9" s="52">
        <f>+'23 서구하반기(''24)'!O9+'23 下코모도리그(''24)'!O9+'24 上코모도리그(''24)'!O9+'24 上디비전리그(''24)'!O9</f>
        <v>1</v>
      </c>
      <c r="P9" s="97">
        <f t="shared" si="1"/>
        <v>0.1</v>
      </c>
      <c r="Q9" s="46">
        <f t="shared" si="2"/>
        <v>0.25</v>
      </c>
      <c r="R9" s="46">
        <f t="shared" si="3"/>
        <v>0.3</v>
      </c>
      <c r="S9" s="58">
        <f t="shared" si="4"/>
        <v>0.55000000000000004</v>
      </c>
      <c r="T9" s="78">
        <f t="shared" si="5"/>
        <v>0.14285714285714285</v>
      </c>
      <c r="U9" s="98">
        <f t="shared" si="6"/>
        <v>19</v>
      </c>
      <c r="V9" s="99">
        <f t="shared" si="7"/>
        <v>19</v>
      </c>
      <c r="W9" s="52">
        <f>+'23 서구하반기(''24)'!W9+'23 下코모도리그(''24)'!W9</f>
        <v>2</v>
      </c>
      <c r="X9" s="112">
        <f t="shared" si="8"/>
        <v>15</v>
      </c>
      <c r="Y9" s="96"/>
      <c r="Z9" s="140">
        <f t="shared" si="9"/>
        <v>-0.1</v>
      </c>
      <c r="AA9" s="99">
        <f t="shared" si="10"/>
        <v>20</v>
      </c>
    </row>
    <row r="10" spans="1:27" ht="19.5" customHeight="1" x14ac:dyDescent="0.3">
      <c r="A10" s="43" t="s">
        <v>25</v>
      </c>
      <c r="B10" s="52">
        <f>+'23 서구하반기(''24)'!B10+'23 下코모도리그(''24)'!B10+'24 上코모도리그(''24)'!B10+'24 上디비전리그(''24)'!B10</f>
        <v>25</v>
      </c>
      <c r="C10" s="111">
        <f t="shared" si="0"/>
        <v>0.55384615384615388</v>
      </c>
      <c r="D10" s="52">
        <f>+'23 서구하반기(''24)'!D10+'23 下코모도리그(''24)'!D10+'24 上코모도리그(''24)'!D10+'24 上디비전리그(''24)'!D10</f>
        <v>74</v>
      </c>
      <c r="E10" s="52">
        <f>+'23 서구하반기(''24)'!E10+'23 下코모도리그(''24)'!E10+'24 上코모도리그(''24)'!E10+'24 上디비전리그(''24)'!E10</f>
        <v>65</v>
      </c>
      <c r="F10" s="52">
        <f>+'23 서구하반기(''24)'!F10+'23 下코모도리그(''24)'!F10+'24 上코모도리그(''24)'!F10+'24 上디비전리그(''24)'!F10</f>
        <v>36</v>
      </c>
      <c r="G10" s="52">
        <f>+'23 서구하반기(''24)'!G10+'23 下코모도리그(''24)'!G10+'24 上코모도리그(''24)'!G10+'24 上디비전리그(''24)'!G10</f>
        <v>26</v>
      </c>
      <c r="H10" s="52">
        <f>+'23 서구하반기(''24)'!H10+'23 下코모도리그(''24)'!H10+'24 上코모도리그(''24)'!H10+'24 上디비전리그(''24)'!H10</f>
        <v>5</v>
      </c>
      <c r="I10" s="52">
        <f>+'23 서구하반기(''24)'!I10+'23 下코모도리그(''24)'!I10+'24 上코모도리그(''24)'!I10+'24 上디비전리그(''24)'!I10</f>
        <v>5</v>
      </c>
      <c r="J10" s="52">
        <f>+'23 서구하반기(''24)'!J10+'23 下코모도리그(''24)'!J10+'24 上코모도리그(''24)'!J10+'24 上디비전리그(''24)'!J10</f>
        <v>0</v>
      </c>
      <c r="K10" s="52">
        <f>+'23 서구하반기(''24)'!K10+'23 下코모도리그(''24)'!K10+'24 上코모도리그(''24)'!K10+'24 上디비전리그(''24)'!K10</f>
        <v>29</v>
      </c>
      <c r="L10" s="52">
        <f>+'23 서구하반기(''24)'!L10+'23 下코모도리그(''24)'!L10+'24 上코모도리그(''24)'!L10+'24 上디비전리그(''24)'!L10</f>
        <v>23</v>
      </c>
      <c r="M10" s="52">
        <f>+'23 서구하반기(''24)'!M10+'23 下코모도리그(''24)'!M10+'24 上코모도리그(''24)'!M10+'24 上디비전리그(''24)'!M10</f>
        <v>32</v>
      </c>
      <c r="N10" s="52">
        <f>+'23 서구하반기(''24)'!N10+'23 下코모도리그(''24)'!N10+'24 上코모도리그(''24)'!N10+'24 上디비전리그(''24)'!N10</f>
        <v>6</v>
      </c>
      <c r="O10" s="52">
        <f>+'23 서구하반기(''24)'!O10+'23 下코모도리그(''24)'!O10+'24 上코모도리그(''24)'!O10+'24 上디비전리그(''24)'!O10</f>
        <v>4</v>
      </c>
      <c r="P10" s="97">
        <f t="shared" si="1"/>
        <v>5.4054054054054057E-2</v>
      </c>
      <c r="Q10" s="46">
        <f t="shared" si="2"/>
        <v>0.7846153846153846</v>
      </c>
      <c r="R10" s="46">
        <f t="shared" si="3"/>
        <v>0.56756756756756754</v>
      </c>
      <c r="S10" s="58">
        <f t="shared" si="4"/>
        <v>1.352182952182952</v>
      </c>
      <c r="T10" s="78">
        <f t="shared" si="5"/>
        <v>0.125</v>
      </c>
      <c r="U10" s="98">
        <f t="shared" si="6"/>
        <v>6</v>
      </c>
      <c r="V10" s="99">
        <f t="shared" si="7"/>
        <v>3</v>
      </c>
      <c r="W10" s="52">
        <f>+'23 서구하반기(''24)'!W10+'23 下코모도리그(''24)'!W10</f>
        <v>2</v>
      </c>
      <c r="X10" s="112">
        <f t="shared" si="8"/>
        <v>2</v>
      </c>
      <c r="Y10" s="96"/>
      <c r="Z10" s="140">
        <f t="shared" si="9"/>
        <v>8.1081081081081086E-2</v>
      </c>
      <c r="AA10" s="99">
        <f t="shared" si="10"/>
        <v>18</v>
      </c>
    </row>
    <row r="11" spans="1:27" ht="19.5" customHeight="1" x14ac:dyDescent="0.3">
      <c r="A11" s="43" t="s">
        <v>21</v>
      </c>
      <c r="B11" s="52">
        <f>+'23 서구하반기(''24)'!B11+'23 下코모도리그(''24)'!B11+'24 上코모도리그(''24)'!B11+'24 上디비전리그(''24)'!B11</f>
        <v>18</v>
      </c>
      <c r="C11" s="111">
        <f t="shared" si="0"/>
        <v>0.27586206896551724</v>
      </c>
      <c r="D11" s="52">
        <f>+'23 서구하반기(''24)'!D11+'23 下코모도리그(''24)'!D11+'24 上코모도리그(''24)'!D11+'24 上디비전리그(''24)'!D11</f>
        <v>33</v>
      </c>
      <c r="E11" s="52">
        <f>+'23 서구하반기(''24)'!E11+'23 下코모도리그(''24)'!E11+'24 上코모도리그(''24)'!E11+'24 上디비전리그(''24)'!E11</f>
        <v>29</v>
      </c>
      <c r="F11" s="52">
        <f>+'23 서구하반기(''24)'!F11+'23 下코모도리그(''24)'!F11+'24 上코모도리그(''24)'!F11+'24 上디비전리그(''24)'!F11</f>
        <v>8</v>
      </c>
      <c r="G11" s="52">
        <f>+'23 서구하반기(''24)'!G11+'23 下코모도리그(''24)'!G11+'24 上코모도리그(''24)'!G11+'24 上디비전리그(''24)'!G11</f>
        <v>7</v>
      </c>
      <c r="H11" s="52">
        <f>+'23 서구하반기(''24)'!H11+'23 下코모도리그(''24)'!H11+'24 上코모도리그(''24)'!H11+'24 上디비전리그(''24)'!H11</f>
        <v>1</v>
      </c>
      <c r="I11" s="52">
        <f>+'23 서구하반기(''24)'!I11+'23 下코모도리그(''24)'!I11+'24 上코모도리그(''24)'!I11+'24 上디비전리그(''24)'!I11</f>
        <v>0</v>
      </c>
      <c r="J11" s="52">
        <f>+'23 서구하반기(''24)'!J11+'23 下코모도리그(''24)'!J11+'24 上코모도리그(''24)'!J11+'24 上디비전리그(''24)'!J11</f>
        <v>0</v>
      </c>
      <c r="K11" s="52">
        <f>+'23 서구하반기(''24)'!K11+'23 下코모도리그(''24)'!K11+'24 上코모도리그(''24)'!K11+'24 上디비전리그(''24)'!K11</f>
        <v>10</v>
      </c>
      <c r="L11" s="52">
        <f>+'23 서구하반기(''24)'!L11+'23 下코모도리그(''24)'!L11+'24 上코모도리그(''24)'!L11+'24 上디비전리그(''24)'!L11</f>
        <v>6</v>
      </c>
      <c r="M11" s="52">
        <f>+'23 서구하반기(''24)'!M11+'23 下코모도리그(''24)'!M11+'24 上코모도리그(''24)'!M11+'24 上디비전리그(''24)'!M11</f>
        <v>7</v>
      </c>
      <c r="N11" s="52">
        <f>+'23 서구하반기(''24)'!N11+'23 下코모도리그(''24)'!N11+'24 上코모도리그(''24)'!N11+'24 上디비전리그(''24)'!N11</f>
        <v>4</v>
      </c>
      <c r="O11" s="52">
        <f>+'23 서구하반기(''24)'!O11+'23 下코모도리그(''24)'!O11+'24 上코모도리그(''24)'!O11+'24 上디비전리그(''24)'!O11</f>
        <v>6</v>
      </c>
      <c r="P11" s="97">
        <f t="shared" si="1"/>
        <v>0.18181818181818182</v>
      </c>
      <c r="Q11" s="46">
        <f t="shared" si="2"/>
        <v>0.31034482758620691</v>
      </c>
      <c r="R11" s="46">
        <f t="shared" si="3"/>
        <v>0.36363636363636365</v>
      </c>
      <c r="S11" s="58">
        <f t="shared" si="4"/>
        <v>0.67398119122257061</v>
      </c>
      <c r="T11" s="78">
        <f t="shared" si="5"/>
        <v>0.2857142857142857</v>
      </c>
      <c r="U11" s="98">
        <f t="shared" si="6"/>
        <v>17</v>
      </c>
      <c r="V11" s="99">
        <f t="shared" si="7"/>
        <v>17</v>
      </c>
      <c r="W11" s="52">
        <f>+'23 서구하반기(''24)'!W11+'23 下코모도리그(''24)'!W11</f>
        <v>2</v>
      </c>
      <c r="X11" s="112">
        <f t="shared" si="8"/>
        <v>14</v>
      </c>
      <c r="Y11" s="96"/>
      <c r="Z11" s="140">
        <f t="shared" si="9"/>
        <v>0.12121212121212122</v>
      </c>
      <c r="AA11" s="99">
        <f t="shared" si="10"/>
        <v>16</v>
      </c>
    </row>
    <row r="12" spans="1:27" ht="19.5" customHeight="1" x14ac:dyDescent="0.3">
      <c r="A12" s="43" t="s">
        <v>8</v>
      </c>
      <c r="B12" s="52">
        <f>+'23 서구하반기(''24)'!B12+'23 下코모도리그(''24)'!B12+'24 上코모도리그(''24)'!B12+'24 上디비전리그(''24)'!B12</f>
        <v>15</v>
      </c>
      <c r="C12" s="111">
        <f t="shared" si="0"/>
        <v>0.35</v>
      </c>
      <c r="D12" s="52">
        <f>+'23 서구하반기(''24)'!D12+'23 下코모도리그(''24)'!D12+'24 上코모도리그(''24)'!D12+'24 上디비전리그(''24)'!D12</f>
        <v>32</v>
      </c>
      <c r="E12" s="52">
        <f>+'23 서구하반기(''24)'!E12+'23 下코모도리그(''24)'!E12+'24 上코모도리그(''24)'!E12+'24 上디비전리그(''24)'!E12</f>
        <v>20</v>
      </c>
      <c r="F12" s="52">
        <f>+'23 서구하반기(''24)'!F12+'23 下코모도리그(''24)'!F12+'24 上코모도리그(''24)'!F12+'24 上디비전리그(''24)'!F12</f>
        <v>7</v>
      </c>
      <c r="G12" s="52">
        <f>+'23 서구하반기(''24)'!G12+'23 下코모도리그(''24)'!G12+'24 上코모도리그(''24)'!G12+'24 上디비전리그(''24)'!G12</f>
        <v>6</v>
      </c>
      <c r="H12" s="52">
        <f>+'23 서구하반기(''24)'!H12+'23 下코모도리그(''24)'!H12+'24 上코모도리그(''24)'!H12+'24 上디비전리그(''24)'!H12</f>
        <v>1</v>
      </c>
      <c r="I12" s="52">
        <f>+'23 서구하반기(''24)'!I12+'23 下코모도리그(''24)'!I12+'24 上코모도리그(''24)'!I12+'24 上디비전리그(''24)'!I12</f>
        <v>0</v>
      </c>
      <c r="J12" s="52">
        <f>+'23 서구하반기(''24)'!J12+'23 下코모도리그(''24)'!J12+'24 上코모도리그(''24)'!J12+'24 上디비전리그(''24)'!J12</f>
        <v>0</v>
      </c>
      <c r="K12" s="52">
        <f>+'23 서구하반기(''24)'!K12+'23 下코모도리그(''24)'!K12+'24 上코모도리그(''24)'!K12+'24 上디비전리그(''24)'!K12</f>
        <v>15</v>
      </c>
      <c r="L12" s="52">
        <f>+'23 서구하반기(''24)'!L12+'23 下코모도리그(''24)'!L12+'24 上코모도리그(''24)'!L12+'24 上디비전리그(''24)'!L12</f>
        <v>4</v>
      </c>
      <c r="M12" s="52">
        <f>+'23 서구하반기(''24)'!M12+'23 下코모도리그(''24)'!M12+'24 上코모도리그(''24)'!M12+'24 上디비전리그(''24)'!M12</f>
        <v>10</v>
      </c>
      <c r="N12" s="52">
        <f>+'23 서구하반기(''24)'!N12+'23 下코모도리그(''24)'!N12+'24 上코모도리그(''24)'!N12+'24 上디비전리그(''24)'!N12</f>
        <v>8</v>
      </c>
      <c r="O12" s="52">
        <f>+'23 서구하반기(''24)'!O12+'23 下코모도리그(''24)'!O12+'24 上코모도리그(''24)'!O12+'24 上디비전리그(''24)'!O12</f>
        <v>1</v>
      </c>
      <c r="P12" s="97">
        <f t="shared" si="1"/>
        <v>3.125E-2</v>
      </c>
      <c r="Q12" s="46">
        <f t="shared" si="2"/>
        <v>0.4</v>
      </c>
      <c r="R12" s="46">
        <f t="shared" si="3"/>
        <v>0.46875</v>
      </c>
      <c r="S12" s="58">
        <f t="shared" si="4"/>
        <v>0.86875000000000002</v>
      </c>
      <c r="T12" s="78">
        <f t="shared" si="5"/>
        <v>5.8823529411764705E-2</v>
      </c>
      <c r="U12" s="98">
        <f t="shared" si="6"/>
        <v>11</v>
      </c>
      <c r="V12" s="99">
        <f t="shared" si="7"/>
        <v>11</v>
      </c>
      <c r="W12" s="52">
        <f>+'23 서구하반기(''24)'!W12+'23 下코모도리그(''24)'!W12</f>
        <v>1</v>
      </c>
      <c r="X12" s="112">
        <f t="shared" si="8"/>
        <v>9</v>
      </c>
      <c r="Y12" s="96"/>
      <c r="Z12" s="140">
        <f t="shared" si="9"/>
        <v>0.25</v>
      </c>
      <c r="AA12" s="99">
        <f t="shared" si="10"/>
        <v>7</v>
      </c>
    </row>
    <row r="13" spans="1:27" ht="19.5" customHeight="1" x14ac:dyDescent="0.3">
      <c r="A13" s="43" t="s">
        <v>134</v>
      </c>
      <c r="B13" s="52">
        <f>+'23 서구하반기(''24)'!B13+'23 下코모도리그(''24)'!B13+'24 上코모도리그(''24)'!B13+'24 上디비전리그(''24)'!B13</f>
        <v>23</v>
      </c>
      <c r="C13" s="111">
        <f t="shared" si="0"/>
        <v>0.48076923076923078</v>
      </c>
      <c r="D13" s="52">
        <f>+'23 서구하반기(''24)'!D13+'23 下코모도리그(''24)'!D13+'24 上코모도리그(''24)'!D13+'24 上디비전리그(''24)'!D13</f>
        <v>67</v>
      </c>
      <c r="E13" s="52">
        <f>+'23 서구하반기(''24)'!E13+'23 下코모도리그(''24)'!E13+'24 上코모도리그(''24)'!E13+'24 上디비전리그(''24)'!E13</f>
        <v>52</v>
      </c>
      <c r="F13" s="52">
        <f>+'23 서구하반기(''24)'!F13+'23 下코모도리그(''24)'!F13+'24 上코모도리그(''24)'!F13+'24 上디비전리그(''24)'!F13</f>
        <v>25</v>
      </c>
      <c r="G13" s="52">
        <f>+'23 서구하반기(''24)'!G13+'23 下코모도리그(''24)'!G13+'24 上코모도리그(''24)'!G13+'24 上디비전리그(''24)'!G13</f>
        <v>17</v>
      </c>
      <c r="H13" s="52">
        <f>+'23 서구하반기(''24)'!H13+'23 下코모도리그(''24)'!H13+'24 上코모도리그(''24)'!H13+'24 上디비전리그(''24)'!H13</f>
        <v>7</v>
      </c>
      <c r="I13" s="52">
        <f>+'23 서구하반기(''24)'!I13+'23 下코모도리그(''24)'!I13+'24 上코모도리그(''24)'!I13+'24 上디비전리그(''24)'!I13</f>
        <v>1</v>
      </c>
      <c r="J13" s="52">
        <f>+'23 서구하반기(''24)'!J13+'23 下코모도리그(''24)'!J13+'24 上코모도리그(''24)'!J13+'24 上디비전리그(''24)'!J13</f>
        <v>0</v>
      </c>
      <c r="K13" s="52">
        <f>+'23 서구하반기(''24)'!K13+'23 下코모도리그(''24)'!K13+'24 上코모도리그(''24)'!K13+'24 上디비전리그(''24)'!K13</f>
        <v>22</v>
      </c>
      <c r="L13" s="52">
        <f>+'23 서구하반기(''24)'!L13+'23 下코모도리그(''24)'!L13+'24 上코모도리그(''24)'!L13+'24 上디비전리그(''24)'!L13</f>
        <v>19</v>
      </c>
      <c r="M13" s="52">
        <f>+'23 서구하반기(''24)'!M13+'23 下코모도리그(''24)'!M13+'24 上코모도리그(''24)'!M13+'24 上디비전리그(''24)'!M13</f>
        <v>11</v>
      </c>
      <c r="N13" s="52">
        <f>+'23 서구하반기(''24)'!N13+'23 下코모도리그(''24)'!N13+'24 上코모도리그(''24)'!N13+'24 上디비전리그(''24)'!N13</f>
        <v>15</v>
      </c>
      <c r="O13" s="52">
        <f>+'23 서구하반기(''24)'!O13+'23 下코모도리그(''24)'!O13+'24 上코모도리그(''24)'!O13+'24 上디비전리그(''24)'!O13</f>
        <v>0</v>
      </c>
      <c r="P13" s="97">
        <f t="shared" si="1"/>
        <v>0</v>
      </c>
      <c r="Q13" s="46">
        <f t="shared" si="2"/>
        <v>0.65384615384615385</v>
      </c>
      <c r="R13" s="46">
        <f t="shared" si="3"/>
        <v>0.59701492537313428</v>
      </c>
      <c r="S13" s="58">
        <f t="shared" si="4"/>
        <v>1.250861079219288</v>
      </c>
      <c r="T13" s="78">
        <f t="shared" si="5"/>
        <v>0</v>
      </c>
      <c r="U13" s="98">
        <f t="shared" si="6"/>
        <v>3</v>
      </c>
      <c r="V13" s="99">
        <f t="shared" si="7"/>
        <v>4</v>
      </c>
      <c r="W13" s="52">
        <f>+'23 서구하반기(''24)'!W13+'23 下코모도리그(''24)'!W13</f>
        <v>3</v>
      </c>
      <c r="X13" s="112">
        <f t="shared" si="8"/>
        <v>4</v>
      </c>
      <c r="Y13" s="96"/>
      <c r="Z13" s="140">
        <f t="shared" si="9"/>
        <v>0.22388059701492538</v>
      </c>
      <c r="AA13" s="99">
        <f t="shared" si="10"/>
        <v>9</v>
      </c>
    </row>
    <row r="14" spans="1:27" ht="19.5" customHeight="1" x14ac:dyDescent="0.3">
      <c r="A14" s="43" t="s">
        <v>23</v>
      </c>
      <c r="B14" s="52">
        <f>+'23 서구하반기(''24)'!B14+'23 下코모도리그(''24)'!B14+'24 上코모도리그(''24)'!B14+'24 上디비전리그(''24)'!B14</f>
        <v>27</v>
      </c>
      <c r="C14" s="111">
        <f t="shared" si="0"/>
        <v>0.23404255319148937</v>
      </c>
      <c r="D14" s="52">
        <f>+'23 서구하반기(''24)'!D14+'23 下코모도리그(''24)'!D14+'24 上코모도리그(''24)'!D14+'24 上디비전리그(''24)'!D14</f>
        <v>66</v>
      </c>
      <c r="E14" s="52">
        <f>+'23 서구하반기(''24)'!E14+'23 下코모도리그(''24)'!E14+'24 上코모도리그(''24)'!E14+'24 上디비전리그(''24)'!E14</f>
        <v>47</v>
      </c>
      <c r="F14" s="52">
        <f>+'23 서구하반기(''24)'!F14+'23 下코모도리그(''24)'!F14+'24 上코모도리그(''24)'!F14+'24 上디비전리그(''24)'!F14</f>
        <v>11</v>
      </c>
      <c r="G14" s="52">
        <f>+'23 서구하반기(''24)'!G14+'23 下코모도리그(''24)'!G14+'24 上코모도리그(''24)'!G14+'24 上디비전리그(''24)'!G14</f>
        <v>8</v>
      </c>
      <c r="H14" s="52">
        <f>+'23 서구하반기(''24)'!H14+'23 下코모도리그(''24)'!H14+'24 上코모도리그(''24)'!H14+'24 上디비전리그(''24)'!H14</f>
        <v>3</v>
      </c>
      <c r="I14" s="52">
        <f>+'23 서구하반기(''24)'!I14+'23 下코모도리그(''24)'!I14+'24 上코모도리그(''24)'!I14+'24 上디비전리그(''24)'!I14</f>
        <v>0</v>
      </c>
      <c r="J14" s="52">
        <f>+'23 서구하반기(''24)'!J14+'23 下코모도리그(''24)'!J14+'24 上코모도리그(''24)'!J14+'24 上디비전리그(''24)'!J14</f>
        <v>0</v>
      </c>
      <c r="K14" s="52">
        <f>+'23 서구하반기(''24)'!K14+'23 下코모도리그(''24)'!K14+'24 上코모도리그(''24)'!K14+'24 上디비전리그(''24)'!K14</f>
        <v>15</v>
      </c>
      <c r="L14" s="52">
        <f>+'23 서구하반기(''24)'!L14+'23 下코모도리그(''24)'!L14+'24 上코모도리그(''24)'!L14+'24 上디비전리그(''24)'!L14</f>
        <v>13</v>
      </c>
      <c r="M14" s="52">
        <f>+'23 서구하반기(''24)'!M14+'23 下코모도리그(''24)'!M14+'24 上코모도리그(''24)'!M14+'24 上디비전리그(''24)'!M14</f>
        <v>13</v>
      </c>
      <c r="N14" s="52">
        <f>+'23 서구하반기(''24)'!N14+'23 下코모도리그(''24)'!N14+'24 上코모도리그(''24)'!N14+'24 上디비전리그(''24)'!N14</f>
        <v>18</v>
      </c>
      <c r="O14" s="52">
        <f>+'23 서구하반기(''24)'!O14+'23 下코모도리그(''24)'!O14+'24 上코모도리그(''24)'!O14+'24 上디비전리그(''24)'!O14</f>
        <v>25</v>
      </c>
      <c r="P14" s="100">
        <f t="shared" si="1"/>
        <v>0.37878787878787878</v>
      </c>
      <c r="Q14" s="46">
        <f t="shared" si="2"/>
        <v>0.2978723404255319</v>
      </c>
      <c r="R14" s="46">
        <f t="shared" si="3"/>
        <v>0.43939393939393939</v>
      </c>
      <c r="S14" s="58">
        <f t="shared" si="4"/>
        <v>0.73726627981947135</v>
      </c>
      <c r="T14" s="85">
        <f t="shared" si="5"/>
        <v>0.67567567567567566</v>
      </c>
      <c r="U14" s="98">
        <f t="shared" si="6"/>
        <v>13</v>
      </c>
      <c r="V14" s="99">
        <f t="shared" si="7"/>
        <v>14</v>
      </c>
      <c r="W14" s="52">
        <f>+'23 서구하반기(''24)'!W14+'23 下코모도리그(''24)'!W14</f>
        <v>10</v>
      </c>
      <c r="X14" s="112">
        <f t="shared" si="8"/>
        <v>16</v>
      </c>
      <c r="Y14" s="96"/>
      <c r="Z14" s="140">
        <f t="shared" si="9"/>
        <v>0.27272727272727271</v>
      </c>
      <c r="AA14" s="99">
        <f t="shared" si="10"/>
        <v>6</v>
      </c>
    </row>
    <row r="15" spans="1:27" ht="19.5" customHeight="1" x14ac:dyDescent="0.3">
      <c r="A15" s="43" t="s">
        <v>50</v>
      </c>
      <c r="B15" s="52">
        <f>+'23 서구하반기(''24)'!B15+'23 下코모도리그(''24)'!B15+'24 上코모도리그(''24)'!B15+'24 上디비전리그(''24)'!B15</f>
        <v>22</v>
      </c>
      <c r="C15" s="111">
        <f t="shared" si="0"/>
        <v>0.34090909090909088</v>
      </c>
      <c r="D15" s="52">
        <f>+'23 서구하반기(''24)'!D15+'23 下코모도리그(''24)'!D15+'24 上코모도리그(''24)'!D15+'24 上디비전리그(''24)'!D15</f>
        <v>47</v>
      </c>
      <c r="E15" s="52">
        <f>+'23 서구하반기(''24)'!E15+'23 下코모도리그(''24)'!E15+'24 上코모도리그(''24)'!E15+'24 上디비전리그(''24)'!E15</f>
        <v>44</v>
      </c>
      <c r="F15" s="52">
        <f>+'23 서구하반기(''24)'!F15+'23 下코모도리그(''24)'!F15+'24 上코모도리그(''24)'!F15+'24 上디비전리그(''24)'!F15</f>
        <v>15</v>
      </c>
      <c r="G15" s="52">
        <f>+'23 서구하반기(''24)'!G15+'23 下코모도리그(''24)'!G15+'24 上코모도리그(''24)'!G15+'24 上디비전리그(''24)'!G15</f>
        <v>12</v>
      </c>
      <c r="H15" s="52">
        <f>+'23 서구하반기(''24)'!H15+'23 下코모도리그(''24)'!H15+'24 上코모도리그(''24)'!H15+'24 上디비전리그(''24)'!H15</f>
        <v>3</v>
      </c>
      <c r="I15" s="52">
        <f>+'23 서구하반기(''24)'!I15+'23 下코모도리그(''24)'!I15+'24 上코모도리그(''24)'!I15+'24 上디비전리그(''24)'!I15</f>
        <v>0</v>
      </c>
      <c r="J15" s="52">
        <f>+'23 서구하반기(''24)'!J15+'23 下코모도리그(''24)'!J15+'24 上코모도리그(''24)'!J15+'24 上디비전리그(''24)'!J15</f>
        <v>0</v>
      </c>
      <c r="K15" s="52">
        <f>+'23 서구하반기(''24)'!K15+'23 下코모도리그(''24)'!K15+'24 上코모도리그(''24)'!K15+'24 上디비전리그(''24)'!K15</f>
        <v>13</v>
      </c>
      <c r="L15" s="52">
        <f>+'23 서구하반기(''24)'!L15+'23 下코모도리그(''24)'!L15+'24 上코모도리그(''24)'!L15+'24 上디비전리그(''24)'!L15</f>
        <v>16</v>
      </c>
      <c r="M15" s="52">
        <f>+'23 서구하반기(''24)'!M15+'23 下코모도리그(''24)'!M15+'24 上코모도리그(''24)'!M15+'24 上디비전리그(''24)'!M15</f>
        <v>8</v>
      </c>
      <c r="N15" s="52">
        <f>+'23 서구하반기(''24)'!N15+'23 下코모도리그(''24)'!N15+'24 上코모도리그(''24)'!N15+'24 上디비전리그(''24)'!N15</f>
        <v>2</v>
      </c>
      <c r="O15" s="52">
        <f>+'23 서구하반기(''24)'!O15+'23 下코모도리그(''24)'!O15+'24 上코모도리그(''24)'!O15+'24 上디비전리그(''24)'!O15</f>
        <v>10</v>
      </c>
      <c r="P15" s="97">
        <f t="shared" si="1"/>
        <v>0.21276595744680851</v>
      </c>
      <c r="Q15" s="46">
        <f t="shared" si="2"/>
        <v>0.40909090909090912</v>
      </c>
      <c r="R15" s="46">
        <f t="shared" si="3"/>
        <v>0.36170212765957449</v>
      </c>
      <c r="S15" s="58">
        <f t="shared" si="4"/>
        <v>0.77079303675048361</v>
      </c>
      <c r="T15" s="78">
        <f t="shared" si="5"/>
        <v>0.33333333333333331</v>
      </c>
      <c r="U15" s="98">
        <f t="shared" si="6"/>
        <v>18</v>
      </c>
      <c r="V15" s="99">
        <f t="shared" si="7"/>
        <v>13</v>
      </c>
      <c r="W15" s="52">
        <f>+'23 서구하반기(''24)'!W15+'23 下코모도리그(''24)'!W15</f>
        <v>1</v>
      </c>
      <c r="X15" s="112">
        <f t="shared" si="8"/>
        <v>10</v>
      </c>
      <c r="Y15" s="96"/>
      <c r="Z15" s="140">
        <f t="shared" si="9"/>
        <v>4.2553191489361701E-2</v>
      </c>
      <c r="AA15" s="99">
        <f t="shared" si="10"/>
        <v>19</v>
      </c>
    </row>
    <row r="16" spans="1:27" ht="19.5" customHeight="1" x14ac:dyDescent="0.3">
      <c r="A16" s="43" t="s">
        <v>33</v>
      </c>
      <c r="B16" s="52">
        <f>+'23 서구하반기(''24)'!B16+'23 下코모도리그(''24)'!B16+'24 上코모도리그(''24)'!B16+'24 上디비전리그(''24)'!B16</f>
        <v>24</v>
      </c>
      <c r="C16" s="111">
        <f t="shared" si="0"/>
        <v>0.39655172413793105</v>
      </c>
      <c r="D16" s="52">
        <f>+'23 서구하반기(''24)'!D16+'23 下코모도리그(''24)'!D16+'24 上코모도리그(''24)'!D16+'24 上디비전리그(''24)'!D16</f>
        <v>76</v>
      </c>
      <c r="E16" s="52">
        <f>+'23 서구하반기(''24)'!E16+'23 下코모도리그(''24)'!E16+'24 上코모도리그(''24)'!E16+'24 上디비전리그(''24)'!E16</f>
        <v>58</v>
      </c>
      <c r="F16" s="52">
        <f>+'23 서구하반기(''24)'!F16+'23 下코모도리그(''24)'!F16+'24 上코모도리그(''24)'!F16+'24 上디비전리그(''24)'!F16</f>
        <v>23</v>
      </c>
      <c r="G16" s="52">
        <f>+'23 서구하반기(''24)'!G16+'23 下코모도리그(''24)'!G16+'24 上코모도리그(''24)'!G16+'24 上디비전리그(''24)'!G16</f>
        <v>17</v>
      </c>
      <c r="H16" s="52">
        <f>+'23 서구하반기(''24)'!H16+'23 下코모도리그(''24)'!H16+'24 上코모도리그(''24)'!H16+'24 上디비전리그(''24)'!H16</f>
        <v>2</v>
      </c>
      <c r="I16" s="52">
        <f>+'23 서구하반기(''24)'!I16+'23 下코모도리그(''24)'!I16+'24 上코모도리그(''24)'!I16+'24 上디비전리그(''24)'!I16</f>
        <v>4</v>
      </c>
      <c r="J16" s="52">
        <f>+'23 서구하반기(''24)'!J16+'23 下코모도리그(''24)'!J16+'24 上코모도리그(''24)'!J16+'24 上디비전리그(''24)'!J16</f>
        <v>0</v>
      </c>
      <c r="K16" s="52">
        <f>+'23 서구하반기(''24)'!K16+'23 下코모도리그(''24)'!K16+'24 上코모도리그(''24)'!K16+'24 上디비전리그(''24)'!K16</f>
        <v>24</v>
      </c>
      <c r="L16" s="52">
        <f>+'23 서구하반기(''24)'!L16+'23 下코모도리그(''24)'!L16+'24 上코모도리그(''24)'!L16+'24 上디비전리그(''24)'!L16</f>
        <v>12</v>
      </c>
      <c r="M16" s="52">
        <f>+'23 서구하반기(''24)'!M16+'23 下코모도리그(''24)'!M16+'24 上코모도리그(''24)'!M16+'24 上디비전리그(''24)'!M16</f>
        <v>23</v>
      </c>
      <c r="N16" s="52">
        <f>+'23 서구하반기(''24)'!N16+'23 下코모도리그(''24)'!N16+'24 上코모도리그(''24)'!N16+'24 上디비전리그(''24)'!N16</f>
        <v>17</v>
      </c>
      <c r="O16" s="52">
        <f>+'23 서구하반기(''24)'!O16+'23 下코모도리그(''24)'!O16+'24 上코모도리그(''24)'!O16+'24 上디비전리그(''24)'!O16</f>
        <v>9</v>
      </c>
      <c r="P16" s="97">
        <f t="shared" si="1"/>
        <v>0.11842105263157894</v>
      </c>
      <c r="Q16" s="46">
        <f t="shared" si="2"/>
        <v>0.56896551724137934</v>
      </c>
      <c r="R16" s="46">
        <f t="shared" si="3"/>
        <v>0.52631578947368418</v>
      </c>
      <c r="S16" s="58">
        <f t="shared" si="4"/>
        <v>1.0952813067150635</v>
      </c>
      <c r="T16" s="78">
        <f t="shared" si="5"/>
        <v>0.25</v>
      </c>
      <c r="U16" s="98">
        <f t="shared" si="6"/>
        <v>8</v>
      </c>
      <c r="V16" s="99">
        <f t="shared" si="7"/>
        <v>6</v>
      </c>
      <c r="W16" s="52">
        <f>+'23 서구하반기(''24)'!W16+'23 下코모도리그(''24)'!W16</f>
        <v>5</v>
      </c>
      <c r="X16" s="112">
        <f t="shared" si="8"/>
        <v>5</v>
      </c>
      <c r="Y16" s="96"/>
      <c r="Z16" s="140">
        <f t="shared" si="9"/>
        <v>0.22368421052631579</v>
      </c>
      <c r="AA16" s="99">
        <f t="shared" si="10"/>
        <v>10</v>
      </c>
    </row>
    <row r="17" spans="1:27" ht="19.5" customHeight="1" x14ac:dyDescent="0.3">
      <c r="A17" s="43" t="s">
        <v>60</v>
      </c>
      <c r="B17" s="52">
        <f>+'23 서구하반기(''24)'!B17+'23 下코모도리그(''24)'!B17+'24 上코모도리그(''24)'!B17+'24 上디비전리그(''24)'!B17</f>
        <v>25</v>
      </c>
      <c r="C17" s="111">
        <f t="shared" si="0"/>
        <v>0.36956521739130432</v>
      </c>
      <c r="D17" s="52">
        <f>+'23 서구하반기(''24)'!D17+'23 下코모도리그(''24)'!D17+'24 上코모도리그(''24)'!D17+'24 上디비전리그(''24)'!D17</f>
        <v>53</v>
      </c>
      <c r="E17" s="52">
        <f>+'23 서구하반기(''24)'!E17+'23 下코모도리그(''24)'!E17+'24 上코모도리그(''24)'!E17+'24 上디비전리그(''24)'!E17</f>
        <v>46</v>
      </c>
      <c r="F17" s="52">
        <f>+'23 서구하반기(''24)'!F17+'23 下코모도리그(''24)'!F17+'24 上코모도리그(''24)'!F17+'24 上디비전리그(''24)'!F17</f>
        <v>17</v>
      </c>
      <c r="G17" s="52">
        <f>+'23 서구하반기(''24)'!G17+'23 下코모도리그(''24)'!G17+'24 上코모도리그(''24)'!G17+'24 上디비전리그(''24)'!G17</f>
        <v>12</v>
      </c>
      <c r="H17" s="52">
        <f>+'23 서구하반기(''24)'!H17+'23 下코모도리그(''24)'!H17+'24 上코모도리그(''24)'!H17+'24 上디비전리그(''24)'!H17</f>
        <v>5</v>
      </c>
      <c r="I17" s="52">
        <f>+'23 서구하반기(''24)'!I17+'23 下코모도리그(''24)'!I17+'24 上코모도리그(''24)'!I17+'24 上디비전리그(''24)'!I17</f>
        <v>0</v>
      </c>
      <c r="J17" s="52">
        <f>+'23 서구하반기(''24)'!J17+'23 下코모도리그(''24)'!J17+'24 上코모도리그(''24)'!J17+'24 上디비전리그(''24)'!J17</f>
        <v>0</v>
      </c>
      <c r="K17" s="52">
        <f>+'23 서구하반기(''24)'!K17+'23 下코모도리그(''24)'!K17+'24 上코모도리그(''24)'!K17+'24 上디비전리그(''24)'!K17</f>
        <v>13</v>
      </c>
      <c r="L17" s="52">
        <f>+'23 서구하반기(''24)'!L17+'23 下코모도리그(''24)'!L17+'24 上코모도리그(''24)'!L17+'24 上디비전리그(''24)'!L17</f>
        <v>8</v>
      </c>
      <c r="M17" s="52">
        <f>+'23 서구하반기(''24)'!M17+'23 下코모도리그(''24)'!M17+'24 上코모도리그(''24)'!M17+'24 上디비전리그(''24)'!M17</f>
        <v>6</v>
      </c>
      <c r="N17" s="52">
        <f>+'23 서구하반기(''24)'!N17+'23 下코모도리그(''24)'!N17+'24 上코모도리그(''24)'!N17+'24 上디비전리그(''24)'!N17</f>
        <v>6</v>
      </c>
      <c r="O17" s="52">
        <f>+'23 서구하반기(''24)'!O17+'23 下코모도리그(''24)'!O17+'24 上코모도리그(''24)'!O17+'24 上디비전리그(''24)'!O17</f>
        <v>7</v>
      </c>
      <c r="P17" s="97">
        <f t="shared" si="1"/>
        <v>0.13207547169811321</v>
      </c>
      <c r="Q17" s="46">
        <f t="shared" si="2"/>
        <v>0.47826086956521741</v>
      </c>
      <c r="R17" s="46">
        <f t="shared" si="3"/>
        <v>0.43396226415094341</v>
      </c>
      <c r="S17" s="58">
        <f t="shared" si="4"/>
        <v>0.91222313371616082</v>
      </c>
      <c r="T17" s="78">
        <f t="shared" si="5"/>
        <v>0.23333333333333334</v>
      </c>
      <c r="U17" s="98">
        <f t="shared" si="6"/>
        <v>14</v>
      </c>
      <c r="V17" s="99">
        <f t="shared" si="7"/>
        <v>8</v>
      </c>
      <c r="W17" s="52">
        <f>+'23 서구하반기(''24)'!W17+'23 下코모도리그(''24)'!W17</f>
        <v>5</v>
      </c>
      <c r="X17" s="112">
        <f t="shared" si="8"/>
        <v>6</v>
      </c>
      <c r="Y17" s="96"/>
      <c r="Z17" s="140">
        <f t="shared" si="9"/>
        <v>0.11320754716981132</v>
      </c>
      <c r="AA17" s="99">
        <f t="shared" si="10"/>
        <v>17</v>
      </c>
    </row>
    <row r="18" spans="1:27" ht="19.5" customHeight="1" x14ac:dyDescent="0.3">
      <c r="A18" s="43" t="s">
        <v>12</v>
      </c>
      <c r="B18" s="52">
        <f>+'23 서구하반기(''24)'!B18+'23 下코모도리그(''24)'!B18+'24 上코모도리그(''24)'!B18+'24 上디비전리그(''24)'!B18</f>
        <v>15</v>
      </c>
      <c r="C18" s="111">
        <f t="shared" si="0"/>
        <v>0.32258064516129031</v>
      </c>
      <c r="D18" s="52">
        <f>+'23 서구하반기(''24)'!D18+'23 下코모도리그(''24)'!D18+'24 上코모도리그(''24)'!D18+'24 上디비전리그(''24)'!D18</f>
        <v>40</v>
      </c>
      <c r="E18" s="52">
        <f>+'23 서구하반기(''24)'!E18+'23 下코모도리그(''24)'!E18+'24 上코모도리그(''24)'!E18+'24 上디비전리그(''24)'!E18</f>
        <v>31</v>
      </c>
      <c r="F18" s="52">
        <f>+'23 서구하반기(''24)'!F18+'23 下코모도리그(''24)'!F18+'24 上코모도리그(''24)'!F18+'24 上디비전리그(''24)'!F18</f>
        <v>10</v>
      </c>
      <c r="G18" s="52">
        <f>+'23 서구하반기(''24)'!G18+'23 下코모도리그(''24)'!G18+'24 上코모도리그(''24)'!G18+'24 上디비전리그(''24)'!G18</f>
        <v>9</v>
      </c>
      <c r="H18" s="52">
        <f>+'23 서구하반기(''24)'!H18+'23 下코모도리그(''24)'!H18+'24 上코모도리그(''24)'!H18+'24 上디비전리그(''24)'!H18</f>
        <v>0</v>
      </c>
      <c r="I18" s="52">
        <f>+'23 서구하반기(''24)'!I18+'23 下코모도리그(''24)'!I18+'24 上코모도리그(''24)'!I18+'24 上디비전리그(''24)'!I18</f>
        <v>0</v>
      </c>
      <c r="J18" s="52">
        <f>+'23 서구하반기(''24)'!J18+'23 下코모도리그(''24)'!J18+'24 上코모도리그(''24)'!J18+'24 上디비전리그(''24)'!J18</f>
        <v>1</v>
      </c>
      <c r="K18" s="52">
        <f>+'23 서구하반기(''24)'!K18+'23 下코모도리그(''24)'!K18+'24 上코모도리그(''24)'!K18+'24 上디비전리그(''24)'!K18</f>
        <v>9</v>
      </c>
      <c r="L18" s="52">
        <f>+'23 서구하반기(''24)'!L18+'23 下코모도리그(''24)'!L18+'24 上코모도리그(''24)'!L18+'24 上디비전리그(''24)'!L18</f>
        <v>11</v>
      </c>
      <c r="M18" s="52">
        <f>+'23 서구하반기(''24)'!M18+'23 下코모도리그(''24)'!M18+'24 上코모도리그(''24)'!M18+'24 上디비전리그(''24)'!M18</f>
        <v>0</v>
      </c>
      <c r="N18" s="52">
        <f>+'23 서구하반기(''24)'!N18+'23 下코모도리그(''24)'!N18+'24 上코모도리그(''24)'!N18+'24 上디비전리그(''24)'!N18</f>
        <v>8</v>
      </c>
      <c r="O18" s="52">
        <f>+'23 서구하반기(''24)'!O18+'23 下코모도리그(''24)'!O18+'24 上코모도리그(''24)'!O18+'24 上디비전리그(''24)'!O18</f>
        <v>6</v>
      </c>
      <c r="P18" s="97">
        <f t="shared" si="1"/>
        <v>0.15</v>
      </c>
      <c r="Q18" s="46">
        <f t="shared" si="2"/>
        <v>0.41935483870967744</v>
      </c>
      <c r="R18" s="46">
        <f t="shared" si="3"/>
        <v>0.45</v>
      </c>
      <c r="S18" s="58">
        <f t="shared" si="4"/>
        <v>0.86935483870967745</v>
      </c>
      <c r="T18" s="78">
        <f t="shared" si="5"/>
        <v>0.27272727272727271</v>
      </c>
      <c r="U18" s="98">
        <f t="shared" si="6"/>
        <v>12</v>
      </c>
      <c r="V18" s="99">
        <f t="shared" si="7"/>
        <v>10</v>
      </c>
      <c r="W18" s="52">
        <f>+'23 서구하반기(''24)'!W18+'23 下코모도리그(''24)'!W18</f>
        <v>0</v>
      </c>
      <c r="X18" s="112">
        <f t="shared" si="8"/>
        <v>11</v>
      </c>
      <c r="Y18" s="96"/>
      <c r="Z18" s="140">
        <f t="shared" si="9"/>
        <v>0.2</v>
      </c>
      <c r="AA18" s="99">
        <f t="shared" si="10"/>
        <v>11</v>
      </c>
    </row>
    <row r="19" spans="1:27" ht="19.5" customHeight="1" x14ac:dyDescent="0.3">
      <c r="A19" s="43" t="s">
        <v>24</v>
      </c>
      <c r="B19" s="52">
        <f>+'23 서구하반기(''24)'!B19+'23 下코모도리그(''24)'!B19+'24 上코모도리그(''24)'!B19+'24 上디비전리그(''24)'!B19</f>
        <v>9</v>
      </c>
      <c r="C19" s="111">
        <f t="shared" si="0"/>
        <v>0.125</v>
      </c>
      <c r="D19" s="52">
        <f>+'23 서구하반기(''24)'!D19+'23 下코모도리그(''24)'!D19+'24 上코모도리그(''24)'!D19+'24 上디비전리그(''24)'!D19</f>
        <v>17</v>
      </c>
      <c r="E19" s="52">
        <f>+'23 서구하반기(''24)'!E19+'23 下코모도리그(''24)'!E19+'24 上코모도리그(''24)'!E19+'24 上디비전리그(''24)'!E19</f>
        <v>8</v>
      </c>
      <c r="F19" s="52">
        <f>+'23 서구하반기(''24)'!F19+'23 下코모도리그(''24)'!F19+'24 上코모도리그(''24)'!F19+'24 上디비전리그(''24)'!F19</f>
        <v>1</v>
      </c>
      <c r="G19" s="52">
        <f>+'23 서구하반기(''24)'!G19+'23 下코모도리그(''24)'!G19+'24 上코모도리그(''24)'!G19+'24 上디비전리그(''24)'!G19</f>
        <v>1</v>
      </c>
      <c r="H19" s="52">
        <f>+'23 서구하반기(''24)'!H19+'23 下코모도리그(''24)'!H19+'24 上코모도리그(''24)'!H19+'24 上디비전리그(''24)'!H19</f>
        <v>0</v>
      </c>
      <c r="I19" s="52">
        <f>+'23 서구하반기(''24)'!I19+'23 下코모도리그(''24)'!I19+'24 上코모도리그(''24)'!I19+'24 上디비전리그(''24)'!I19</f>
        <v>0</v>
      </c>
      <c r="J19" s="52">
        <f>+'23 서구하반기(''24)'!J19+'23 下코모도리그(''24)'!J19+'24 上코모도리그(''24)'!J19+'24 上디비전리그(''24)'!J19</f>
        <v>0</v>
      </c>
      <c r="K19" s="52">
        <f>+'23 서구하반기(''24)'!K19+'23 下코모도리그(''24)'!K19+'24 上코모도리그(''24)'!K19+'24 上디비전리그(''24)'!K19</f>
        <v>7</v>
      </c>
      <c r="L19" s="52">
        <f>+'23 서구하반기(''24)'!L19+'23 下코모도리그(''24)'!L19+'24 上코모도리그(''24)'!L19+'24 上디비전리그(''24)'!L19</f>
        <v>2</v>
      </c>
      <c r="M19" s="52">
        <f>+'23 서구하반기(''24)'!M19+'23 下코모도리그(''24)'!M19+'24 上코모도리그(''24)'!M19+'24 上디비전리그(''24)'!M19</f>
        <v>5</v>
      </c>
      <c r="N19" s="52">
        <f>+'23 서구하반기(''24)'!N19+'23 下코모도리그(''24)'!N19+'24 上코모도리그(''24)'!N19+'24 上디비전리그(''24)'!N19</f>
        <v>9</v>
      </c>
      <c r="O19" s="52">
        <f>+'23 서구하반기(''24)'!O19+'23 下코모도리그(''24)'!O19+'24 上코모도리그(''24)'!O19+'24 上디비전리그(''24)'!O19</f>
        <v>1</v>
      </c>
      <c r="P19" s="97">
        <f t="shared" si="1"/>
        <v>5.8823529411764705E-2</v>
      </c>
      <c r="Q19" s="46">
        <f t="shared" si="2"/>
        <v>0.125</v>
      </c>
      <c r="R19" s="46">
        <f t="shared" si="3"/>
        <v>0.58823529411764708</v>
      </c>
      <c r="S19" s="58">
        <f t="shared" si="4"/>
        <v>0.71323529411764708</v>
      </c>
      <c r="T19" s="78">
        <f t="shared" si="5"/>
        <v>0.14285714285714285</v>
      </c>
      <c r="U19" s="98">
        <f t="shared" si="6"/>
        <v>4</v>
      </c>
      <c r="V19" s="99">
        <f t="shared" si="7"/>
        <v>16</v>
      </c>
      <c r="W19" s="52">
        <f>+'23 서구하반기(''24)'!W19+'23 下코모도리그(''24)'!W19</f>
        <v>3</v>
      </c>
      <c r="X19" s="112">
        <f t="shared" si="8"/>
        <v>19</v>
      </c>
      <c r="Y19" s="96"/>
      <c r="Z19" s="140">
        <f t="shared" si="9"/>
        <v>0.52941176470588236</v>
      </c>
      <c r="AA19" s="99">
        <f t="shared" si="10"/>
        <v>2</v>
      </c>
    </row>
    <row r="20" spans="1:27" ht="19.5" customHeight="1" x14ac:dyDescent="0.3">
      <c r="A20" s="43" t="s">
        <v>14</v>
      </c>
      <c r="B20" s="52">
        <f>+'23 서구하반기(''24)'!B20+'23 下코모도리그(''24)'!B20+'24 上코모도리그(''24)'!B20+'24 上디비전리그(''24)'!B20</f>
        <v>26</v>
      </c>
      <c r="C20" s="111">
        <f t="shared" si="0"/>
        <v>0.53703703703703709</v>
      </c>
      <c r="D20" s="52">
        <f>+'23 서구하반기(''24)'!D20+'23 下코모도리그(''24)'!D20+'24 上코모도리그(''24)'!D20+'24 上디비전리그(''24)'!D20</f>
        <v>63</v>
      </c>
      <c r="E20" s="52">
        <f>+'23 서구하반기(''24)'!E20+'23 下코모도리그(''24)'!E20+'24 上코모도리그(''24)'!E20+'24 上디비전리그(''24)'!E20</f>
        <v>54</v>
      </c>
      <c r="F20" s="52">
        <f>+'23 서구하반기(''24)'!F20+'23 下코모도리그(''24)'!F20+'24 上코모도리그(''24)'!F20+'24 上디비전리그(''24)'!F20</f>
        <v>29</v>
      </c>
      <c r="G20" s="52">
        <f>+'23 서구하반기(''24)'!G20+'23 下코모도리그(''24)'!G20+'24 上코모도리그(''24)'!G20+'24 上디비전리그(''24)'!G20</f>
        <v>19</v>
      </c>
      <c r="H20" s="52">
        <f>+'23 서구하반기(''24)'!H20+'23 下코모도리그(''24)'!H20+'24 上코모도리그(''24)'!H20+'24 上디비전리그(''24)'!H20</f>
        <v>9</v>
      </c>
      <c r="I20" s="52">
        <f>+'23 서구하반기(''24)'!I20+'23 下코모도리그(''24)'!I20+'24 上코모도리그(''24)'!I20+'24 上디비전리그(''24)'!I20</f>
        <v>0</v>
      </c>
      <c r="J20" s="52">
        <f>+'23 서구하반기(''24)'!J20+'23 下코모도리그(''24)'!J20+'24 上코모도리그(''24)'!J20+'24 上디비전리그(''24)'!J20</f>
        <v>1</v>
      </c>
      <c r="K20" s="52">
        <f>+'23 서구하반기(''24)'!K20+'23 下코모도리그(''24)'!K20+'24 上코모도리그(''24)'!K20+'24 上디비전리그(''24)'!K20</f>
        <v>25</v>
      </c>
      <c r="L20" s="52">
        <f>+'23 서구하반기(''24)'!L20+'23 下코모도리그(''24)'!L20+'24 上코모도리그(''24)'!L20+'24 上디비전리그(''24)'!L20</f>
        <v>26</v>
      </c>
      <c r="M20" s="52">
        <f>+'23 서구하반기(''24)'!M20+'23 下코모도리그(''24)'!M20+'24 上코모도리그(''24)'!M20+'24 上디비전리그(''24)'!M20</f>
        <v>7</v>
      </c>
      <c r="N20" s="52">
        <f>+'23 서구하반기(''24)'!N20+'23 下코모도리그(''24)'!N20+'24 上코모도리그(''24)'!N20+'24 上디비전리그(''24)'!N20</f>
        <v>9</v>
      </c>
      <c r="O20" s="52">
        <f>+'23 서구하반기(''24)'!O20+'23 下코모도리그(''24)'!O20+'24 上코모도리그(''24)'!O20+'24 上디비전리그(''24)'!O20</f>
        <v>4</v>
      </c>
      <c r="P20" s="97">
        <f t="shared" si="1"/>
        <v>6.3492063492063489E-2</v>
      </c>
      <c r="Q20" s="46">
        <f t="shared" si="2"/>
        <v>0.7592592592592593</v>
      </c>
      <c r="R20" s="46">
        <f t="shared" si="3"/>
        <v>0.60317460317460314</v>
      </c>
      <c r="S20" s="58">
        <f t="shared" si="4"/>
        <v>1.3624338624338623</v>
      </c>
      <c r="T20" s="78">
        <f t="shared" si="5"/>
        <v>0.16</v>
      </c>
      <c r="U20" s="98">
        <f t="shared" si="6"/>
        <v>2</v>
      </c>
      <c r="V20" s="99">
        <f t="shared" si="7"/>
        <v>2</v>
      </c>
      <c r="W20" s="52">
        <f>+'23 서구하반기(''24)'!W20+'23 下코모도리그(''24)'!W20</f>
        <v>5</v>
      </c>
      <c r="X20" s="112">
        <f t="shared" si="8"/>
        <v>3</v>
      </c>
      <c r="Y20" s="96"/>
      <c r="Z20" s="140">
        <f t="shared" si="9"/>
        <v>0.14285714285714285</v>
      </c>
      <c r="AA20" s="99">
        <f t="shared" si="10"/>
        <v>14</v>
      </c>
    </row>
    <row r="21" spans="1:27" ht="19.5" customHeight="1" x14ac:dyDescent="0.3">
      <c r="A21" s="43" t="s">
        <v>47</v>
      </c>
      <c r="B21" s="52">
        <f>+'23 서구하반기(''24)'!B21+'23 下코모도리그(''24)'!B21+'24 上코모도리그(''24)'!B21+'24 上디비전리그(''24)'!B21</f>
        <v>21</v>
      </c>
      <c r="C21" s="111">
        <f t="shared" si="0"/>
        <v>0.35135135135135137</v>
      </c>
      <c r="D21" s="52">
        <f>+'23 서구하반기(''24)'!D21+'23 下코모도리그(''24)'!D21+'24 上코모도리그(''24)'!D21+'24 上디비전리그(''24)'!D21</f>
        <v>50</v>
      </c>
      <c r="E21" s="52">
        <f>+'23 서구하반기(''24)'!E21+'23 下코모도리그(''24)'!E21+'24 上코모도리그(''24)'!E21+'24 上디비전리그(''24)'!E21</f>
        <v>37</v>
      </c>
      <c r="F21" s="52">
        <f>+'23 서구하반기(''24)'!F21+'23 下코모도리그(''24)'!F21+'24 上코모도리그(''24)'!F21+'24 上디비전리그(''24)'!F21</f>
        <v>13</v>
      </c>
      <c r="G21" s="52">
        <f>+'23 서구하반기(''24)'!G21+'23 下코모도리그(''24)'!G21+'24 上코모도리그(''24)'!G21+'24 上디비전리그(''24)'!G21</f>
        <v>9</v>
      </c>
      <c r="H21" s="52">
        <f>+'23 서구하반기(''24)'!H21+'23 下코모도리그(''24)'!H21+'24 上코모도리그(''24)'!H21+'24 上디비전리그(''24)'!H21</f>
        <v>4</v>
      </c>
      <c r="I21" s="52">
        <f>+'23 서구하반기(''24)'!I21+'23 下코모도리그(''24)'!I21+'24 上코모도리그(''24)'!I21+'24 上디비전리그(''24)'!I21</f>
        <v>0</v>
      </c>
      <c r="J21" s="52">
        <f>+'23 서구하반기(''24)'!J21+'23 下코모도리그(''24)'!J21+'24 上코모도리그(''24)'!J21+'24 上디비전리그(''24)'!J21</f>
        <v>0</v>
      </c>
      <c r="K21" s="52">
        <f>+'23 서구하반기(''24)'!K21+'23 下코모도리그(''24)'!K21+'24 上코모도리그(''24)'!K21+'24 上디비전리그(''24)'!K21</f>
        <v>12</v>
      </c>
      <c r="L21" s="52">
        <f>+'23 서구하반기(''24)'!L21+'23 下코모도리그(''24)'!L21+'24 上코모도리그(''24)'!L21+'24 上디비전리그(''24)'!L21</f>
        <v>15</v>
      </c>
      <c r="M21" s="52">
        <f>+'23 서구하반기(''24)'!M21+'23 下코모도리그(''24)'!M21+'24 上코모도리그(''24)'!M21+'24 上디비전리그(''24)'!M21</f>
        <v>6</v>
      </c>
      <c r="N21" s="52">
        <f>+'23 서구하반기(''24)'!N21+'23 下코모도리그(''24)'!N21+'24 上코모도리그(''24)'!N21+'24 上디비전리그(''24)'!N21</f>
        <v>12</v>
      </c>
      <c r="O21" s="52">
        <f>+'23 서구하반기(''24)'!O21+'23 下코모도리그(''24)'!O21+'24 上코모도리그(''24)'!O21+'24 上디비전리그(''24)'!O21</f>
        <v>13</v>
      </c>
      <c r="P21" s="97">
        <f t="shared" si="1"/>
        <v>0.26</v>
      </c>
      <c r="Q21" s="46">
        <f t="shared" si="2"/>
        <v>0.45945945945945948</v>
      </c>
      <c r="R21" s="46">
        <f t="shared" si="3"/>
        <v>0.5</v>
      </c>
      <c r="S21" s="58">
        <f t="shared" si="4"/>
        <v>0.95945945945945943</v>
      </c>
      <c r="T21" s="85">
        <f t="shared" si="5"/>
        <v>0.52</v>
      </c>
      <c r="U21" s="98">
        <f t="shared" si="6"/>
        <v>9</v>
      </c>
      <c r="V21" s="99">
        <f t="shared" si="7"/>
        <v>7</v>
      </c>
      <c r="W21" s="52">
        <f>+'23 서구하반기(''24)'!W21+'23 下코모도리그(''24)'!W21</f>
        <v>0</v>
      </c>
      <c r="X21" s="112">
        <f t="shared" si="8"/>
        <v>8</v>
      </c>
      <c r="Y21" s="96"/>
      <c r="Z21" s="140">
        <f t="shared" si="9"/>
        <v>0.24</v>
      </c>
      <c r="AA21" s="99">
        <f t="shared" si="10"/>
        <v>8</v>
      </c>
    </row>
    <row r="22" spans="1:27" ht="19.5" customHeight="1" x14ac:dyDescent="0.3">
      <c r="A22" s="43" t="s">
        <v>22</v>
      </c>
      <c r="B22" s="52">
        <f>+'23 서구하반기(''24)'!B22+'23 下코모도리그(''24)'!B22+'24 上코모도리그(''24)'!B22+'24 上디비전리그(''24)'!B22</f>
        <v>21</v>
      </c>
      <c r="C22" s="111">
        <f t="shared" si="0"/>
        <v>0.30952380952380953</v>
      </c>
      <c r="D22" s="52">
        <f>+'23 서구하반기(''24)'!D22+'23 下코모도리그(''24)'!D22+'24 上코모도리그(''24)'!D22+'24 上디비전리그(''24)'!D22</f>
        <v>53</v>
      </c>
      <c r="E22" s="52">
        <f>+'23 서구하반기(''24)'!E22+'23 下코모도리그(''24)'!E22+'24 上코모도리그(''24)'!E22+'24 上디비전리그(''24)'!E22</f>
        <v>42</v>
      </c>
      <c r="F22" s="52">
        <f>+'23 서구하반기(''24)'!F22+'23 下코모도리그(''24)'!F22+'24 上코모도리그(''24)'!F22+'24 上디비전리그(''24)'!F22</f>
        <v>13</v>
      </c>
      <c r="G22" s="52">
        <f>+'23 서구하반기(''24)'!G22+'23 下코모도리그(''24)'!G22+'24 上코모도리그(''24)'!G22+'24 上디비전리그(''24)'!G22</f>
        <v>8</v>
      </c>
      <c r="H22" s="52">
        <f>+'23 서구하반기(''24)'!H22+'23 下코모도리그(''24)'!H22+'24 上코모도리그(''24)'!H22+'24 上디비전리그(''24)'!H22</f>
        <v>4</v>
      </c>
      <c r="I22" s="52">
        <f>+'23 서구하반기(''24)'!I22+'23 下코모도리그(''24)'!I22+'24 上코모도리그(''24)'!I22+'24 上디비전리그(''24)'!I22</f>
        <v>1</v>
      </c>
      <c r="J22" s="52">
        <f>+'23 서구하반기(''24)'!J22+'23 下코모도리그(''24)'!J22+'24 上코모도리그(''24)'!J22+'24 上디비전리그(''24)'!J22</f>
        <v>0</v>
      </c>
      <c r="K22" s="52">
        <f>+'23 서구하반기(''24)'!K22+'23 下코모도리그(''24)'!K22+'24 上코모도리그(''24)'!K22+'24 上디비전리그(''24)'!K22</f>
        <v>13</v>
      </c>
      <c r="L22" s="52">
        <f>+'23 서구하반기(''24)'!L22+'23 下코모도리그(''24)'!L22+'24 上코모도리그(''24)'!L22+'24 上디비전리그(''24)'!L22</f>
        <v>12</v>
      </c>
      <c r="M22" s="52">
        <f>+'23 서구하반기(''24)'!M22+'23 下코모도리그(''24)'!M22+'24 上코모도리그(''24)'!M22+'24 上디비전리그(''24)'!M22</f>
        <v>9</v>
      </c>
      <c r="N22" s="52">
        <f>+'23 서구하반기(''24)'!N22+'23 下코모도리그(''24)'!N22+'24 上코모도리그(''24)'!N22+'24 上디비전리그(''24)'!N22</f>
        <v>10</v>
      </c>
      <c r="O22" s="52">
        <f>+'23 서구하반기(''24)'!O22+'23 下코모도리그(''24)'!O22+'24 上코모도리그(''24)'!O22+'24 上디비전리그(''24)'!O22</f>
        <v>8</v>
      </c>
      <c r="P22" s="97">
        <f t="shared" si="1"/>
        <v>0.15094339622641509</v>
      </c>
      <c r="Q22" s="46">
        <f t="shared" si="2"/>
        <v>0.45238095238095238</v>
      </c>
      <c r="R22" s="46">
        <f t="shared" si="3"/>
        <v>0.43396226415094341</v>
      </c>
      <c r="S22" s="58">
        <f t="shared" si="4"/>
        <v>0.88634321653189585</v>
      </c>
      <c r="T22" s="78">
        <f t="shared" si="5"/>
        <v>0.26666666666666666</v>
      </c>
      <c r="U22" s="98">
        <f t="shared" si="6"/>
        <v>14</v>
      </c>
      <c r="V22" s="99">
        <f t="shared" si="7"/>
        <v>9</v>
      </c>
      <c r="W22" s="52">
        <f>+'23 서구하반기(''24)'!W22+'23 下코모도리그(''24)'!W22</f>
        <v>2</v>
      </c>
      <c r="X22" s="112">
        <f t="shared" si="8"/>
        <v>13</v>
      </c>
      <c r="Y22" s="96"/>
      <c r="Z22" s="140">
        <f t="shared" si="9"/>
        <v>0.18867924528301888</v>
      </c>
      <c r="AA22" s="99">
        <f t="shared" si="10"/>
        <v>12</v>
      </c>
    </row>
    <row r="23" spans="1:27" ht="19.5" customHeight="1" x14ac:dyDescent="0.3">
      <c r="A23" s="43" t="s">
        <v>54</v>
      </c>
      <c r="B23" s="52">
        <f>+'23 서구하반기(''24)'!B23+'23 下코모도리그(''24)'!B23+'24 上코모도리그(''24)'!B23+'24 上디비전리그(''24)'!B23</f>
        <v>13</v>
      </c>
      <c r="C23" s="111">
        <f t="shared" si="0"/>
        <v>0.31818181818181818</v>
      </c>
      <c r="D23" s="52">
        <f>+'23 서구하반기(''24)'!D23+'23 下코모도리그(''24)'!D23+'24 上코모도리그(''24)'!D23+'24 上디비전리그(''24)'!D23</f>
        <v>36</v>
      </c>
      <c r="E23" s="52">
        <f>+'23 서구하반기(''24)'!E23+'23 下코모도리그(''24)'!E23+'24 上코모도리그(''24)'!E23+'24 上디비전리그(''24)'!E23</f>
        <v>22</v>
      </c>
      <c r="F23" s="52">
        <f>+'23 서구하반기(''24)'!F23+'23 下코모도리그(''24)'!F23+'24 上코모도리그(''24)'!F23+'24 上디비전리그(''24)'!F23</f>
        <v>7</v>
      </c>
      <c r="G23" s="52">
        <f>+'23 서구하반기(''24)'!G23+'23 下코모도리그(''24)'!G23+'24 上코모도리그(''24)'!G23+'24 上디비전리그(''24)'!G23</f>
        <v>7</v>
      </c>
      <c r="H23" s="52">
        <f>+'23 서구하반기(''24)'!H23+'23 下코모도리그(''24)'!H23+'24 上코모도리그(''24)'!H23+'24 上디비전리그(''24)'!H23</f>
        <v>0</v>
      </c>
      <c r="I23" s="52">
        <f>+'23 서구하반기(''24)'!I23+'23 下코모도리그(''24)'!I23+'24 上코모도리그(''24)'!I23+'24 上디비전리그(''24)'!I23</f>
        <v>0</v>
      </c>
      <c r="J23" s="52">
        <f>+'23 서구하반기(''24)'!J23+'23 下코모도리그(''24)'!J23+'24 上코모도리그(''24)'!J23+'24 上디비전리그(''24)'!J23</f>
        <v>0</v>
      </c>
      <c r="K23" s="52">
        <f>+'23 서구하반기(''24)'!K23+'23 下코모도리그(''24)'!K23+'24 上코모도리그(''24)'!K23+'24 上디비전리그(''24)'!K23</f>
        <v>13</v>
      </c>
      <c r="L23" s="52">
        <f>+'23 서구하반기(''24)'!L23+'23 下코모도리그(''24)'!L23+'24 上코모도리그(''24)'!L23+'24 上디비전리그(''24)'!L23</f>
        <v>5</v>
      </c>
      <c r="M23" s="52">
        <f>+'23 서구하반기(''24)'!M23+'23 下코모도리그(''24)'!M23+'24 上코모도리그(''24)'!M23+'24 上디비전리그(''24)'!M23</f>
        <v>2</v>
      </c>
      <c r="N23" s="52">
        <f>+'23 서구하반기(''24)'!N23+'23 下코모도리그(''24)'!N23+'24 上코모도리그(''24)'!N23+'24 上디비전리그(''24)'!N23</f>
        <v>10</v>
      </c>
      <c r="O23" s="52">
        <f>+'23 서구하반기(''24)'!O23+'23 下코모도리그(''24)'!O23+'24 上코모도리그(''24)'!O23+'24 上디비전리그(''24)'!O23</f>
        <v>6</v>
      </c>
      <c r="P23" s="97">
        <f t="shared" si="1"/>
        <v>0.16666666666666666</v>
      </c>
      <c r="Q23" s="46">
        <f t="shared" si="2"/>
        <v>0.31818181818181818</v>
      </c>
      <c r="R23" s="46">
        <f t="shared" si="3"/>
        <v>0.47222222222222221</v>
      </c>
      <c r="S23" s="58">
        <f t="shared" si="4"/>
        <v>0.79040404040404044</v>
      </c>
      <c r="T23" s="78">
        <f t="shared" si="5"/>
        <v>0.31578947368421051</v>
      </c>
      <c r="U23" s="98">
        <f t="shared" si="6"/>
        <v>10</v>
      </c>
      <c r="V23" s="99">
        <f t="shared" si="7"/>
        <v>12</v>
      </c>
      <c r="W23" s="52">
        <f>+'23 서구하반기(''24)'!W23+'23 下코모도리그(''24)'!W23</f>
        <v>1</v>
      </c>
      <c r="X23" s="112">
        <f t="shared" si="8"/>
        <v>12</v>
      </c>
      <c r="Y23" s="96"/>
      <c r="Z23" s="140">
        <f t="shared" si="9"/>
        <v>0.27777777777777779</v>
      </c>
      <c r="AA23" s="99">
        <f t="shared" si="10"/>
        <v>5</v>
      </c>
    </row>
    <row r="24" spans="1:27" ht="19.5" customHeight="1" x14ac:dyDescent="0.3">
      <c r="A24" s="55" t="s">
        <v>10</v>
      </c>
      <c r="B24" s="55"/>
      <c r="C24" s="56">
        <f t="shared" ref="C24" si="11">+F24/E24</f>
        <v>0.3864942528735632</v>
      </c>
      <c r="D24" s="55">
        <f t="shared" ref="D24:O24" si="12">SUM(D4:D23)</f>
        <v>878</v>
      </c>
      <c r="E24" s="55">
        <f t="shared" si="12"/>
        <v>696</v>
      </c>
      <c r="F24" s="55">
        <f t="shared" si="12"/>
        <v>269</v>
      </c>
      <c r="G24" s="55">
        <f t="shared" si="12"/>
        <v>196</v>
      </c>
      <c r="H24" s="55">
        <f t="shared" si="12"/>
        <v>55</v>
      </c>
      <c r="I24" s="55">
        <f t="shared" si="12"/>
        <v>14</v>
      </c>
      <c r="J24" s="55">
        <f t="shared" si="12"/>
        <v>4</v>
      </c>
      <c r="K24" s="55">
        <f t="shared" si="12"/>
        <v>276</v>
      </c>
      <c r="L24" s="55">
        <f t="shared" si="12"/>
        <v>224</v>
      </c>
      <c r="M24" s="55">
        <f t="shared" si="12"/>
        <v>174</v>
      </c>
      <c r="N24" s="55">
        <f t="shared" si="12"/>
        <v>169</v>
      </c>
      <c r="O24" s="55">
        <f t="shared" si="12"/>
        <v>136</v>
      </c>
      <c r="P24" s="29">
        <f t="shared" ref="P24" si="13">+O24/D24</f>
        <v>0.15489749430523919</v>
      </c>
      <c r="Q24" s="56"/>
      <c r="R24" s="56"/>
      <c r="S24" s="57"/>
      <c r="T24" s="68"/>
      <c r="U24" s="68"/>
      <c r="V24" s="68"/>
      <c r="W24" s="11">
        <f>SUM(W4:W23)</f>
        <v>49</v>
      </c>
      <c r="X24" s="68"/>
      <c r="Z24" s="140"/>
    </row>
    <row r="25" spans="1:27" x14ac:dyDescent="0.3">
      <c r="Z25" s="140"/>
    </row>
    <row r="26" spans="1:27" ht="17.25" x14ac:dyDescent="0.3">
      <c r="A26" s="4" t="s">
        <v>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Z26" s="140"/>
    </row>
    <row r="27" spans="1:27" ht="34.5" x14ac:dyDescent="0.3">
      <c r="A27" s="10" t="s">
        <v>27</v>
      </c>
      <c r="B27" s="10" t="s">
        <v>46</v>
      </c>
      <c r="C27" s="10" t="s">
        <v>55</v>
      </c>
      <c r="D27" s="10" t="s">
        <v>41</v>
      </c>
      <c r="E27" s="10" t="s">
        <v>48</v>
      </c>
      <c r="F27" s="10" t="s">
        <v>45</v>
      </c>
      <c r="G27" s="10" t="s">
        <v>38</v>
      </c>
      <c r="H27" s="10" t="s">
        <v>5</v>
      </c>
      <c r="I27" s="10" t="s">
        <v>17</v>
      </c>
      <c r="J27" s="10" t="s">
        <v>26</v>
      </c>
      <c r="K27" s="10" t="s">
        <v>30</v>
      </c>
      <c r="L27" s="10" t="s">
        <v>11</v>
      </c>
      <c r="M27" s="10" t="s">
        <v>6</v>
      </c>
      <c r="N27" s="10" t="s">
        <v>42</v>
      </c>
      <c r="O27" s="10" t="s">
        <v>35</v>
      </c>
      <c r="P27" s="10" t="s">
        <v>49</v>
      </c>
      <c r="Q27" s="10" t="s">
        <v>56</v>
      </c>
      <c r="R27" s="10" t="s">
        <v>66</v>
      </c>
      <c r="S27" s="10" t="s">
        <v>90</v>
      </c>
      <c r="T27" s="10" t="s">
        <v>70</v>
      </c>
      <c r="U27" s="10" t="s">
        <v>69</v>
      </c>
      <c r="V27" s="10" t="s">
        <v>68</v>
      </c>
      <c r="X27" s="10" t="s">
        <v>135</v>
      </c>
    </row>
    <row r="28" spans="1:27" ht="19.5" customHeight="1" x14ac:dyDescent="0.3">
      <c r="A28" s="10" t="s">
        <v>59</v>
      </c>
      <c r="B28" s="52">
        <f>+'23 서구하반기(''24)'!B28+'23 下코모도리그(''24)'!B28+'24 上코모도리그(''24)'!B28+'24 上디비전리그(''24)'!B28</f>
        <v>3</v>
      </c>
      <c r="C28" s="52">
        <f>+'23 서구하반기(''24)'!C28+'23 下코모도리그(''24)'!C28+'24 上코모도리그(''24)'!C28+'24 上디비전리그(''24)'!C28</f>
        <v>0</v>
      </c>
      <c r="D28" s="52">
        <f>+'23 서구하반기(''24)'!D28+'23 下코모도리그(''24)'!D28+'24 上코모도리그(''24)'!D28+'24 上디비전리그(''24)'!D28</f>
        <v>0</v>
      </c>
      <c r="E28" s="52">
        <f>+'23 서구하반기(''24)'!E28+'23 下코모도리그(''24)'!E28+'24 上코모도리그(''24)'!E28+'24 上디비전리그(''24)'!E28</f>
        <v>0</v>
      </c>
      <c r="F28" s="52">
        <f>+'23 서구하반기(''24)'!F28+'23 下코모도리그(''24)'!F28+'24 上코모도리그(''24)'!F28+'24 上디비전리그(''24)'!F28</f>
        <v>32</v>
      </c>
      <c r="G28" s="52">
        <f>+'23 서구하반기(''24)'!G28+'23 下코모도리그(''24)'!G28+'24 上코모도리그(''24)'!G28+'24 上디비전리그(''24)'!G28</f>
        <v>12</v>
      </c>
      <c r="H28" s="77">
        <f>+'23 서구하반기(''24)'!H28+'23 下코모도리그(''24)'!H28+'24 上코모도리그(''24)'!H28+'24 上디비전리그(''24)'!H28</f>
        <v>2.6663333333300003</v>
      </c>
      <c r="I28" s="89">
        <f>+'23 서구하반기(''24)'!I28+'23 下코모도리그(''24)'!I28+'24 上코모도리그(''24)'!I28+'24 上디비전리그(''24)'!I28</f>
        <v>4</v>
      </c>
      <c r="J28" s="52">
        <f>+'23 서구하반기(''24)'!J28+'23 下코모도리그(''24)'!J28+'24 上코모도리그(''24)'!J28+'24 上디비전리그(''24)'!J28</f>
        <v>0</v>
      </c>
      <c r="K28" s="91">
        <f>+'23 서구하반기(''24)'!K28+'23 下코모도리그(''24)'!K28+'24 上코모도리그(''24)'!K28+'24 上디비전리그(''24)'!K28</f>
        <v>19</v>
      </c>
      <c r="L28" s="91">
        <f>+'23 서구하반기(''24)'!L28+'23 下코모도리그(''24)'!L28+'24 上코모도리그(''24)'!L28+'24 上디비전리그(''24)'!L28</f>
        <v>0</v>
      </c>
      <c r="M28" s="89">
        <f>+'23 서구하반기(''24)'!M28+'23 下코모도리그(''24)'!M28+'24 上코모도리그(''24)'!M28+'24 上디비전리그(''24)'!M28</f>
        <v>1</v>
      </c>
      <c r="N28" s="52">
        <f>+'23 서구하반기(''24)'!N28+'23 下코모도리그(''24)'!N28+'24 上코모도리그(''24)'!N28+'24 上디비전리그(''24)'!N28</f>
        <v>22</v>
      </c>
      <c r="O28" s="52">
        <f>+'23 서구하반기(''24)'!O28+'23 下코모도리그(''24)'!O28+'24 上코모도리그(''24)'!O28+'24 上디비전리그(''24)'!O28</f>
        <v>17</v>
      </c>
      <c r="P28" s="90">
        <f>+O28*9/H28</f>
        <v>57.382172771668181</v>
      </c>
      <c r="Q28" s="38">
        <f>(K28+L28)/H28</f>
        <v>7.12589073635095</v>
      </c>
      <c r="R28" s="39">
        <f>I28/H28</f>
        <v>1.5001875234423054</v>
      </c>
      <c r="S28" s="39">
        <f>H28/B28</f>
        <v>0.88877777777666678</v>
      </c>
      <c r="T28" s="40">
        <f>M28/H28</f>
        <v>0.37504688086057636</v>
      </c>
      <c r="U28" s="33">
        <f>O28/N28</f>
        <v>0.77272727272727271</v>
      </c>
      <c r="V28" s="38">
        <f>(I28+K28+L28)/H28</f>
        <v>8.626078259793255</v>
      </c>
      <c r="X28" s="134">
        <f>+(L28+K28)/F28*100</f>
        <v>59.375</v>
      </c>
      <c r="Y28" s="131"/>
    </row>
    <row r="29" spans="1:27" ht="19.5" customHeight="1" x14ac:dyDescent="0.3">
      <c r="A29" s="10" t="s">
        <v>94</v>
      </c>
      <c r="B29" s="52">
        <f>+'23 서구하반기(''24)'!B29+'23 下코모도리그(''24)'!B29+'24 上코모도리그(''24)'!B29+'24 上디비전리그(''24)'!B29</f>
        <v>0</v>
      </c>
      <c r="C29" s="52">
        <f>+'23 서구하반기(''24)'!C29+'23 下코모도리그(''24)'!C29+'24 上코모도리그(''24)'!C29+'24 上디비전리그(''24)'!C29</f>
        <v>0</v>
      </c>
      <c r="D29" s="52">
        <f>+'23 서구하반기(''24)'!D29+'23 下코모도리그(''24)'!D29+'24 上코모도리그(''24)'!D29+'24 上디비전리그(''24)'!D29</f>
        <v>0</v>
      </c>
      <c r="E29" s="52">
        <f>+'23 서구하반기(''24)'!E29+'23 下코모도리그(''24)'!E29+'24 上코모도리그(''24)'!E29+'24 上디비전리그(''24)'!E29</f>
        <v>0</v>
      </c>
      <c r="F29" s="52">
        <f>+'23 서구하반기(''24)'!F29+'23 下코모도리그(''24)'!F29+'24 上코모도리그(''24)'!F29+'24 上디비전리그(''24)'!F29</f>
        <v>0</v>
      </c>
      <c r="G29" s="52">
        <f>+'23 서구하반기(''24)'!G29+'23 下코모도리그(''24)'!G29+'24 上코모도리그(''24)'!G29+'24 上디비전리그(''24)'!G29</f>
        <v>0</v>
      </c>
      <c r="H29" s="77">
        <f>+'23 서구하반기(''24)'!H29+'23 下코모도리그(''24)'!H29+'24 上코모도리그(''24)'!H29+'24 上디비전리그(''24)'!H29</f>
        <v>0</v>
      </c>
      <c r="I29" s="89">
        <f>+'23 서구하반기(''24)'!I29+'23 下코모도리그(''24)'!I29+'24 上코모도리그(''24)'!I29+'24 上디비전리그(''24)'!I29</f>
        <v>0</v>
      </c>
      <c r="J29" s="52">
        <f>+'23 서구하반기(''24)'!J29+'23 下코모도리그(''24)'!J29+'24 上코모도리그(''24)'!J29+'24 上디비전리그(''24)'!J29</f>
        <v>0</v>
      </c>
      <c r="K29" s="91">
        <f>+'23 서구하반기(''24)'!K29+'23 下코모도리그(''24)'!K29+'24 上코모도리그(''24)'!K29+'24 上디비전리그(''24)'!K29</f>
        <v>0</v>
      </c>
      <c r="L29" s="91">
        <f>+'23 서구하반기(''24)'!L29+'23 下코모도리그(''24)'!L29+'24 上코모도리그(''24)'!L29+'24 上디비전리그(''24)'!L29</f>
        <v>0</v>
      </c>
      <c r="M29" s="89">
        <f>+'23 서구하반기(''24)'!M29+'23 下코모도리그(''24)'!M29+'24 上코모도리그(''24)'!M29+'24 上디비전리그(''24)'!M29</f>
        <v>0</v>
      </c>
      <c r="N29" s="52">
        <f>+'23 서구하반기(''24)'!N29+'23 下코모도리그(''24)'!N29+'24 上코모도리그(''24)'!N29+'24 上디비전리그(''24)'!N29</f>
        <v>0</v>
      </c>
      <c r="O29" s="52">
        <f>+'23 서구하반기(''24)'!O29+'23 下코모도리그(''24)'!O29+'24 上코모도리그(''24)'!O29+'24 上디비전리그(''24)'!O29</f>
        <v>0</v>
      </c>
      <c r="P29" s="90">
        <v>0</v>
      </c>
      <c r="Q29" s="92" t="e">
        <f>(K29+L29)/H29</f>
        <v>#DIV/0!</v>
      </c>
      <c r="R29" s="93" t="e">
        <f>I29/H29</f>
        <v>#DIV/0!</v>
      </c>
      <c r="S29" s="93" t="e">
        <f>H29/B29</f>
        <v>#DIV/0!</v>
      </c>
      <c r="T29" s="94" t="e">
        <f>M29/H29</f>
        <v>#DIV/0!</v>
      </c>
      <c r="U29" s="95" t="e">
        <f>O29/N29</f>
        <v>#DIV/0!</v>
      </c>
      <c r="V29" s="92" t="e">
        <f>(I29+K29+L29)/H29</f>
        <v>#DIV/0!</v>
      </c>
      <c r="X29" s="135"/>
      <c r="Y29" s="131"/>
    </row>
    <row r="30" spans="1:27" ht="19.5" customHeight="1" x14ac:dyDescent="0.3">
      <c r="A30" s="10" t="s">
        <v>51</v>
      </c>
      <c r="B30" s="52">
        <f>+'23 서구하반기(''24)'!B30+'23 下코모도리그(''24)'!B30+'24 上코모도리그(''24)'!B30+'24 上디비전리그(''24)'!B30</f>
        <v>3</v>
      </c>
      <c r="C30" s="52">
        <f>+'23 서구하반기(''24)'!C30+'23 下코모도리그(''24)'!C30+'24 上코모도리그(''24)'!C30+'24 上디비전리그(''24)'!C30</f>
        <v>1</v>
      </c>
      <c r="D30" s="52">
        <f>+'23 서구하반기(''24)'!D30+'23 下코모도리그(''24)'!D30+'24 上코모도리그(''24)'!D30+'24 上디비전리그(''24)'!D30</f>
        <v>0</v>
      </c>
      <c r="E30" s="52">
        <f>+'23 서구하반기(''24)'!E30+'23 下코모도리그(''24)'!E30+'24 上코모도리그(''24)'!E30+'24 上디비전리그(''24)'!E30</f>
        <v>0</v>
      </c>
      <c r="F30" s="52">
        <f>+'23 서구하반기(''24)'!F30+'23 下코모도리그(''24)'!F30+'24 上코모도리그(''24)'!F30+'24 上디비전리그(''24)'!F30</f>
        <v>15</v>
      </c>
      <c r="G30" s="52">
        <f>+'23 서구하반기(''24)'!G30+'23 下코모도리그(''24)'!G30+'24 上코모도리그(''24)'!G30+'24 上디비전리그(''24)'!G30</f>
        <v>11</v>
      </c>
      <c r="H30" s="77">
        <f>+'23 서구하반기(''24)'!H30+'23 下코모도리그(''24)'!H30+'24 上코모도리그(''24)'!H30+'24 上디비전리그(''24)'!H30</f>
        <v>1.3333330000000001</v>
      </c>
      <c r="I30" s="89">
        <f>+'23 서구하반기(''24)'!I30+'23 下코모도리그(''24)'!I30+'24 上코모도리그(''24)'!I30+'24 上디비전리그(''24)'!I30</f>
        <v>4</v>
      </c>
      <c r="J30" s="52">
        <f>+'23 서구하반기(''24)'!J30+'23 下코모도리그(''24)'!J30+'24 上코모도리그(''24)'!J30+'24 上디비전리그(''24)'!J30</f>
        <v>0</v>
      </c>
      <c r="K30" s="91">
        <f>+'23 서구하반기(''24)'!K30+'23 下코모도리그(''24)'!K30+'24 上코모도리그(''24)'!K30+'24 上디비전리그(''24)'!K30</f>
        <v>4</v>
      </c>
      <c r="L30" s="91">
        <f>+'23 서구하반기(''24)'!L30+'23 下코모도리그(''24)'!L30+'24 上코모도리그(''24)'!L30+'24 上디비전리그(''24)'!L30</f>
        <v>0</v>
      </c>
      <c r="M30" s="89">
        <f>+'23 서구하반기(''24)'!M30+'23 下코모도리그(''24)'!M30+'24 上코모도리그(''24)'!M30+'24 上디비전리그(''24)'!M30</f>
        <v>2</v>
      </c>
      <c r="N30" s="52">
        <f>+'23 서구하반기(''24)'!N30+'23 下코모도리그(''24)'!N30+'24 上코모도리그(''24)'!N30+'24 上디비전리그(''24)'!N30</f>
        <v>7</v>
      </c>
      <c r="O30" s="52">
        <f>+'23 서구하반기(''24)'!O30+'23 下코모도리그(''24)'!O30+'24 上코모도리그(''24)'!O30+'24 上디비전리그(''24)'!O30</f>
        <v>1</v>
      </c>
      <c r="P30" s="90">
        <f t="shared" ref="P30:P37" si="14">+O30*9/H30</f>
        <v>6.7500016875004212</v>
      </c>
      <c r="Q30" s="38">
        <f>(K30+L30)/H30</f>
        <v>3.0000007500001873</v>
      </c>
      <c r="R30" s="39">
        <f>I30/H30</f>
        <v>3.0000007500001873</v>
      </c>
      <c r="S30" s="39">
        <f>H30/B30</f>
        <v>0.44444433333333339</v>
      </c>
      <c r="T30" s="40">
        <f>M30/H30</f>
        <v>1.5000003750000936</v>
      </c>
      <c r="U30" s="33">
        <f>O30/N30</f>
        <v>0.14285714285714285</v>
      </c>
      <c r="V30" s="38">
        <f>(I30+K30+L30)/H30</f>
        <v>6.0000015000003746</v>
      </c>
      <c r="X30" s="134">
        <f t="shared" ref="X30:X37" si="15">+(L30+K30)/F30*100</f>
        <v>26.666666666666668</v>
      </c>
      <c r="Y30" s="131"/>
    </row>
    <row r="31" spans="1:27" ht="19.5" customHeight="1" x14ac:dyDescent="0.3">
      <c r="A31" s="10" t="s">
        <v>15</v>
      </c>
      <c r="B31" s="52">
        <f>+'23 서구하반기(''24)'!B31+'23 下코모도리그(''24)'!B31+'24 上코모도리그(''24)'!B31+'24 上디비전리그(''24)'!B31</f>
        <v>16</v>
      </c>
      <c r="C31" s="52">
        <f>+'23 서구하반기(''24)'!C31+'23 下코모도리그(''24)'!C31+'24 上코모도리그(''24)'!C31+'24 上디비전리그(''24)'!C31</f>
        <v>8</v>
      </c>
      <c r="D31" s="52">
        <f>+'23 서구하반기(''24)'!D31+'23 下코모도리그(''24)'!D31+'24 上코모도리그(''24)'!D31+'24 上디비전리그(''24)'!D31</f>
        <v>4</v>
      </c>
      <c r="E31" s="52">
        <f>+'23 서구하반기(''24)'!E31+'23 下코모도리그(''24)'!E31+'24 上코모도리그(''24)'!E31+'24 上디비전리그(''24)'!E31</f>
        <v>1</v>
      </c>
      <c r="F31" s="52">
        <f>+'23 서구하반기(''24)'!F31+'23 下코모도리그(''24)'!F31+'24 上코모도리그(''24)'!F31+'24 上디비전리그(''24)'!F31</f>
        <v>324</v>
      </c>
      <c r="G31" s="52">
        <f>+'23 서구하반기(''24)'!G31+'23 下코모도리그(''24)'!G31+'24 上코모도리그(''24)'!G31+'24 上디비전리그(''24)'!G31</f>
        <v>276</v>
      </c>
      <c r="H31" s="77">
        <f>+'23 서구하반기(''24)'!H31+'23 下코모도리그(''24)'!H31+'24 上코모도리그(''24)'!H31+'24 上디비전리그(''24)'!H31</f>
        <v>61</v>
      </c>
      <c r="I31" s="89">
        <f>+'23 서구하반기(''24)'!I31+'23 下코모도리그(''24)'!I31+'24 上코모도리그(''24)'!I31+'24 上디비전리그(''24)'!I31</f>
        <v>71</v>
      </c>
      <c r="J31" s="52">
        <f>+'23 서구하반기(''24)'!J31+'23 下코모도리그(''24)'!J31+'24 上코모도리그(''24)'!J31+'24 上디비전리그(''24)'!J31</f>
        <v>1</v>
      </c>
      <c r="K31" s="91">
        <f>+'23 서구하반기(''24)'!K31+'23 下코모도리그(''24)'!K31+'24 上코모도리그(''24)'!K31+'24 上디비전리그(''24)'!K31</f>
        <v>45</v>
      </c>
      <c r="L31" s="91">
        <f>+'23 서구하반기(''24)'!L31+'23 下코모도리그(''24)'!L31+'24 上코모도리그(''24)'!L31+'24 上디비전리그(''24)'!L31</f>
        <v>10</v>
      </c>
      <c r="M31" s="89">
        <f>+'23 서구하반기(''24)'!M31+'23 下코모도리그(''24)'!M31+'24 上코모도리그(''24)'!M31+'24 上디비전리그(''24)'!M31</f>
        <v>82</v>
      </c>
      <c r="N31" s="52">
        <f>+'23 서구하반기(''24)'!N31+'23 下코모도리그(''24)'!N31+'24 上코모도리그(''24)'!N31+'24 上디비전리그(''24)'!N31</f>
        <v>79</v>
      </c>
      <c r="O31" s="52">
        <f>+'23 서구하반기(''24)'!O31+'23 下코모도리그(''24)'!O31+'24 上코모도리그(''24)'!O31+'24 上디비전리그(''24)'!O31</f>
        <v>50</v>
      </c>
      <c r="P31" s="90">
        <f t="shared" si="14"/>
        <v>7.3770491803278686</v>
      </c>
      <c r="Q31" s="38">
        <f>(K31+L31)/H31</f>
        <v>0.90163934426229508</v>
      </c>
      <c r="R31" s="39">
        <f>I31/H31</f>
        <v>1.1639344262295082</v>
      </c>
      <c r="S31" s="39">
        <f>H31/B31</f>
        <v>3.8125</v>
      </c>
      <c r="T31" s="40">
        <f>M31/H31</f>
        <v>1.3442622950819672</v>
      </c>
      <c r="U31" s="33">
        <f>O31/N31</f>
        <v>0.63291139240506333</v>
      </c>
      <c r="V31" s="38">
        <f>(I31+K31+L31)/H31</f>
        <v>2.0655737704918034</v>
      </c>
      <c r="X31" s="134">
        <f t="shared" si="15"/>
        <v>16.97530864197531</v>
      </c>
      <c r="Y31" s="131"/>
    </row>
    <row r="32" spans="1:27" ht="19.5" customHeight="1" x14ac:dyDescent="0.3">
      <c r="A32" s="10" t="s">
        <v>127</v>
      </c>
      <c r="B32" s="52">
        <f>'24 上코모도리그(''24)'!B32+'24 上디비전리그(''24)'!B32</f>
        <v>1</v>
      </c>
      <c r="C32" s="52">
        <f>'24 上코모도리그(''24)'!C32+'24 上디비전리그(''24)'!C32</f>
        <v>0</v>
      </c>
      <c r="D32" s="52">
        <f>'24 上코모도리그(''24)'!D32+'24 上디비전리그(''24)'!D32</f>
        <v>0</v>
      </c>
      <c r="E32" s="52">
        <f>'24 上코모도리그(''24)'!E32+'24 上디비전리그(''24)'!E32</f>
        <v>0</v>
      </c>
      <c r="F32" s="52">
        <f>'24 上코모도리그(''24)'!F32+'24 上디비전리그(''24)'!F32</f>
        <v>3</v>
      </c>
      <c r="G32" s="52">
        <f>'24 上코모도리그(''24)'!G32+'24 上디비전리그(''24)'!G32</f>
        <v>1</v>
      </c>
      <c r="H32" s="77">
        <f>'24 上코모도리그(''24)'!H32+'24 上디비전리그(''24)'!H32</f>
        <v>0.3333333</v>
      </c>
      <c r="I32" s="89">
        <f>'24 上코모도리그(''24)'!I32+'24 上디비전리그(''24)'!I32</f>
        <v>0</v>
      </c>
      <c r="J32" s="52">
        <f>'24 上코모도리그(''24)'!J32+'24 上디비전리그(''24)'!J32</f>
        <v>0</v>
      </c>
      <c r="K32" s="91">
        <f>'24 上코모도리그(''24)'!K32+'24 上디비전리그(''24)'!K32</f>
        <v>2</v>
      </c>
      <c r="L32" s="91">
        <f>'24 上코모도리그(''24)'!L32+'24 上디비전리그(''24)'!L32</f>
        <v>0</v>
      </c>
      <c r="M32" s="89">
        <f>'24 上코모도리그(''24)'!M32+'24 上디비전리그(''24)'!M32</f>
        <v>0</v>
      </c>
      <c r="N32" s="52">
        <f>'24 上코모도리그(''24)'!N32+'24 上디비전리그(''24)'!N32</f>
        <v>0</v>
      </c>
      <c r="O32" s="52">
        <f>'24 上코모도리그(''24)'!O32+'24 上디비전리그(''24)'!O32</f>
        <v>0</v>
      </c>
      <c r="P32" s="90">
        <f t="shared" si="14"/>
        <v>0</v>
      </c>
      <c r="Q32" s="38"/>
      <c r="R32" s="39"/>
      <c r="S32" s="39"/>
      <c r="T32" s="40"/>
      <c r="U32" s="33"/>
      <c r="V32" s="38"/>
      <c r="X32" s="134">
        <f t="shared" si="15"/>
        <v>66.666666666666657</v>
      </c>
      <c r="Y32" s="131"/>
    </row>
    <row r="33" spans="1:25" ht="19.5" customHeight="1" x14ac:dyDescent="0.3">
      <c r="A33" s="10" t="s">
        <v>50</v>
      </c>
      <c r="B33" s="52">
        <f>+'23 서구하반기(''24)'!B32+'23 下코모도리그(''24)'!B32+'24 上코모도리그(''24)'!B33+'24 上디비전리그(''24)'!B33</f>
        <v>7</v>
      </c>
      <c r="C33" s="52">
        <f>+'23 서구하반기(''24)'!C32+'23 下코모도리그(''24)'!C32+'24 上코모도리그(''24)'!C33+'24 上디비전리그(''24)'!C33</f>
        <v>2</v>
      </c>
      <c r="D33" s="52">
        <f>+'23 서구하반기(''24)'!D32+'23 下코모도리그(''24)'!D32+'24 上코모도리그(''24)'!D33+'24 上디비전리그(''24)'!D33</f>
        <v>2</v>
      </c>
      <c r="E33" s="52">
        <f>+'23 서구하반기(''24)'!E32+'23 下코모도리그(''24)'!E32+'24 上코모도리그(''24)'!E33+'24 上디비전리그(''24)'!E33</f>
        <v>0</v>
      </c>
      <c r="F33" s="52">
        <f>+'23 서구하반기(''24)'!F32+'23 下코모도리그(''24)'!F32+'24 上코모도리그(''24)'!F33+'24 上디비전리그(''24)'!F33</f>
        <v>64</v>
      </c>
      <c r="G33" s="52">
        <f>+'23 서구하반기(''24)'!G32+'23 下코모도리그(''24)'!G32+'24 上코모도리그(''24)'!G33+'24 上디비전리그(''24)'!G33</f>
        <v>42</v>
      </c>
      <c r="H33" s="77">
        <f>+'23 서구하반기(''24)'!H32+'23 下코모도리그(''24)'!H32+'24 上코모도리그(''24)'!H33+'24 上디비전리그(''24)'!H33</f>
        <v>7.6666600000000003</v>
      </c>
      <c r="I33" s="89">
        <f>+'23 서구하반기(''24)'!I32+'23 下코모도리그(''24)'!I32+'24 上코모도리그(''24)'!I33+'24 上디비전리그(''24)'!I33</f>
        <v>17</v>
      </c>
      <c r="J33" s="52">
        <f>+'23 서구하반기(''24)'!J32+'23 下코모도리그(''24)'!J32+'24 上코모도리그(''24)'!J33+'24 上디비전리그(''24)'!J33</f>
        <v>0</v>
      </c>
      <c r="K33" s="91">
        <f>+'23 서구하반기(''24)'!K32+'23 下코모도리그(''24)'!K32+'24 上코모도리그(''24)'!K33+'24 上디비전리그(''24)'!K33</f>
        <v>23</v>
      </c>
      <c r="L33" s="91">
        <f>+'23 서구하반기(''24)'!L32+'23 下코모도리그(''24)'!L32+'24 上코모도리그(''24)'!L33+'24 上디비전리그(''24)'!L33</f>
        <v>1</v>
      </c>
      <c r="M33" s="89">
        <f>+'23 서구하반기(''24)'!M32+'23 下코모도리그(''24)'!M32+'24 上코모도리그(''24)'!M33+'24 上디비전리그(''24)'!M33</f>
        <v>6</v>
      </c>
      <c r="N33" s="52">
        <f>+'23 서구하반기(''24)'!N32+'23 下코모도리그(''24)'!N32+'24 上코모도리그(''24)'!N33+'24 上디비전리그(''24)'!N33</f>
        <v>29</v>
      </c>
      <c r="O33" s="52">
        <f>+'23 서구하반기(''24)'!O32+'23 下코모도리그(''24)'!O32+'24 上코모도리그(''24)'!O33+'24 上디비전리그(''24)'!O33</f>
        <v>27</v>
      </c>
      <c r="P33" s="90">
        <f t="shared" si="14"/>
        <v>31.69567973537368</v>
      </c>
      <c r="Q33" s="38">
        <f>(K33+L33)/H33</f>
        <v>3.1304375047282651</v>
      </c>
      <c r="R33" s="39">
        <f>I33/H33</f>
        <v>2.2173932325158541</v>
      </c>
      <c r="S33" s="39">
        <f>H33/B33</f>
        <v>1.0952371428571428</v>
      </c>
      <c r="T33" s="40">
        <f>M33/H33</f>
        <v>0.78260937618206627</v>
      </c>
      <c r="U33" s="33">
        <f>O33/N33</f>
        <v>0.93103448275862066</v>
      </c>
      <c r="V33" s="38">
        <f>(I33+K33+L33)/H33</f>
        <v>5.3478307372441192</v>
      </c>
      <c r="X33" s="134">
        <f t="shared" si="15"/>
        <v>37.5</v>
      </c>
      <c r="Y33" s="131"/>
    </row>
    <row r="34" spans="1:25" ht="19.5" customHeight="1" x14ac:dyDescent="0.3">
      <c r="A34" s="10" t="s">
        <v>33</v>
      </c>
      <c r="B34" s="52">
        <f>+'23 서구하반기(''24)'!B33+'23 下코모도리그(''24)'!B33+'24 上코모도리그(''24)'!B34+'24 上디비전리그(''24)'!B34</f>
        <v>10</v>
      </c>
      <c r="C34" s="52">
        <f>+'23 서구하반기(''24)'!C33+'23 下코모도리그(''24)'!C33+'24 上코모도리그(''24)'!C34+'24 上디비전리그(''24)'!C34</f>
        <v>2</v>
      </c>
      <c r="D34" s="52">
        <f>+'23 서구하반기(''24)'!D33+'23 下코모도리그(''24)'!D33+'24 上코모도리그(''24)'!D34+'24 上디비전리그(''24)'!D34</f>
        <v>3</v>
      </c>
      <c r="E34" s="52">
        <f>+'23 서구하반기(''24)'!E33+'23 下코모도리그(''24)'!E33+'24 上코모도리그(''24)'!E34+'24 上디비전리그(''24)'!E34</f>
        <v>0</v>
      </c>
      <c r="F34" s="52">
        <f>+'23 서구하반기(''24)'!F33+'23 下코모도리그(''24)'!F33+'24 上코모도리그(''24)'!F34+'24 上디비전리그(''24)'!F34</f>
        <v>170</v>
      </c>
      <c r="G34" s="52">
        <f>+'23 서구하반기(''24)'!G33+'23 下코모도리그(''24)'!G33+'24 上코모도리그(''24)'!G34+'24 上디비전리그(''24)'!G34</f>
        <v>125</v>
      </c>
      <c r="H34" s="77">
        <f>+'23 서구하반기(''24)'!H33+'23 下코모도리그(''24)'!H33+'24 上코모도리그(''24)'!H34+'24 上디비전리그(''24)'!H34</f>
        <v>22.999966000000001</v>
      </c>
      <c r="I34" s="89">
        <f>+'23 서구하반기(''24)'!I33+'23 下코모도리그(''24)'!I33+'24 上코모도리그(''24)'!I34+'24 上디비전리그(''24)'!I34</f>
        <v>65</v>
      </c>
      <c r="J34" s="52">
        <f>+'23 서구하반기(''24)'!J33+'23 下코모도리그(''24)'!J33+'24 上코모도리그(''24)'!J34+'24 上디비전리그(''24)'!J34</f>
        <v>1</v>
      </c>
      <c r="K34" s="91">
        <f>+'23 서구하반기(''24)'!K33+'23 下코모도리그(''24)'!K33+'24 上코모도리그(''24)'!K34+'24 上디비전리그(''24)'!K34</f>
        <v>32</v>
      </c>
      <c r="L34" s="91">
        <f>+'23 서구하반기(''24)'!L33+'23 下코모도리그(''24)'!L33+'24 上코모도리그(''24)'!L34+'24 上디비전리그(''24)'!L34</f>
        <v>9</v>
      </c>
      <c r="M34" s="89">
        <f>+'23 서구하반기(''24)'!M33+'23 下코모도리그(''24)'!M33+'24 上코모도리그(''24)'!M34+'24 上디비전리그(''24)'!M34</f>
        <v>26</v>
      </c>
      <c r="N34" s="52">
        <f>+'23 서구하반기(''24)'!N33+'23 下코모도리그(''24)'!N33+'24 上코모도리그(''24)'!N34+'24 上디비전리그(''24)'!N34</f>
        <v>74</v>
      </c>
      <c r="O34" s="52">
        <f>+'23 서구하반기(''24)'!O33+'23 下코모도리그(''24)'!O33+'24 上코모도리그(''24)'!O34+'24 上디비전리그(''24)'!O34</f>
        <v>62</v>
      </c>
      <c r="P34" s="90">
        <f t="shared" si="14"/>
        <v>24.260905429164549</v>
      </c>
      <c r="Q34" s="38">
        <f>(K34+L34)/H34</f>
        <v>1.7826113308167499</v>
      </c>
      <c r="R34" s="39">
        <f>I34/H34</f>
        <v>2.8260911342216768</v>
      </c>
      <c r="S34" s="39">
        <f>H34/B34</f>
        <v>2.2999966000000001</v>
      </c>
      <c r="T34" s="40">
        <f>M34/H34</f>
        <v>1.1304364536886706</v>
      </c>
      <c r="U34" s="33">
        <f>O34/N34</f>
        <v>0.83783783783783783</v>
      </c>
      <c r="V34" s="38">
        <f>(I34+K34+L34)/H34</f>
        <v>4.6087024650384265</v>
      </c>
      <c r="X34" s="134">
        <f t="shared" si="15"/>
        <v>24.117647058823529</v>
      </c>
      <c r="Y34" s="131"/>
    </row>
    <row r="35" spans="1:25" ht="19.5" customHeight="1" x14ac:dyDescent="0.3">
      <c r="A35" s="10" t="s">
        <v>126</v>
      </c>
      <c r="B35" s="52">
        <f>'24 上코모도리그(''24)'!B35+'24 上디비전리그(''24)'!B35</f>
        <v>4</v>
      </c>
      <c r="C35" s="52">
        <f>'24 上코모도리그(''24)'!C35+'24 上디비전리그(''24)'!C35</f>
        <v>0</v>
      </c>
      <c r="D35" s="52">
        <f>'24 上코모도리그(''24)'!D35+'24 上디비전리그(''24)'!D35</f>
        <v>2</v>
      </c>
      <c r="E35" s="52">
        <f>'24 上코모도리그(''24)'!E35+'24 上디비전리그(''24)'!E35</f>
        <v>0</v>
      </c>
      <c r="F35" s="52">
        <f>'24 上코모도리그(''24)'!F35+'24 上디비전리그(''24)'!F35</f>
        <v>50</v>
      </c>
      <c r="G35" s="52">
        <f>'24 上코모도리그(''24)'!G35+'24 上디비전리그(''24)'!G35</f>
        <v>41</v>
      </c>
      <c r="H35" s="77">
        <f>'24 上코모도리그(''24)'!H35+'24 上디비전리그(''24)'!H35</f>
        <v>4.6666666666600003</v>
      </c>
      <c r="I35" s="89">
        <f>'24 上코모도리그(''24)'!I35+'24 上디비전리그(''24)'!I35</f>
        <v>25</v>
      </c>
      <c r="J35" s="52">
        <f>'24 上코모도리그(''24)'!J35+'24 上디비전리그(''24)'!J35</f>
        <v>2</v>
      </c>
      <c r="K35" s="91">
        <f>'24 上코모도리그(''24)'!K35+'24 上디비전리그(''24)'!K35</f>
        <v>7</v>
      </c>
      <c r="L35" s="91">
        <f>'24 上코모도리그(''24)'!L35+'24 上디비전리그(''24)'!L35</f>
        <v>2</v>
      </c>
      <c r="M35" s="89">
        <f>'24 上코모도리그(''24)'!M35+'24 上디비전리그(''24)'!M35</f>
        <v>5</v>
      </c>
      <c r="N35" s="52">
        <f>'24 上코모도리그(''24)'!N35+'24 上디비전리그(''24)'!N35</f>
        <v>31</v>
      </c>
      <c r="O35" s="52">
        <f>'24 上코모도리그(''24)'!O35+'24 上디비전리그(''24)'!O35</f>
        <v>23</v>
      </c>
      <c r="P35" s="90">
        <f t="shared" si="14"/>
        <v>44.35714285720622</v>
      </c>
      <c r="Q35" s="38">
        <f>(K35+L35)/H35</f>
        <v>1.9285714285741835</v>
      </c>
      <c r="R35" s="39">
        <f>I35/H35</f>
        <v>5.3571428571505102</v>
      </c>
      <c r="S35" s="39">
        <f>H35/B35</f>
        <v>1.1666666666650001</v>
      </c>
      <c r="T35" s="40">
        <f>M35/H35</f>
        <v>1.071428571430102</v>
      </c>
      <c r="U35" s="33">
        <f>O35/N35</f>
        <v>0.74193548387096775</v>
      </c>
      <c r="V35" s="38">
        <f>(I35+K35+L35)/H35</f>
        <v>7.2857142857246933</v>
      </c>
      <c r="X35" s="134">
        <f t="shared" si="15"/>
        <v>18</v>
      </c>
      <c r="Y35" s="131"/>
    </row>
    <row r="36" spans="1:25" ht="19.5" customHeight="1" x14ac:dyDescent="0.3">
      <c r="A36" s="10" t="s">
        <v>47</v>
      </c>
      <c r="B36" s="52">
        <f>+'23 서구하반기(''24)'!B34+'23 下코모도리그(''24)'!B34+'24 上코모도리그(''24)'!B36+'24 上디비전리그(''24)'!B36</f>
        <v>2</v>
      </c>
      <c r="C36" s="52">
        <f>+'23 서구하반기(''24)'!C34+'23 下코모도리그(''24)'!C34+'24 上코모도리그(''24)'!C36+'24 上디비전리그(''24)'!C36</f>
        <v>0</v>
      </c>
      <c r="D36" s="52">
        <f>+'23 서구하반기(''24)'!D34+'23 下코모도리그(''24)'!D34+'24 上코모도리그(''24)'!D36+'24 上디비전리그(''24)'!D36</f>
        <v>0</v>
      </c>
      <c r="E36" s="52">
        <f>+'23 서구하반기(''24)'!E34+'23 下코모도리그(''24)'!E34+'24 上코모도리그(''24)'!E36+'24 上디비전리그(''24)'!E36</f>
        <v>1</v>
      </c>
      <c r="F36" s="52">
        <f>+'23 서구하반기(''24)'!F34+'23 下코모도리그(''24)'!F34+'24 上코모도리그(''24)'!F36+'24 上디비전리그(''24)'!F36</f>
        <v>5</v>
      </c>
      <c r="G36" s="52">
        <f>+'23 서구하반기(''24)'!G34+'23 下코모도리그(''24)'!G34+'24 上코모도리그(''24)'!G36+'24 上디비전리그(''24)'!G36</f>
        <v>2</v>
      </c>
      <c r="H36" s="77">
        <f>+'23 서구하반기(''24)'!H34+'23 下코모도리그(''24)'!H34+'24 上코모도리그(''24)'!H36+'24 上디비전리그(''24)'!H36</f>
        <v>0.66666666333300006</v>
      </c>
      <c r="I36" s="89">
        <f>+'23 서구하반기(''24)'!I34+'23 下코모도리그(''24)'!I34+'24 上코모도리그(''24)'!I36+'24 上디비전리그(''24)'!I36</f>
        <v>0</v>
      </c>
      <c r="J36" s="52">
        <f>+'23 서구하반기(''24)'!J34+'23 下코모도리그(''24)'!J34+'24 上코모도리그(''24)'!J36+'24 上디비전리그(''24)'!J36</f>
        <v>0</v>
      </c>
      <c r="K36" s="91">
        <f>+'23 서구하반기(''24)'!K34+'23 下코모도리그(''24)'!K34+'24 上코모도리그(''24)'!K36+'24 上디비전리그(''24)'!K36</f>
        <v>2</v>
      </c>
      <c r="L36" s="91">
        <f>+'23 서구하반기(''24)'!L34+'23 下코모도리그(''24)'!L34+'24 上코모도리그(''24)'!L36+'24 上디비전리그(''24)'!L36</f>
        <v>1</v>
      </c>
      <c r="M36" s="89">
        <f>+'23 서구하반기(''24)'!M34+'23 下코모도리그(''24)'!M34+'24 上코모도리그(''24)'!M36+'24 上디비전리그(''24)'!M36</f>
        <v>0</v>
      </c>
      <c r="N36" s="52">
        <f>+'23 서구하반기(''24)'!N34+'23 下코모도리그(''24)'!N34+'24 上코모도리그(''24)'!N36+'24 上디비전리그(''24)'!N36</f>
        <v>1</v>
      </c>
      <c r="O36" s="52">
        <f>+'23 서구하반기(''24)'!O34+'23 下코모도리그(''24)'!O34+'24 上코모도리그(''24)'!O36+'24 上디비전리그(''24)'!O36</f>
        <v>0</v>
      </c>
      <c r="P36" s="90">
        <f t="shared" si="14"/>
        <v>0</v>
      </c>
      <c r="Q36" s="38">
        <f>(K36+L36)/H36</f>
        <v>4.5000000225022498</v>
      </c>
      <c r="R36" s="39">
        <f>I36/H36</f>
        <v>0</v>
      </c>
      <c r="S36" s="39">
        <f>H36/B36</f>
        <v>0.33333333166650003</v>
      </c>
      <c r="T36" s="40">
        <f>M36/H36</f>
        <v>0</v>
      </c>
      <c r="U36" s="33">
        <f>O36/N36</f>
        <v>0</v>
      </c>
      <c r="V36" s="38">
        <f>(I36+K36+L36)/H36</f>
        <v>4.5000000225022498</v>
      </c>
      <c r="X36" s="134">
        <f t="shared" si="15"/>
        <v>60</v>
      </c>
      <c r="Y36" s="131"/>
    </row>
    <row r="37" spans="1:25" ht="19.5" customHeight="1" x14ac:dyDescent="0.3">
      <c r="A37" s="10" t="s">
        <v>22</v>
      </c>
      <c r="B37" s="52">
        <f>+'23 서구하반기(''24)'!B35+'23 下코모도리그(''24)'!B35+'24 上코모도리그(''24)'!B37+'24 上디비전리그(''24)'!B37</f>
        <v>14</v>
      </c>
      <c r="C37" s="52">
        <f>+'23 서구하반기(''24)'!C35+'23 下코모도리그(''24)'!C35+'24 上코모도리그(''24)'!C37+'24 上디비전리그(''24)'!C37</f>
        <v>3</v>
      </c>
      <c r="D37" s="52">
        <f>+'23 서구하반기(''24)'!D35+'23 下코모도리그(''24)'!D35+'24 上코모도리그(''24)'!D37+'24 上디비전리그(''24)'!D37</f>
        <v>3</v>
      </c>
      <c r="E37" s="52">
        <f>+'23 서구하반기(''24)'!E35+'23 下코모도리그(''24)'!E35+'24 上코모도리그(''24)'!E37+'24 上디비전리그(''24)'!E37</f>
        <v>0</v>
      </c>
      <c r="F37" s="52">
        <f>+'23 서구하반기(''24)'!F35+'23 下코모도리그(''24)'!F35+'24 上코모도리그(''24)'!F37+'24 上디비전리그(''24)'!F37</f>
        <v>160</v>
      </c>
      <c r="G37" s="52">
        <f>+'23 서구하반기(''24)'!G35+'23 下코모도리그(''24)'!G35+'24 上코모도리그(''24)'!G37+'24 上디비전리그(''24)'!G37</f>
        <v>113</v>
      </c>
      <c r="H37" s="77">
        <f>+'23 서구하반기(''24)'!H35+'23 下코모도리그(''24)'!H35+'24 上코모도리그(''24)'!H37+'24 上디비전리그(''24)'!H37</f>
        <v>26.666666320000001</v>
      </c>
      <c r="I37" s="89">
        <f>+'23 서구하반기(''24)'!I35+'23 下코모도리그(''24)'!I35+'24 上코모도리그(''24)'!I37+'24 上디비전리그(''24)'!I37</f>
        <v>31</v>
      </c>
      <c r="J37" s="52">
        <f>+'23 서구하반기(''24)'!J35+'23 下코모도리그(''24)'!J35+'24 上코모도리그(''24)'!J37+'24 上디비전리그(''24)'!J37</f>
        <v>0</v>
      </c>
      <c r="K37" s="91">
        <f>+'23 서구하반기(''24)'!K35+'23 下코모도리그(''24)'!K35+'24 上코모도리그(''24)'!K37+'24 上디비전리그(''24)'!K37</f>
        <v>33</v>
      </c>
      <c r="L37" s="91">
        <f>+'23 서구하반기(''24)'!L35+'23 下코모도리그(''24)'!L35+'24 上코모도리그(''24)'!L37+'24 上디비전리그(''24)'!L37</f>
        <v>10</v>
      </c>
      <c r="M37" s="89">
        <f>+'23 서구하반기(''24)'!M35+'23 下코모도리그(''24)'!M35+'24 上코모도리그(''24)'!M37+'24 上디비전리그(''24)'!M37</f>
        <v>45</v>
      </c>
      <c r="N37" s="52">
        <f>+'23 서구하반기(''24)'!N35+'23 下코모도리그(''24)'!N35+'24 上코모도리그(''24)'!N37+'24 上디비전리그(''24)'!N37</f>
        <v>42</v>
      </c>
      <c r="O37" s="52">
        <f>+'23 서구하반기(''24)'!O35+'23 下코모도리그(''24)'!O35+'24 上코모도리그(''24)'!O37+'24 上디비전리그(''24)'!O37</f>
        <v>35</v>
      </c>
      <c r="P37" s="90">
        <f t="shared" si="14"/>
        <v>11.812500153562501</v>
      </c>
      <c r="Q37" s="38">
        <f>(K37+L37)/H37</f>
        <v>1.6125000209625002</v>
      </c>
      <c r="R37" s="39">
        <f>I37/H37</f>
        <v>1.1625000151125002</v>
      </c>
      <c r="S37" s="39">
        <f>H37/B37</f>
        <v>1.9047618800000001</v>
      </c>
      <c r="T37" s="40">
        <f>M37/H37</f>
        <v>1.6875000219375003</v>
      </c>
      <c r="U37" s="33">
        <f>O37/N37</f>
        <v>0.83333333333333337</v>
      </c>
      <c r="V37" s="38">
        <f>(I37+K37+L37)/H37</f>
        <v>2.7750000360750002</v>
      </c>
      <c r="X37" s="134">
        <f t="shared" si="15"/>
        <v>26.875</v>
      </c>
      <c r="Y37" s="131"/>
    </row>
    <row r="38" spans="1:25" ht="19.5" customHeight="1" x14ac:dyDescent="0.3">
      <c r="A38" s="11" t="s">
        <v>10</v>
      </c>
      <c r="B38" s="11"/>
      <c r="C38" s="11">
        <f t="shared" ref="C38:O38" si="16">SUM(C28:C37)</f>
        <v>16</v>
      </c>
      <c r="D38" s="11">
        <f t="shared" si="16"/>
        <v>14</v>
      </c>
      <c r="E38" s="11">
        <f t="shared" si="16"/>
        <v>2</v>
      </c>
      <c r="F38" s="11">
        <f t="shared" si="16"/>
        <v>823</v>
      </c>
      <c r="G38" s="11">
        <f t="shared" si="16"/>
        <v>623</v>
      </c>
      <c r="H38" s="15">
        <f t="shared" si="16"/>
        <v>127.99962528332301</v>
      </c>
      <c r="I38" s="11">
        <f t="shared" si="16"/>
        <v>217</v>
      </c>
      <c r="J38" s="11">
        <f t="shared" si="16"/>
        <v>4</v>
      </c>
      <c r="K38" s="11">
        <f t="shared" si="16"/>
        <v>167</v>
      </c>
      <c r="L38" s="11">
        <f t="shared" si="16"/>
        <v>33</v>
      </c>
      <c r="M38" s="11">
        <f t="shared" si="16"/>
        <v>167</v>
      </c>
      <c r="N38" s="11">
        <f t="shared" si="16"/>
        <v>285</v>
      </c>
      <c r="O38" s="11">
        <f t="shared" si="16"/>
        <v>215</v>
      </c>
      <c r="P38" s="16">
        <f t="shared" ref="P38" si="17">+O38*9/H38</f>
        <v>15.117231755303505</v>
      </c>
      <c r="Q38" s="34">
        <f t="shared" ref="Q38" si="18">(K38+L38)/H38</f>
        <v>1.5625045741915766</v>
      </c>
      <c r="R38" s="35">
        <f t="shared" ref="R38" si="19">I38/H38</f>
        <v>1.6953174629978607</v>
      </c>
      <c r="S38" s="35"/>
      <c r="T38" s="36">
        <f t="shared" ref="T38" si="20">M38/H38</f>
        <v>1.3046913194499665</v>
      </c>
      <c r="U38" s="37">
        <f t="shared" ref="U38" si="21">O38/N38</f>
        <v>0.75438596491228072</v>
      </c>
      <c r="V38" s="34">
        <f t="shared" ref="V38" si="22">(I38+K38+L38)/H38</f>
        <v>3.2578220371894373</v>
      </c>
      <c r="X38" s="34"/>
      <c r="Y38" s="131"/>
    </row>
    <row r="41" spans="1:25" x14ac:dyDescent="0.3">
      <c r="G41">
        <f>+(K38+L38)/F38</f>
        <v>0.24301336573511542</v>
      </c>
    </row>
  </sheetData>
  <sortState xmlns:xlrd2="http://schemas.microsoft.com/office/spreadsheetml/2017/richdata2" ref="A28:X37">
    <sortCondition ref="A28:A37"/>
  </sortState>
  <phoneticPr fontId="10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AA5CC-AE79-45DC-8973-1A4A89073F18}">
  <sheetPr>
    <tabColor rgb="FFFFC000"/>
  </sheetPr>
  <dimension ref="A1:AI48"/>
  <sheetViews>
    <sheetView showGridLines="0" topLeftCell="K1" zoomScale="70" zoomScaleNormal="70" zoomScaleSheetLayoutView="75" workbookViewId="0">
      <pane ySplit="3" topLeftCell="A8" activePane="bottomLeft" state="frozen"/>
      <selection activeCell="D16" sqref="D16"/>
      <selection pane="bottomLeft" activeCell="D16" sqref="D16"/>
    </sheetView>
  </sheetViews>
  <sheetFormatPr defaultColWidth="9" defaultRowHeight="16.5" x14ac:dyDescent="0.3"/>
  <cols>
    <col min="1" max="1" width="8.875" customWidth="1"/>
    <col min="2" max="2" width="15.625" customWidth="1"/>
    <col min="3" max="20" width="8.875" customWidth="1"/>
  </cols>
  <sheetData>
    <row r="1" spans="1:35" ht="26.25" x14ac:dyDescent="0.3">
      <c r="A1" s="24" t="s">
        <v>98</v>
      </c>
      <c r="B1" s="24"/>
    </row>
    <row r="2" spans="1:35" ht="17.25" x14ac:dyDescent="0.3">
      <c r="A2" s="4" t="s">
        <v>1</v>
      </c>
      <c r="B2" s="4"/>
    </row>
    <row r="3" spans="1:35" ht="17.25" x14ac:dyDescent="0.3">
      <c r="A3" s="10" t="s">
        <v>27</v>
      </c>
      <c r="B3" s="10" t="s">
        <v>160</v>
      </c>
      <c r="C3" s="10" t="s">
        <v>46</v>
      </c>
      <c r="D3" s="10" t="s">
        <v>57</v>
      </c>
      <c r="E3" s="10" t="s">
        <v>19</v>
      </c>
      <c r="F3" s="10" t="s">
        <v>38</v>
      </c>
      <c r="G3" s="10" t="s">
        <v>53</v>
      </c>
      <c r="H3" s="10" t="s">
        <v>65</v>
      </c>
      <c r="I3" s="10" t="s">
        <v>72</v>
      </c>
      <c r="J3" s="10" t="s">
        <v>0</v>
      </c>
      <c r="K3" s="10" t="s">
        <v>73</v>
      </c>
      <c r="L3" s="10" t="s">
        <v>31</v>
      </c>
      <c r="M3" s="10" t="s">
        <v>36</v>
      </c>
      <c r="N3" s="10" t="s">
        <v>40</v>
      </c>
      <c r="O3" s="10" t="s">
        <v>29</v>
      </c>
      <c r="P3" s="10" t="s">
        <v>58</v>
      </c>
      <c r="Q3" s="10" t="s">
        <v>28</v>
      </c>
      <c r="R3" s="10" t="s">
        <v>84</v>
      </c>
      <c r="S3" s="10" t="s">
        <v>37</v>
      </c>
      <c r="T3" s="43" t="s">
        <v>83</v>
      </c>
    </row>
    <row r="4" spans="1:35" ht="15" customHeight="1" x14ac:dyDescent="0.3">
      <c r="A4" s="133" t="s">
        <v>59</v>
      </c>
      <c r="B4" s="143" t="s">
        <v>169</v>
      </c>
      <c r="C4" s="1">
        <f>+'22년 시즌'!B4+'23년 시즌'!B4+'24년 시즌'!B4+'25년 시즌'!B4+'25년 시즌'!B4</f>
        <v>52</v>
      </c>
      <c r="D4" s="86">
        <f t="shared" ref="D4:D15" si="0">+G4/F4</f>
        <v>0.52212389380530977</v>
      </c>
      <c r="E4" s="1">
        <f>+'22년 시즌'!D4+'23년 시즌'!D4+'24년 시즌'!D4+'25년 시즌'!D4+'25년 시즌'!D4</f>
        <v>137</v>
      </c>
      <c r="F4" s="1">
        <f>+'22년 시즌'!E4+'23년 시즌'!E4+'24년 시즌'!E4+'25년 시즌'!E4+'25년 시즌'!E4</f>
        <v>113</v>
      </c>
      <c r="G4" s="1">
        <f>+'22년 시즌'!F4+'23년 시즌'!F4+'24년 시즌'!F4+'25년 시즌'!F4+'25년 시즌'!F4</f>
        <v>59</v>
      </c>
      <c r="H4" s="1">
        <f>+'22년 시즌'!G4+'23년 시즌'!G4+'24년 시즌'!G4+'25년 시즌'!G4+'25년 시즌'!G4</f>
        <v>42</v>
      </c>
      <c r="I4" s="1">
        <f>+'22년 시즌'!H4+'23년 시즌'!H4+'24년 시즌'!H4+'25년 시즌'!H4+'25년 시즌'!H4</f>
        <v>8</v>
      </c>
      <c r="J4" s="1">
        <f>+'22년 시즌'!I4+'23년 시즌'!I4+'24년 시즌'!I4+'25년 시즌'!I4+'25년 시즌'!I4</f>
        <v>5</v>
      </c>
      <c r="K4" s="1">
        <f>+'22년 시즌'!J4+'23년 시즌'!J4+'24년 시즌'!J4+'25년 시즌'!J4+'25년 시즌'!J4</f>
        <v>4</v>
      </c>
      <c r="L4" s="1">
        <f>+'22년 시즌'!K4+'23년 시즌'!K4+'24년 시즌'!K4+'25년 시즌'!K4+'25년 시즌'!K4</f>
        <v>78</v>
      </c>
      <c r="M4" s="1">
        <f>+'22년 시즌'!L4+'23년 시즌'!L4+'24년 시즌'!L4+'25년 시즌'!L4+'25년 시즌'!L4</f>
        <v>48</v>
      </c>
      <c r="N4" s="1">
        <f>+'22년 시즌'!M4+'23년 시즌'!M4+'24년 시즌'!M4+'25년 시즌'!M4+'25년 시즌'!M4</f>
        <v>68</v>
      </c>
      <c r="O4" s="1">
        <f>+'22년 시즌'!N4+'23년 시즌'!N4+'24년 시즌'!N4+'25년 시즌'!N4+'25년 시즌'!N4</f>
        <v>18</v>
      </c>
      <c r="P4" s="1">
        <f>+'22년 시즌'!O4+'23년 시즌'!O4+'24년 시즌'!O4+'25년 시즌'!O4+'25년 시즌'!O4</f>
        <v>19</v>
      </c>
      <c r="Q4" s="136">
        <f t="shared" ref="Q4:Q15" si="1">+P4/E4</f>
        <v>0.13868613138686131</v>
      </c>
      <c r="R4" s="46">
        <f t="shared" ref="R4:R15" si="2">+(H4*1+I4*2+J4*3+K4*4)/F4</f>
        <v>0.78761061946902655</v>
      </c>
      <c r="S4" s="28">
        <f t="shared" ref="S4:S15" si="3">+(G4+O4)/E4</f>
        <v>0.56204379562043794</v>
      </c>
      <c r="T4" s="58">
        <f t="shared" ref="T4:T15" si="4">+S4+R4</f>
        <v>1.3496544150894645</v>
      </c>
    </row>
    <row r="5" spans="1:35" ht="17.25" x14ac:dyDescent="0.3">
      <c r="A5" s="133" t="s">
        <v>34</v>
      </c>
      <c r="B5" s="143" t="s">
        <v>165</v>
      </c>
      <c r="C5" s="1">
        <f>+'22년 시즌'!B5+'23년 시즌'!B5+'24년 시즌'!B5+'25년 시즌'!B5+'25년 시즌'!B5</f>
        <v>63</v>
      </c>
      <c r="D5" s="86">
        <f t="shared" si="0"/>
        <v>0.44094488188976377</v>
      </c>
      <c r="E5" s="1">
        <f>+'22년 시즌'!D5+'23년 시즌'!D5+'24년 시즌'!D5+'25년 시즌'!D5+'25년 시즌'!D5</f>
        <v>171</v>
      </c>
      <c r="F5" s="1">
        <f>+'22년 시즌'!E5+'23년 시즌'!E5+'24년 시즌'!E5+'25년 시즌'!E5+'25년 시즌'!E5</f>
        <v>127</v>
      </c>
      <c r="G5" s="1">
        <f>+'22년 시즌'!F5+'23년 시즌'!F5+'24년 시즌'!F5+'25년 시즌'!F5+'25년 시즌'!F5</f>
        <v>56</v>
      </c>
      <c r="H5" s="1">
        <f>+'22년 시즌'!G5+'23년 시즌'!G5+'24년 시즌'!G5+'25년 시즌'!G5+'25년 시즌'!G5</f>
        <v>26</v>
      </c>
      <c r="I5" s="1">
        <f>+'22년 시즌'!H5+'23년 시즌'!H5+'24년 시즌'!H5+'25년 시즌'!H5+'25년 시즌'!H5</f>
        <v>24</v>
      </c>
      <c r="J5" s="1">
        <f>+'22년 시즌'!I5+'23년 시즌'!I5+'24년 시즌'!I5+'25년 시즌'!I5+'25년 시즌'!I5</f>
        <v>4</v>
      </c>
      <c r="K5" s="1">
        <f>+'22년 시즌'!J5+'23년 시즌'!J5+'24년 시즌'!J5+'25년 시즌'!J5+'25년 시즌'!J5</f>
        <v>2</v>
      </c>
      <c r="L5" s="1">
        <f>+'22년 시즌'!K5+'23년 시즌'!K5+'24년 시즌'!K5+'25년 시즌'!K5+'25년 시즌'!K5</f>
        <v>64</v>
      </c>
      <c r="M5" s="1">
        <f>+'22년 시즌'!L5+'23년 시즌'!L5+'24년 시즌'!L5+'25년 시즌'!L5+'25년 시즌'!L5</f>
        <v>56</v>
      </c>
      <c r="N5" s="1">
        <f>+'22년 시즌'!M5+'23년 시즌'!M5+'24년 시즌'!M5+'25년 시즌'!M5+'25년 시즌'!M5</f>
        <v>40</v>
      </c>
      <c r="O5" s="1">
        <f>+'22년 시즌'!N5+'23년 시즌'!N5+'24년 시즌'!N5+'25년 시즌'!N5+'25년 시즌'!N5</f>
        <v>37</v>
      </c>
      <c r="P5" s="1">
        <f>+'22년 시즌'!O5+'23년 시즌'!O5+'24년 시즌'!O5+'25년 시즌'!O5+'25년 시즌'!O5</f>
        <v>23</v>
      </c>
      <c r="Q5" s="136">
        <f t="shared" si="1"/>
        <v>0.13450292397660818</v>
      </c>
      <c r="R5" s="46">
        <f t="shared" si="2"/>
        <v>0.74015748031496065</v>
      </c>
      <c r="S5" s="28">
        <f t="shared" si="3"/>
        <v>0.54385964912280704</v>
      </c>
      <c r="T5" s="58">
        <f t="shared" si="4"/>
        <v>1.2840171294377676</v>
      </c>
    </row>
    <row r="6" spans="1:35" ht="17.25" x14ac:dyDescent="0.3">
      <c r="A6" s="133" t="s">
        <v>44</v>
      </c>
      <c r="B6" s="143" t="s">
        <v>171</v>
      </c>
      <c r="C6" s="1">
        <f>+'22년 시즌'!B6+'23년 시즌'!B6+'24년 시즌'!B6+'25년 시즌'!B6+'25년 시즌'!B6</f>
        <v>80</v>
      </c>
      <c r="D6" s="86">
        <f t="shared" si="0"/>
        <v>0.52763819095477382</v>
      </c>
      <c r="E6" s="1">
        <f>+'22년 시즌'!D6+'23년 시즌'!D6+'24년 시즌'!D6+'25년 시즌'!D6+'25년 시즌'!D6</f>
        <v>234</v>
      </c>
      <c r="F6" s="1">
        <f>+'22년 시즌'!E6+'23년 시즌'!E6+'24년 시즌'!E6+'25년 시즌'!E6+'25년 시즌'!E6</f>
        <v>199</v>
      </c>
      <c r="G6" s="1">
        <f>+'22년 시즌'!F6+'23년 시즌'!F6+'24년 시즌'!F6+'25년 시즌'!F6+'25년 시즌'!F6</f>
        <v>105</v>
      </c>
      <c r="H6" s="1">
        <f>+'22년 시즌'!G6+'23년 시즌'!G6+'24년 시즌'!G6+'25년 시즌'!G6+'25년 시즌'!G6</f>
        <v>68</v>
      </c>
      <c r="I6" s="1">
        <f>+'22년 시즌'!H6+'23년 시즌'!H6+'24년 시즌'!H6+'25년 시즌'!H6+'25년 시즌'!H6</f>
        <v>30</v>
      </c>
      <c r="J6" s="1">
        <f>+'22년 시즌'!I6+'23년 시즌'!I6+'24년 시즌'!I6+'25년 시즌'!I6+'25년 시즌'!I6</f>
        <v>6</v>
      </c>
      <c r="K6" s="1">
        <f>+'22년 시즌'!J6+'23년 시즌'!J6+'24년 시즌'!J6+'25년 시즌'!J6+'25년 시즌'!J6</f>
        <v>1</v>
      </c>
      <c r="L6" s="1">
        <f>+'22년 시즌'!K6+'23년 시즌'!K6+'24년 시즌'!K6+'25년 시즌'!K6+'25년 시즌'!K6</f>
        <v>93</v>
      </c>
      <c r="M6" s="1">
        <f>+'22년 시즌'!L6+'23년 시즌'!L6+'24년 시즌'!L6+'25년 시즌'!L6+'25년 시즌'!L6</f>
        <v>98</v>
      </c>
      <c r="N6" s="1">
        <f>+'22년 시즌'!M6+'23년 시즌'!M6+'24년 시즌'!M6+'25년 시즌'!M6+'25년 시즌'!M6</f>
        <v>61</v>
      </c>
      <c r="O6" s="1">
        <f>+'22년 시즌'!N6+'23년 시즌'!N6+'24년 시즌'!N6+'25년 시즌'!N6+'25년 시즌'!N6</f>
        <v>33</v>
      </c>
      <c r="P6" s="1">
        <f>+'22년 시즌'!O6+'23년 시즌'!O6+'24년 시즌'!O6+'25년 시즌'!O6+'25년 시즌'!O6</f>
        <v>15</v>
      </c>
      <c r="Q6" s="136">
        <f t="shared" si="1"/>
        <v>6.4102564102564097E-2</v>
      </c>
      <c r="R6" s="46">
        <f t="shared" si="2"/>
        <v>0.75376884422110557</v>
      </c>
      <c r="S6" s="28">
        <f t="shared" si="3"/>
        <v>0.58974358974358976</v>
      </c>
      <c r="T6" s="58">
        <f t="shared" si="4"/>
        <v>1.3435124339646953</v>
      </c>
    </row>
    <row r="7" spans="1:35" ht="17.25" x14ac:dyDescent="0.3">
      <c r="A7" s="133" t="s">
        <v>4</v>
      </c>
      <c r="B7" s="143" t="s">
        <v>172</v>
      </c>
      <c r="C7" s="1">
        <f>+'22년 시즌'!B8+'23년 시즌'!B8+'24년 시즌'!B8+'25년 시즌'!B8+'25년 시즌'!B8</f>
        <v>62</v>
      </c>
      <c r="D7" s="86">
        <f t="shared" si="0"/>
        <v>0.38738738738738737</v>
      </c>
      <c r="E7" s="1">
        <f>+'22년 시즌'!D8+'23년 시즌'!D8+'24년 시즌'!D8+'25년 시즌'!D8+'25년 시즌'!D8</f>
        <v>144</v>
      </c>
      <c r="F7" s="1">
        <f>+'22년 시즌'!E8+'23년 시즌'!E8+'24년 시즌'!E8+'25년 시즌'!E8+'25년 시즌'!E8</f>
        <v>111</v>
      </c>
      <c r="G7" s="1">
        <f>+'22년 시즌'!F8+'23년 시즌'!F8+'24년 시즌'!F8+'25년 시즌'!F8+'25년 시즌'!F8</f>
        <v>43</v>
      </c>
      <c r="H7" s="1">
        <f>+'22년 시즌'!G8+'23년 시즌'!G8+'24년 시즌'!G8+'25년 시즌'!G8+'25년 시즌'!G8</f>
        <v>32</v>
      </c>
      <c r="I7" s="1">
        <f>+'22년 시즌'!H8+'23년 시즌'!H8+'24년 시즌'!H8+'25년 시즌'!H8+'25년 시즌'!H8</f>
        <v>7</v>
      </c>
      <c r="J7" s="1">
        <f>+'22년 시즌'!I8+'23년 시즌'!I8+'24년 시즌'!I8+'25년 시즌'!I8+'25년 시즌'!I8</f>
        <v>3</v>
      </c>
      <c r="K7" s="1">
        <f>+'22년 시즌'!J8+'23년 시즌'!J8+'24년 시즌'!J8+'25년 시즌'!J8+'25년 시즌'!J8</f>
        <v>1</v>
      </c>
      <c r="L7" s="1">
        <f>+'22년 시즌'!K8+'23년 시즌'!K8+'24년 시즌'!K8+'25년 시즌'!K8+'25년 시즌'!K8</f>
        <v>47</v>
      </c>
      <c r="M7" s="1">
        <f>+'22년 시즌'!L8+'23년 시즌'!L8+'24년 시즌'!L8+'25년 시즌'!L8+'25년 시즌'!L8</f>
        <v>39</v>
      </c>
      <c r="N7" s="1">
        <f>+'22년 시즌'!M8+'23년 시즌'!M8+'24년 시즌'!M8+'25년 시즌'!M8+'25년 시즌'!M8</f>
        <v>23</v>
      </c>
      <c r="O7" s="1">
        <f>+'22년 시즌'!N8+'23년 시즌'!N8+'24년 시즌'!N8+'25년 시즌'!N8+'25년 시즌'!N8</f>
        <v>30</v>
      </c>
      <c r="P7" s="1">
        <f>+'22년 시즌'!O8+'23년 시즌'!O8+'24년 시즌'!O8+'25년 시즌'!O8+'25년 시즌'!O8</f>
        <v>27</v>
      </c>
      <c r="Q7" s="136">
        <f t="shared" si="1"/>
        <v>0.1875</v>
      </c>
      <c r="R7" s="46">
        <f t="shared" si="2"/>
        <v>0.53153153153153154</v>
      </c>
      <c r="S7" s="28">
        <f t="shared" si="3"/>
        <v>0.50694444444444442</v>
      </c>
      <c r="T7" s="58">
        <f t="shared" si="4"/>
        <v>1.0384759759759761</v>
      </c>
      <c r="W7" s="142"/>
      <c r="X7" s="142"/>
      <c r="Y7" s="142"/>
    </row>
    <row r="8" spans="1:35" ht="17.25" x14ac:dyDescent="0.3">
      <c r="A8" s="133" t="s">
        <v>51</v>
      </c>
      <c r="B8" s="143" t="s">
        <v>167</v>
      </c>
      <c r="C8" s="1">
        <f>+'22년 시즌'!B9+'23년 시즌'!B9+'24년 시즌'!B9+'25년 시즌'!B9+'25년 시즌'!B9</f>
        <v>48</v>
      </c>
      <c r="D8" s="86">
        <f t="shared" si="0"/>
        <v>0.33333333333333331</v>
      </c>
      <c r="E8" s="1">
        <f>+'22년 시즌'!D9+'23년 시즌'!D9+'24년 시즌'!D9+'25년 시즌'!D9+'25년 시즌'!D9</f>
        <v>108</v>
      </c>
      <c r="F8" s="1">
        <f>+'22년 시즌'!E9+'23년 시즌'!E9+'24년 시즌'!E9+'25년 시즌'!E9+'25년 시즌'!E9</f>
        <v>93</v>
      </c>
      <c r="G8" s="1">
        <f>+'22년 시즌'!F9+'23년 시즌'!F9+'24년 시즌'!F9+'25년 시즌'!F9+'25년 시즌'!F9</f>
        <v>31</v>
      </c>
      <c r="H8" s="1">
        <f>+'22년 시즌'!G9+'23년 시즌'!G9+'24년 시즌'!G9+'25년 시즌'!G9+'25년 시즌'!G9</f>
        <v>24</v>
      </c>
      <c r="I8" s="1">
        <f>+'22년 시즌'!H9+'23년 시즌'!H9+'24년 시즌'!H9+'25년 시즌'!H9+'25년 시즌'!H9</f>
        <v>7</v>
      </c>
      <c r="J8" s="1">
        <f>+'22년 시즌'!I9+'23년 시즌'!I9+'24년 시즌'!I9+'25년 시즌'!I9+'25년 시즌'!I9</f>
        <v>0</v>
      </c>
      <c r="K8" s="1">
        <f>+'22년 시즌'!J9+'23년 시즌'!J9+'24년 시즌'!J9+'25년 시즌'!J9+'25년 시즌'!J9</f>
        <v>0</v>
      </c>
      <c r="L8" s="1">
        <f>+'22년 시즌'!K9+'23년 시즌'!K9+'24년 시즌'!K9+'25년 시즌'!K9+'25년 시즌'!K9</f>
        <v>30</v>
      </c>
      <c r="M8" s="1">
        <f>+'22년 시즌'!L9+'23년 시즌'!L9+'24년 시즌'!L9+'25년 시즌'!L9+'25년 시즌'!L9</f>
        <v>20</v>
      </c>
      <c r="N8" s="1">
        <f>+'22년 시즌'!M9+'23년 시즌'!M9+'24년 시즌'!M9+'25년 시즌'!M9+'25년 시즌'!M9</f>
        <v>40</v>
      </c>
      <c r="O8" s="1">
        <f>+'22년 시즌'!N9+'23년 시즌'!N9+'24년 시즌'!N9+'25년 시즌'!N9+'25년 시즌'!N9</f>
        <v>18</v>
      </c>
      <c r="P8" s="1">
        <f>+'22년 시즌'!O9+'23년 시즌'!O9+'24년 시즌'!O9+'25년 시즌'!O9+'25년 시즌'!O9</f>
        <v>30</v>
      </c>
      <c r="Q8" s="136">
        <f t="shared" si="1"/>
        <v>0.27777777777777779</v>
      </c>
      <c r="R8" s="46">
        <f t="shared" si="2"/>
        <v>0.40860215053763443</v>
      </c>
      <c r="S8" s="28">
        <f t="shared" si="3"/>
        <v>0.45370370370370372</v>
      </c>
      <c r="T8" s="58">
        <f t="shared" si="4"/>
        <v>0.86230585424133821</v>
      </c>
      <c r="W8" s="142"/>
      <c r="X8" s="142"/>
      <c r="Y8" s="142"/>
    </row>
    <row r="9" spans="1:35" ht="17.25" x14ac:dyDescent="0.3">
      <c r="A9" s="133" t="s">
        <v>138</v>
      </c>
      <c r="B9" s="143" t="s">
        <v>173</v>
      </c>
      <c r="C9" s="1">
        <f>+'25년 시즌'!B10</f>
        <v>22</v>
      </c>
      <c r="D9" s="86">
        <f t="shared" si="0"/>
        <v>0.43137254901960786</v>
      </c>
      <c r="E9" s="1">
        <f>+'25년 시즌'!D10</f>
        <v>62</v>
      </c>
      <c r="F9" s="1">
        <f>+'25년 시즌'!E10</f>
        <v>51</v>
      </c>
      <c r="G9" s="1">
        <f>+'25년 시즌'!F10</f>
        <v>22</v>
      </c>
      <c r="H9" s="1">
        <f>+'25년 시즌'!G10</f>
        <v>17</v>
      </c>
      <c r="I9" s="1">
        <f>+'25년 시즌'!H10</f>
        <v>5</v>
      </c>
      <c r="J9" s="1">
        <f>+'25년 시즌'!I10</f>
        <v>0</v>
      </c>
      <c r="K9" s="1">
        <f>+'25년 시즌'!J10</f>
        <v>0</v>
      </c>
      <c r="L9" s="1">
        <f>+'25년 시즌'!K10</f>
        <v>15</v>
      </c>
      <c r="M9" s="1">
        <f>+'25년 시즌'!L10</f>
        <v>19</v>
      </c>
      <c r="N9" s="1">
        <f>+'25년 시즌'!M10</f>
        <v>18</v>
      </c>
      <c r="O9" s="1">
        <f>+'25년 시즌'!N10</f>
        <v>11</v>
      </c>
      <c r="P9" s="1">
        <f>+'25년 시즌'!O10</f>
        <v>3</v>
      </c>
      <c r="Q9" s="136">
        <f t="shared" si="1"/>
        <v>4.8387096774193547E-2</v>
      </c>
      <c r="R9" s="46">
        <f t="shared" si="2"/>
        <v>0.52941176470588236</v>
      </c>
      <c r="S9" s="28">
        <f t="shared" si="3"/>
        <v>0.532258064516129</v>
      </c>
      <c r="T9" s="58">
        <f t="shared" si="4"/>
        <v>1.0616698292220113</v>
      </c>
      <c r="W9" s="142"/>
    </row>
    <row r="10" spans="1:35" ht="17.25" x14ac:dyDescent="0.3">
      <c r="A10" s="133" t="s">
        <v>25</v>
      </c>
      <c r="B10" s="143" t="s">
        <v>162</v>
      </c>
      <c r="C10" s="1">
        <f>+'22년 시즌'!B10+'23년 시즌'!B10+'24년 시즌'!B10+'25년 시즌'!B11+'25년 시즌'!B11</f>
        <v>90</v>
      </c>
      <c r="D10" s="86">
        <f t="shared" si="0"/>
        <v>0.50819672131147542</v>
      </c>
      <c r="E10" s="1">
        <f>+'22년 시즌'!D10+'23년 시즌'!D10+'24년 시즌'!D10+'25년 시즌'!D11+'25년 시즌'!D11</f>
        <v>242</v>
      </c>
      <c r="F10" s="1">
        <f>+'22년 시즌'!E10+'23년 시즌'!E10+'24년 시즌'!E10+'25년 시즌'!E11+'25년 시즌'!E11</f>
        <v>183</v>
      </c>
      <c r="G10" s="1">
        <f>+'22년 시즌'!F10+'23년 시즌'!F10+'24년 시즌'!F10+'25년 시즌'!F11+'25년 시즌'!F11</f>
        <v>93</v>
      </c>
      <c r="H10" s="1">
        <f>+'22년 시즌'!G10+'23년 시즌'!G10+'24년 시즌'!G10+'25년 시즌'!G11+'25년 시즌'!G11</f>
        <v>72</v>
      </c>
      <c r="I10" s="1">
        <f>+'22년 시즌'!H10+'23년 시즌'!H10+'24년 시즌'!H10+'25년 시즌'!H11+'25년 시즌'!H11</f>
        <v>14</v>
      </c>
      <c r="J10" s="1">
        <f>+'22년 시즌'!I10+'23년 시즌'!I10+'24년 시즌'!I10+'25년 시즌'!I11+'25년 시즌'!I11</f>
        <v>10</v>
      </c>
      <c r="K10" s="1">
        <f>+'22년 시즌'!J10+'23년 시즌'!J10+'24년 시즌'!J10+'25년 시즌'!J11+'25년 시즌'!J11</f>
        <v>1</v>
      </c>
      <c r="L10" s="1">
        <f>+'22년 시즌'!K10+'23년 시즌'!K10+'24년 시즌'!K10+'25년 시즌'!K11+'25년 시즌'!K11</f>
        <v>101</v>
      </c>
      <c r="M10" s="1">
        <f>+'22년 시즌'!L10+'23년 시즌'!L10+'24년 시즌'!L10+'25년 시즌'!L11+'25년 시즌'!L11</f>
        <v>66</v>
      </c>
      <c r="N10" s="1">
        <f>+'22년 시즌'!M10+'23년 시즌'!M10+'24년 시즌'!M10+'25년 시즌'!M11+'25년 시즌'!M11</f>
        <v>111</v>
      </c>
      <c r="O10" s="1">
        <f>+'22년 시즌'!N10+'23년 시즌'!N10+'24년 시즌'!N10+'25년 시즌'!N11+'25년 시즌'!N11</f>
        <v>52</v>
      </c>
      <c r="P10" s="1">
        <f>+'22년 시즌'!O10+'23년 시즌'!O10+'24년 시즌'!O10+'25년 시즌'!O11+'25년 시즌'!O11</f>
        <v>22</v>
      </c>
      <c r="Q10" s="136">
        <f t="shared" si="1"/>
        <v>9.0909090909090912E-2</v>
      </c>
      <c r="R10" s="46">
        <f t="shared" si="2"/>
        <v>0.73224043715846998</v>
      </c>
      <c r="S10" s="28">
        <f t="shared" si="3"/>
        <v>0.59917355371900827</v>
      </c>
      <c r="T10" s="58">
        <f t="shared" si="4"/>
        <v>1.3314139908774782</v>
      </c>
      <c r="W10" s="142"/>
    </row>
    <row r="11" spans="1:35" ht="17.25" x14ac:dyDescent="0.3">
      <c r="A11" s="133" t="s">
        <v>8</v>
      </c>
      <c r="B11" s="143" t="s">
        <v>163</v>
      </c>
      <c r="C11" s="1">
        <f>+'22년 시즌'!B12+'23년 시즌'!B12+'24년 시즌'!B12+'25년 시즌'!B13+'25년 시즌'!B13</f>
        <v>36</v>
      </c>
      <c r="D11" s="86">
        <f t="shared" si="0"/>
        <v>0.36</v>
      </c>
      <c r="E11" s="1">
        <f>+'22년 시즌'!D12+'23년 시즌'!D12+'24년 시즌'!D12+'25년 시즌'!D13+'25년 시즌'!D13</f>
        <v>71</v>
      </c>
      <c r="F11" s="1">
        <f>+'22년 시즌'!E12+'23년 시즌'!E12+'24년 시즌'!E12+'25년 시즌'!E13+'25년 시즌'!E13</f>
        <v>50</v>
      </c>
      <c r="G11" s="1">
        <f>+'22년 시즌'!F12+'23년 시즌'!F12+'24년 시즌'!F12+'25년 시즌'!F13+'25년 시즌'!F13</f>
        <v>18</v>
      </c>
      <c r="H11" s="1">
        <f>+'22년 시즌'!G12+'23년 시즌'!G12+'24년 시즌'!G12+'25년 시즌'!G13+'25년 시즌'!G13</f>
        <v>13</v>
      </c>
      <c r="I11" s="1">
        <f>+'22년 시즌'!H12+'23년 시즌'!H12+'24년 시즌'!H12+'25년 시즌'!H13+'25년 시즌'!H13</f>
        <v>3</v>
      </c>
      <c r="J11" s="1">
        <f>+'22년 시즌'!I12+'23년 시즌'!I12+'24년 시즌'!I12+'25년 시즌'!I13+'25년 시즌'!I13</f>
        <v>2</v>
      </c>
      <c r="K11" s="1">
        <f>+'22년 시즌'!J12+'23년 시즌'!J12+'24년 시즌'!J12+'25년 시즌'!J13+'25년 시즌'!J13</f>
        <v>0</v>
      </c>
      <c r="L11" s="1">
        <f>+'22년 시즌'!K12+'23년 시즌'!K12+'24년 시즌'!K12+'25년 시즌'!K13+'25년 시즌'!K13</f>
        <v>26</v>
      </c>
      <c r="M11" s="1">
        <f>+'22년 시즌'!L12+'23년 시즌'!L12+'24년 시즌'!L12+'25년 시즌'!L13+'25년 시즌'!L13</f>
        <v>17</v>
      </c>
      <c r="N11" s="1">
        <f>+'22년 시즌'!M12+'23년 시즌'!M12+'24년 시즌'!M12+'25년 시즌'!M13+'25년 시즌'!M13</f>
        <v>19</v>
      </c>
      <c r="O11" s="1">
        <f>+'22년 시즌'!N12+'23년 시즌'!N12+'24년 시즌'!N12+'25년 시즌'!N13+'25년 시즌'!N13</f>
        <v>14</v>
      </c>
      <c r="P11" s="1">
        <f>+'22년 시즌'!O12+'23년 시즌'!O12+'24년 시즌'!O12+'25년 시즌'!O13+'25년 시즌'!O13</f>
        <v>6</v>
      </c>
      <c r="Q11" s="136">
        <f t="shared" si="1"/>
        <v>8.4507042253521125E-2</v>
      </c>
      <c r="R11" s="46">
        <f t="shared" si="2"/>
        <v>0.5</v>
      </c>
      <c r="S11" s="28">
        <f t="shared" si="3"/>
        <v>0.45070422535211269</v>
      </c>
      <c r="T11" s="58">
        <f t="shared" si="4"/>
        <v>0.95070422535211274</v>
      </c>
      <c r="W11" s="142"/>
      <c r="Y11" s="142" t="s">
        <v>178</v>
      </c>
      <c r="AE11" s="142" t="s">
        <v>211</v>
      </c>
    </row>
    <row r="12" spans="1:35" ht="17.25" x14ac:dyDescent="0.3">
      <c r="A12" s="133" t="s">
        <v>15</v>
      </c>
      <c r="B12" s="143" t="s">
        <v>161</v>
      </c>
      <c r="C12" s="1">
        <f>+'22년 시즌'!B13+'23년 시즌'!B13+'24년 시즌'!B13+'25년 시즌'!B14+'25년 시즌'!B14</f>
        <v>61</v>
      </c>
      <c r="D12" s="86">
        <f t="shared" si="0"/>
        <v>0.47826086956521741</v>
      </c>
      <c r="E12" s="1">
        <f>+'22년 시즌'!D13+'23년 시즌'!D13+'24년 시즌'!D13+'25년 시즌'!D14+'25년 시즌'!D14</f>
        <v>165</v>
      </c>
      <c r="F12" s="1">
        <f>+'22년 시즌'!E13+'23년 시즌'!E13+'24년 시즌'!E13+'25년 시즌'!E14+'25년 시즌'!E14</f>
        <v>138</v>
      </c>
      <c r="G12" s="1">
        <f>+'22년 시즌'!F13+'23년 시즌'!F13+'24년 시즌'!F13+'25년 시즌'!F14+'25년 시즌'!F14</f>
        <v>66</v>
      </c>
      <c r="H12" s="1">
        <f>+'22년 시즌'!G13+'23년 시즌'!G13+'24년 시즌'!G13+'25년 시즌'!G14+'25년 시즌'!G14</f>
        <v>41</v>
      </c>
      <c r="I12" s="1">
        <f>+'22년 시즌'!H13+'23년 시즌'!H13+'24년 시즌'!H13+'25년 시즌'!H14+'25년 시즌'!H14</f>
        <v>22</v>
      </c>
      <c r="J12" s="1">
        <f>+'22년 시즌'!I13+'23년 시즌'!I13+'24년 시즌'!I13+'25년 시즌'!I14+'25년 시즌'!I14</f>
        <v>2</v>
      </c>
      <c r="K12" s="1">
        <f>+'22년 시즌'!J13+'23년 시즌'!J13+'24년 시즌'!J13+'25년 시즌'!J14+'25년 시즌'!J14</f>
        <v>1</v>
      </c>
      <c r="L12" s="1">
        <f>+'22년 시즌'!K13+'23년 시즌'!K13+'24년 시즌'!K13+'25년 시즌'!K14+'25년 시즌'!K14</f>
        <v>50</v>
      </c>
      <c r="M12" s="1">
        <f>+'22년 시즌'!L13+'23년 시즌'!L13+'24년 시즌'!L13+'25년 시즌'!L14+'25년 시즌'!L14</f>
        <v>60</v>
      </c>
      <c r="N12" s="1">
        <f>+'22년 시즌'!M13+'23년 시즌'!M13+'24년 시즌'!M13+'25년 시즌'!M14+'25년 시즌'!M14</f>
        <v>25</v>
      </c>
      <c r="O12" s="1">
        <f>+'22년 시즌'!N13+'23년 시즌'!N13+'24년 시즌'!N13+'25년 시즌'!N14+'25년 시즌'!N14</f>
        <v>26</v>
      </c>
      <c r="P12" s="1">
        <f>+'22년 시즌'!O13+'23년 시즌'!O13+'24년 시즌'!O13+'25년 시즌'!O14+'25년 시즌'!O14</f>
        <v>7</v>
      </c>
      <c r="Q12" s="136">
        <f t="shared" si="1"/>
        <v>4.2424242424242427E-2</v>
      </c>
      <c r="R12" s="46">
        <f t="shared" si="2"/>
        <v>0.68840579710144922</v>
      </c>
      <c r="S12" s="28">
        <f t="shared" si="3"/>
        <v>0.55757575757575761</v>
      </c>
      <c r="T12" s="58">
        <f t="shared" si="4"/>
        <v>1.2459815546772068</v>
      </c>
      <c r="W12" s="142"/>
      <c r="Y12" s="184" t="s">
        <v>179</v>
      </c>
      <c r="Z12" s="186" t="s">
        <v>176</v>
      </c>
      <c r="AA12" s="187"/>
      <c r="AB12" s="188" t="s">
        <v>177</v>
      </c>
      <c r="AC12" s="188"/>
      <c r="AE12" s="184" t="s">
        <v>179</v>
      </c>
      <c r="AF12" s="186" t="s">
        <v>176</v>
      </c>
      <c r="AG12" s="187"/>
      <c r="AH12" s="188" t="s">
        <v>177</v>
      </c>
      <c r="AI12" s="188"/>
    </row>
    <row r="13" spans="1:35" ht="17.25" x14ac:dyDescent="0.3">
      <c r="A13" s="133" t="s">
        <v>23</v>
      </c>
      <c r="B13" s="143" t="s">
        <v>164</v>
      </c>
      <c r="C13" s="1">
        <f>+'22년 시즌'!B15+'23년 시즌'!B15+'24년 시즌'!B14+'25년 시즌'!B15+'25년 시즌'!B15</f>
        <v>59</v>
      </c>
      <c r="D13" s="86">
        <f t="shared" si="0"/>
        <v>0.3</v>
      </c>
      <c r="E13" s="1">
        <f>+'22년 시즌'!D15+'23년 시즌'!D15+'24년 시즌'!D14+'25년 시즌'!D15+'25년 시즌'!D15</f>
        <v>144</v>
      </c>
      <c r="F13" s="1">
        <f>+'22년 시즌'!E15+'23년 시즌'!E15+'24년 시즌'!E14+'25년 시즌'!E15+'25년 시즌'!E15</f>
        <v>110</v>
      </c>
      <c r="G13" s="1">
        <f>+'22년 시즌'!F15+'23년 시즌'!F15+'24년 시즌'!F14+'25년 시즌'!F15+'25년 시즌'!F15</f>
        <v>33</v>
      </c>
      <c r="H13" s="1">
        <f>+'22년 시즌'!G15+'23년 시즌'!G15+'24년 시즌'!G14+'25년 시즌'!G15+'25년 시즌'!G15</f>
        <v>30</v>
      </c>
      <c r="I13" s="1">
        <f>+'22년 시즌'!H15+'23년 시즌'!H15+'24년 시즌'!H14+'25년 시즌'!H15+'25년 시즌'!H15</f>
        <v>3</v>
      </c>
      <c r="J13" s="1">
        <f>+'22년 시즌'!I15+'23년 시즌'!I15+'24년 시즌'!I14+'25년 시즌'!I15+'25년 시즌'!I15</f>
        <v>0</v>
      </c>
      <c r="K13" s="1">
        <f>+'22년 시즌'!J15+'23년 시즌'!J15+'24년 시즌'!J14+'25년 시즌'!J15+'25년 시즌'!J15</f>
        <v>0</v>
      </c>
      <c r="L13" s="1">
        <f>+'22년 시즌'!K15+'23년 시즌'!K15+'24년 시즌'!K14+'25년 시즌'!K15+'25년 시즌'!K15</f>
        <v>36</v>
      </c>
      <c r="M13" s="1">
        <f>+'22년 시즌'!L15+'23년 시즌'!L15+'24년 시즌'!L14+'25년 시즌'!L15+'25년 시즌'!L15</f>
        <v>31</v>
      </c>
      <c r="N13" s="1">
        <f>+'22년 시즌'!M15+'23년 시즌'!M15+'24년 시즌'!M14+'25년 시즌'!M15+'25년 시즌'!M15</f>
        <v>22</v>
      </c>
      <c r="O13" s="1">
        <f>+'22년 시즌'!N15+'23년 시즌'!N15+'24년 시즌'!N14+'25년 시즌'!N15+'25년 시즌'!N15</f>
        <v>28</v>
      </c>
      <c r="P13" s="1">
        <f>+'22년 시즌'!O15+'23년 시즌'!O15+'24년 시즌'!O14+'25년 시즌'!O15+'25년 시즌'!O15</f>
        <v>34</v>
      </c>
      <c r="Q13" s="136">
        <f t="shared" si="1"/>
        <v>0.2361111111111111</v>
      </c>
      <c r="R13" s="46">
        <f t="shared" si="2"/>
        <v>0.32727272727272727</v>
      </c>
      <c r="S13" s="28">
        <f t="shared" si="3"/>
        <v>0.4236111111111111</v>
      </c>
      <c r="T13" s="58">
        <f t="shared" si="4"/>
        <v>0.75088383838383832</v>
      </c>
      <c r="Y13" s="185"/>
      <c r="Z13" s="145" t="s">
        <v>180</v>
      </c>
      <c r="AA13" s="145" t="s">
        <v>181</v>
      </c>
      <c r="AB13" s="145" t="s">
        <v>180</v>
      </c>
      <c r="AC13" s="145" t="s">
        <v>181</v>
      </c>
      <c r="AE13" s="185"/>
      <c r="AF13" s="145" t="s">
        <v>160</v>
      </c>
      <c r="AG13" s="145" t="s">
        <v>181</v>
      </c>
      <c r="AH13" s="145" t="s">
        <v>160</v>
      </c>
      <c r="AI13" s="145" t="s">
        <v>181</v>
      </c>
    </row>
    <row r="14" spans="1:35" ht="17.25" x14ac:dyDescent="0.3">
      <c r="A14" s="133" t="s">
        <v>60</v>
      </c>
      <c r="B14" s="143" t="s">
        <v>174</v>
      </c>
      <c r="C14" s="1">
        <f>+'22년 시즌'!B18+'23년 시즌'!B18+'24년 시즌'!B17+'25년 시즌'!B18+'25년 시즌'!B18</f>
        <v>71</v>
      </c>
      <c r="D14" s="86">
        <f t="shared" si="0"/>
        <v>0.38686131386861317</v>
      </c>
      <c r="E14" s="1">
        <f>+'22년 시즌'!D18+'23년 시즌'!D18+'24년 시즌'!D17+'25년 시즌'!D18+'25년 시즌'!D18</f>
        <v>162</v>
      </c>
      <c r="F14" s="1">
        <f>+'22년 시즌'!E18+'23년 시즌'!E18+'24년 시즌'!E17+'25년 시즌'!E18+'25년 시즌'!E18</f>
        <v>137</v>
      </c>
      <c r="G14" s="1">
        <f>+'22년 시즌'!F18+'23년 시즌'!F18+'24년 시즌'!F17+'25년 시즌'!F18+'25년 시즌'!F18</f>
        <v>53</v>
      </c>
      <c r="H14" s="1">
        <f>+'22년 시즌'!G18+'23년 시즌'!G18+'24년 시즌'!G17+'25년 시즌'!G18+'25년 시즌'!G18</f>
        <v>44</v>
      </c>
      <c r="I14" s="1">
        <f>+'22년 시즌'!H18+'23년 시즌'!H18+'24년 시즌'!H17+'25년 시즌'!H18+'25년 시즌'!H18</f>
        <v>7</v>
      </c>
      <c r="J14" s="1">
        <f>+'22년 시즌'!I18+'23년 시즌'!I18+'24년 시즌'!I17+'25년 시즌'!I18+'25년 시즌'!I18</f>
        <v>1</v>
      </c>
      <c r="K14" s="1">
        <f>+'22년 시즌'!J18+'23년 시즌'!J18+'24년 시즌'!J17+'25년 시즌'!J18+'25년 시즌'!J18</f>
        <v>1</v>
      </c>
      <c r="L14" s="1">
        <f>+'22년 시즌'!K18+'23년 시즌'!K18+'24년 시즌'!K17+'25년 시즌'!K18+'25년 시즌'!K18</f>
        <v>35</v>
      </c>
      <c r="M14" s="1">
        <f>+'22년 시즌'!L18+'23년 시즌'!L18+'24년 시즌'!L17+'25년 시즌'!L18+'25년 시즌'!L18</f>
        <v>29</v>
      </c>
      <c r="N14" s="1">
        <f>+'22년 시즌'!M18+'23년 시즌'!M18+'24년 시즌'!M17+'25년 시즌'!M18+'25년 시즌'!M18</f>
        <v>18</v>
      </c>
      <c r="O14" s="1">
        <f>+'22년 시즌'!N18+'23년 시즌'!N18+'24년 시즌'!N17+'25년 시즌'!N18+'25년 시즌'!N18</f>
        <v>19</v>
      </c>
      <c r="P14" s="1">
        <f>+'22년 시즌'!O18+'23년 시즌'!O18+'24년 시즌'!O17+'25년 시즌'!O18+'25년 시즌'!O18</f>
        <v>25</v>
      </c>
      <c r="Q14" s="136">
        <f t="shared" si="1"/>
        <v>0.15432098765432098</v>
      </c>
      <c r="R14" s="46">
        <f t="shared" si="2"/>
        <v>0.47445255474452552</v>
      </c>
      <c r="S14" s="28">
        <f t="shared" si="3"/>
        <v>0.44444444444444442</v>
      </c>
      <c r="T14" s="58">
        <f t="shared" si="4"/>
        <v>0.91889699918896994</v>
      </c>
      <c r="Y14" s="146">
        <v>1</v>
      </c>
      <c r="Z14" s="144" t="s">
        <v>182</v>
      </c>
      <c r="AA14" s="144" t="s">
        <v>191</v>
      </c>
      <c r="AB14" s="144" t="s">
        <v>189</v>
      </c>
      <c r="AC14" s="144" t="s">
        <v>200</v>
      </c>
      <c r="AE14" s="147">
        <v>1</v>
      </c>
      <c r="AF14" s="73" t="s">
        <v>189</v>
      </c>
      <c r="AG14" s="73" t="s">
        <v>75</v>
      </c>
      <c r="AH14" s="73" t="s">
        <v>212</v>
      </c>
      <c r="AI14" s="73" t="s">
        <v>213</v>
      </c>
    </row>
    <row r="15" spans="1:35" ht="17.25" x14ac:dyDescent="0.3">
      <c r="A15" s="133" t="s">
        <v>12</v>
      </c>
      <c r="B15" s="143" t="s">
        <v>170</v>
      </c>
      <c r="C15" s="1">
        <f>+'22년 시즌'!B19+'23년 시즌'!B19+'24년 시즌'!B18+'25년 시즌'!B19+'25년 시즌'!B19</f>
        <v>47</v>
      </c>
      <c r="D15" s="86">
        <f t="shared" si="0"/>
        <v>0.33333333333333331</v>
      </c>
      <c r="E15" s="1">
        <f>+'22년 시즌'!D19+'23년 시즌'!D19+'24년 시즌'!D18+'25년 시즌'!D19+'25년 시즌'!D19</f>
        <v>130</v>
      </c>
      <c r="F15" s="1">
        <f>+'22년 시즌'!E19+'23년 시즌'!E19+'24년 시즌'!E18+'25년 시즌'!E19+'25년 시즌'!E19</f>
        <v>105</v>
      </c>
      <c r="G15" s="1">
        <f>+'22년 시즌'!F19+'23년 시즌'!F19+'24년 시즌'!F18+'25년 시즌'!F19+'25년 시즌'!F19</f>
        <v>35</v>
      </c>
      <c r="H15" s="1">
        <f>+'22년 시즌'!G19+'23년 시즌'!G19+'24년 시즌'!G18+'25년 시즌'!G19+'25년 시즌'!G19</f>
        <v>28</v>
      </c>
      <c r="I15" s="1">
        <f>+'22년 시즌'!H19+'23년 시즌'!H19+'24년 시즌'!H18+'25년 시즌'!H19+'25년 시즌'!H19</f>
        <v>2</v>
      </c>
      <c r="J15" s="1">
        <f>+'22년 시즌'!I19+'23년 시즌'!I19+'24년 시즌'!I18+'25년 시즌'!I19+'25년 시즌'!I19</f>
        <v>2</v>
      </c>
      <c r="K15" s="1">
        <f>+'22년 시즌'!J19+'23년 시즌'!J19+'24년 시즌'!J18+'25년 시즌'!J19+'25년 시즌'!J19</f>
        <v>3</v>
      </c>
      <c r="L15" s="1">
        <f>+'22년 시즌'!K19+'23년 시즌'!K19+'24년 시즌'!K18+'25년 시즌'!K19+'25년 시즌'!K19</f>
        <v>34</v>
      </c>
      <c r="M15" s="1">
        <f>+'22년 시즌'!L19+'23년 시즌'!L19+'24년 시즌'!L18+'25년 시즌'!L19+'25년 시즌'!L19</f>
        <v>42</v>
      </c>
      <c r="N15" s="1">
        <f>+'22년 시즌'!M19+'23년 시즌'!M19+'24년 시즌'!M18+'25년 시즌'!M19+'25년 시즌'!M19</f>
        <v>17</v>
      </c>
      <c r="O15" s="1">
        <f>+'22년 시즌'!N19+'23년 시즌'!N19+'24년 시즌'!N18+'25년 시즌'!N19+'25년 시즌'!N19</f>
        <v>19</v>
      </c>
      <c r="P15" s="1">
        <f>+'22년 시즌'!O19+'23년 시즌'!O19+'24년 시즌'!O18+'25년 시즌'!O19+'25년 시즌'!O19</f>
        <v>16</v>
      </c>
      <c r="Q15" s="136">
        <f t="shared" si="1"/>
        <v>0.12307692307692308</v>
      </c>
      <c r="R15" s="46">
        <f t="shared" si="2"/>
        <v>0.47619047619047616</v>
      </c>
      <c r="S15" s="28">
        <f t="shared" si="3"/>
        <v>0.41538461538461541</v>
      </c>
      <c r="T15" s="58">
        <f t="shared" si="4"/>
        <v>0.89157509157509152</v>
      </c>
      <c r="Y15" s="146">
        <v>2</v>
      </c>
      <c r="Z15" s="144" t="s">
        <v>183</v>
      </c>
      <c r="AA15" s="144" t="s">
        <v>192</v>
      </c>
      <c r="AB15" s="144" t="s">
        <v>187</v>
      </c>
      <c r="AC15" s="144" t="s">
        <v>201</v>
      </c>
      <c r="AE15" s="147">
        <v>2</v>
      </c>
      <c r="AF15" s="73" t="s">
        <v>186</v>
      </c>
      <c r="AG15" s="73" t="s">
        <v>206</v>
      </c>
      <c r="AH15" s="73" t="s">
        <v>214</v>
      </c>
      <c r="AI15" s="73" t="s">
        <v>215</v>
      </c>
    </row>
    <row r="16" spans="1:35" ht="17.25" x14ac:dyDescent="0.3">
      <c r="A16" s="133" t="s">
        <v>156</v>
      </c>
      <c r="B16" s="143" t="s">
        <v>171</v>
      </c>
      <c r="C16" s="1">
        <f>+'25년 시즌'!B20</f>
        <v>9</v>
      </c>
      <c r="D16" s="86">
        <f t="shared" ref="D16:D21" si="5">+G16/F16</f>
        <v>0.29411764705882354</v>
      </c>
      <c r="E16" s="1">
        <f>+'25년 시즌'!D20</f>
        <v>20</v>
      </c>
      <c r="F16" s="1">
        <f>+'25년 시즌'!E20</f>
        <v>17</v>
      </c>
      <c r="G16" s="1">
        <f>+'25년 시즌'!F20</f>
        <v>5</v>
      </c>
      <c r="H16" s="1">
        <f>+'25년 시즌'!G20</f>
        <v>5</v>
      </c>
      <c r="I16" s="1">
        <f>+'25년 시즌'!H20</f>
        <v>0</v>
      </c>
      <c r="J16" s="1">
        <f>+'25년 시즌'!I20</f>
        <v>0</v>
      </c>
      <c r="K16" s="1">
        <f>+'25년 시즌'!J20</f>
        <v>0</v>
      </c>
      <c r="L16" s="1">
        <f>+'25년 시즌'!K20</f>
        <v>4</v>
      </c>
      <c r="M16" s="1">
        <f>+'25년 시즌'!L20</f>
        <v>2</v>
      </c>
      <c r="N16" s="1">
        <f>+'25년 시즌'!M20</f>
        <v>3</v>
      </c>
      <c r="O16" s="1">
        <f>+'25년 시즌'!N20</f>
        <v>2</v>
      </c>
      <c r="P16" s="1">
        <f>+'25년 시즌'!O20</f>
        <v>2</v>
      </c>
      <c r="Q16" s="136">
        <f t="shared" ref="Q16:Q21" si="6">+P16/E16</f>
        <v>0.1</v>
      </c>
      <c r="R16" s="46">
        <f t="shared" ref="R16:R21" si="7">+(H16*1+I16*2+J16*3+K16*4)/F16</f>
        <v>0.29411764705882354</v>
      </c>
      <c r="S16" s="28">
        <f t="shared" ref="S16:S21" si="8">+(G16+O16)/E16</f>
        <v>0.35</v>
      </c>
      <c r="T16" s="58">
        <f t="shared" ref="T16:T21" si="9">+S16+R16</f>
        <v>0.64411764705882346</v>
      </c>
      <c r="Y16" s="146">
        <v>3</v>
      </c>
      <c r="Z16" s="144" t="s">
        <v>182</v>
      </c>
      <c r="AA16" s="144" t="s">
        <v>193</v>
      </c>
      <c r="AB16" s="144" t="s">
        <v>185</v>
      </c>
      <c r="AC16" s="144" t="s">
        <v>202</v>
      </c>
      <c r="AE16" s="147">
        <v>3</v>
      </c>
      <c r="AF16" s="73" t="s">
        <v>190</v>
      </c>
      <c r="AG16" s="73" t="s">
        <v>193</v>
      </c>
      <c r="AH16" s="73" t="s">
        <v>227</v>
      </c>
      <c r="AI16" s="73" t="s">
        <v>216</v>
      </c>
    </row>
    <row r="17" spans="1:35" ht="17.25" x14ac:dyDescent="0.3">
      <c r="A17" s="133" t="s">
        <v>14</v>
      </c>
      <c r="B17" s="143" t="s">
        <v>172</v>
      </c>
      <c r="C17" s="1">
        <f>+'22년 시즌'!B21+'23년 시즌'!B21+'24년 시즌'!B20+'25년 시즌'!B22+'25년 시즌'!B22</f>
        <v>70</v>
      </c>
      <c r="D17" s="86">
        <f t="shared" si="5"/>
        <v>0.4460431654676259</v>
      </c>
      <c r="E17" s="1">
        <f>+'22년 시즌'!D21+'23년 시즌'!D21+'24년 시즌'!D20+'25년 시즌'!D22+'25년 시즌'!D22</f>
        <v>166</v>
      </c>
      <c r="F17" s="1">
        <f>+'22년 시즌'!E21+'23년 시즌'!E21+'24년 시즌'!E20+'25년 시즌'!E22+'25년 시즌'!E22</f>
        <v>139</v>
      </c>
      <c r="G17" s="1">
        <f>+'22년 시즌'!F21+'23년 시즌'!F21+'24년 시즌'!F20+'25년 시즌'!F22+'25년 시즌'!F22</f>
        <v>62</v>
      </c>
      <c r="H17" s="1">
        <f>+'22년 시즌'!G21+'23년 시즌'!G21+'24년 시즌'!G20+'25년 시즌'!G22+'25년 시즌'!G22</f>
        <v>47</v>
      </c>
      <c r="I17" s="1">
        <f>+'22년 시즌'!H21+'23년 시즌'!H21+'24년 시즌'!H20+'25년 시즌'!H22+'25년 시즌'!H22</f>
        <v>13</v>
      </c>
      <c r="J17" s="1">
        <f>+'22년 시즌'!I21+'23년 시즌'!I21+'24년 시즌'!I20+'25년 시즌'!I22+'25년 시즌'!I22</f>
        <v>0</v>
      </c>
      <c r="K17" s="1">
        <f>+'22년 시즌'!J21+'23년 시즌'!J21+'24년 시즌'!J20+'25년 시즌'!J22+'25년 시즌'!J22</f>
        <v>2</v>
      </c>
      <c r="L17" s="1">
        <f>+'22년 시즌'!K21+'23년 시즌'!K21+'24년 시즌'!K20+'25년 시즌'!K22+'25년 시즌'!K22</f>
        <v>55</v>
      </c>
      <c r="M17" s="1">
        <f>+'22년 시즌'!L21+'23년 시즌'!L21+'24년 시즌'!L20+'25년 시즌'!L22+'25년 시즌'!L22</f>
        <v>51</v>
      </c>
      <c r="N17" s="1">
        <f>+'22년 시즌'!M21+'23년 시즌'!M21+'24년 시즌'!M20+'25년 시즌'!M22+'25년 시즌'!M22</f>
        <v>32</v>
      </c>
      <c r="O17" s="1">
        <f>+'22년 시즌'!N21+'23년 시즌'!N21+'24년 시즌'!N20+'25년 시즌'!N22+'25년 시즌'!N22</f>
        <v>27</v>
      </c>
      <c r="P17" s="1">
        <f>+'22년 시즌'!O21+'23년 시즌'!O21+'24년 시즌'!O20+'25년 시즌'!O22+'25년 시즌'!O22</f>
        <v>24</v>
      </c>
      <c r="Q17" s="136">
        <f t="shared" si="6"/>
        <v>0.14457831325301204</v>
      </c>
      <c r="R17" s="46">
        <f t="shared" si="7"/>
        <v>0.58273381294964033</v>
      </c>
      <c r="S17" s="28">
        <f t="shared" si="8"/>
        <v>0.53614457831325302</v>
      </c>
      <c r="T17" s="58">
        <f t="shared" si="9"/>
        <v>1.1188783912628932</v>
      </c>
      <c r="Y17" s="146">
        <v>4</v>
      </c>
      <c r="Z17" s="144" t="s">
        <v>184</v>
      </c>
      <c r="AA17" s="144" t="s">
        <v>194</v>
      </c>
      <c r="AB17" s="144" t="s">
        <v>186</v>
      </c>
      <c r="AC17" s="144" t="s">
        <v>203</v>
      </c>
      <c r="AE17" s="147">
        <v>4</v>
      </c>
      <c r="AF17" s="73" t="s">
        <v>185</v>
      </c>
      <c r="AG17" s="73" t="s">
        <v>194</v>
      </c>
      <c r="AH17" s="73" t="s">
        <v>226</v>
      </c>
      <c r="AI17" s="73" t="s">
        <v>217</v>
      </c>
    </row>
    <row r="18" spans="1:35" ht="17.25" x14ac:dyDescent="0.3">
      <c r="A18" s="133" t="s">
        <v>47</v>
      </c>
      <c r="B18" s="143" t="s">
        <v>168</v>
      </c>
      <c r="C18" s="1">
        <f>+'22년 시즌'!B22+'23년 시즌'!B22+'24년 시즌'!B21+'25년 시즌'!B23+'25년 시즌'!B23</f>
        <v>46</v>
      </c>
      <c r="D18" s="86">
        <f t="shared" si="5"/>
        <v>0.30263157894736842</v>
      </c>
      <c r="E18" s="1">
        <f>+'22년 시즌'!D22+'23년 시즌'!D22+'24년 시즌'!D21+'25년 시즌'!D23+'25년 시즌'!D23</f>
        <v>104</v>
      </c>
      <c r="F18" s="1">
        <f>+'22년 시즌'!E22+'23년 시즌'!E22+'24년 시즌'!E21+'25년 시즌'!E23+'25년 시즌'!E23</f>
        <v>76</v>
      </c>
      <c r="G18" s="1">
        <f>+'22년 시즌'!F22+'23년 시즌'!F22+'24년 시즌'!F21+'25년 시즌'!F23+'25년 시즌'!F23</f>
        <v>23</v>
      </c>
      <c r="H18" s="1">
        <f>+'22년 시즌'!G22+'23년 시즌'!G22+'24년 시즌'!G21+'25년 시즌'!G23+'25년 시즌'!G23</f>
        <v>17</v>
      </c>
      <c r="I18" s="1">
        <f>+'22년 시즌'!H22+'23년 시즌'!H22+'24년 시즌'!H21+'25년 시즌'!H23+'25년 시즌'!H23</f>
        <v>6</v>
      </c>
      <c r="J18" s="1">
        <f>+'22년 시즌'!I22+'23년 시즌'!I22+'24년 시즌'!I21+'25년 시즌'!I23+'25년 시즌'!I23</f>
        <v>0</v>
      </c>
      <c r="K18" s="1">
        <f>+'22년 시즌'!J22+'23년 시즌'!J22+'24년 시즌'!J21+'25년 시즌'!J23+'25년 시즌'!J23</f>
        <v>0</v>
      </c>
      <c r="L18" s="1">
        <f>+'22년 시즌'!K22+'23년 시즌'!K22+'24년 시즌'!K21+'25년 시즌'!K23+'25년 시즌'!K23</f>
        <v>26</v>
      </c>
      <c r="M18" s="1">
        <f>+'22년 시즌'!L22+'23년 시즌'!L22+'24년 시즌'!L21+'25년 시즌'!L23+'25년 시즌'!L23</f>
        <v>17</v>
      </c>
      <c r="N18" s="1">
        <f>+'22년 시즌'!M22+'23년 시즌'!M22+'24년 시즌'!M21+'25년 시즌'!M23+'25년 시즌'!M23</f>
        <v>18</v>
      </c>
      <c r="O18" s="1">
        <f>+'22년 시즌'!N22+'23년 시즌'!N22+'24년 시즌'!N21+'25년 시즌'!N23+'25년 시즌'!N23</f>
        <v>26</v>
      </c>
      <c r="P18" s="1">
        <f>+'22년 시즌'!O22+'23년 시즌'!O22+'24년 시즌'!O21+'25년 시즌'!O23+'25년 시즌'!O23</f>
        <v>26</v>
      </c>
      <c r="Q18" s="136">
        <f t="shared" si="6"/>
        <v>0.25</v>
      </c>
      <c r="R18" s="46">
        <f t="shared" si="7"/>
        <v>0.38157894736842107</v>
      </c>
      <c r="S18" s="28">
        <f t="shared" si="8"/>
        <v>0.47115384615384615</v>
      </c>
      <c r="T18" s="58">
        <f t="shared" si="9"/>
        <v>0.85273279352226727</v>
      </c>
      <c r="Y18" s="146">
        <v>5</v>
      </c>
      <c r="Z18" s="144" t="s">
        <v>185</v>
      </c>
      <c r="AA18" s="144" t="s">
        <v>195</v>
      </c>
      <c r="AB18" s="144" t="s">
        <v>184</v>
      </c>
      <c r="AC18" s="144" t="s">
        <v>204</v>
      </c>
      <c r="AE18" s="147">
        <v>5</v>
      </c>
      <c r="AF18" s="73" t="s">
        <v>184</v>
      </c>
      <c r="AG18" s="73" t="s">
        <v>200</v>
      </c>
      <c r="AH18" s="73" t="s">
        <v>225</v>
      </c>
      <c r="AI18" s="73" t="s">
        <v>218</v>
      </c>
    </row>
    <row r="19" spans="1:35" ht="17.25" x14ac:dyDescent="0.3">
      <c r="A19" s="133" t="s">
        <v>22</v>
      </c>
      <c r="B19" s="143" t="s">
        <v>175</v>
      </c>
      <c r="C19" s="1">
        <f>+'22년 시즌'!B23+'23년 시즌'!B23+'24년 시즌'!B22+'25년 시즌'!B24+'25년 시즌'!B24</f>
        <v>60</v>
      </c>
      <c r="D19" s="86">
        <f t="shared" si="5"/>
        <v>0.30357142857142855</v>
      </c>
      <c r="E19" s="1">
        <f>+'22년 시즌'!D23+'23년 시즌'!D23+'24년 시즌'!D22+'25년 시즌'!D24+'25년 시즌'!D24</f>
        <v>147</v>
      </c>
      <c r="F19" s="1">
        <f>+'22년 시즌'!E23+'23년 시즌'!E23+'24년 시즌'!E22+'25년 시즌'!E24+'25년 시즌'!E24</f>
        <v>112</v>
      </c>
      <c r="G19" s="1">
        <f>+'22년 시즌'!F23+'23년 시즌'!F23+'24년 시즌'!F22+'25년 시즌'!F24+'25년 시즌'!F24</f>
        <v>34</v>
      </c>
      <c r="H19" s="1">
        <f>+'22년 시즌'!G23+'23년 시즌'!G23+'24년 시즌'!G22+'25년 시즌'!G24+'25년 시즌'!G24</f>
        <v>22</v>
      </c>
      <c r="I19" s="1">
        <f>+'22년 시즌'!H23+'23년 시즌'!H23+'24년 시즌'!H22+'25년 시즌'!H24+'25년 시즌'!H24</f>
        <v>10</v>
      </c>
      <c r="J19" s="1">
        <f>+'22년 시즌'!I23+'23년 시즌'!I23+'24년 시즌'!I22+'25년 시즌'!I24+'25년 시즌'!I24</f>
        <v>2</v>
      </c>
      <c r="K19" s="1">
        <f>+'22년 시즌'!J23+'23년 시즌'!J23+'24년 시즌'!J22+'25년 시즌'!J24+'25년 시즌'!J24</f>
        <v>0</v>
      </c>
      <c r="L19" s="1">
        <f>+'22년 시즌'!K23+'23년 시즌'!K23+'24년 시즌'!K22+'25년 시즌'!K24+'25년 시즌'!K24</f>
        <v>34</v>
      </c>
      <c r="M19" s="1">
        <f>+'22년 시즌'!L23+'23년 시즌'!L23+'24년 시즌'!L22+'25년 시즌'!L24+'25년 시즌'!L24</f>
        <v>27</v>
      </c>
      <c r="N19" s="1">
        <f>+'22년 시즌'!M23+'23년 시즌'!M23+'24년 시즌'!M22+'25년 시즌'!M24+'25년 시즌'!M24</f>
        <v>19</v>
      </c>
      <c r="O19" s="1">
        <f>+'22년 시즌'!N23+'23년 시즌'!N23+'24년 시즌'!N22+'25년 시즌'!N24+'25년 시즌'!N24</f>
        <v>34</v>
      </c>
      <c r="P19" s="1">
        <f>+'22년 시즌'!O23+'23년 시즌'!O23+'24년 시즌'!O22+'25년 시즌'!O24+'25년 시즌'!O24</f>
        <v>32</v>
      </c>
      <c r="Q19" s="136">
        <f t="shared" si="6"/>
        <v>0.21768707482993196</v>
      </c>
      <c r="R19" s="46">
        <f t="shared" si="7"/>
        <v>0.42857142857142855</v>
      </c>
      <c r="S19" s="28">
        <f t="shared" si="8"/>
        <v>0.46258503401360546</v>
      </c>
      <c r="T19" s="58">
        <f t="shared" si="9"/>
        <v>0.891156462585034</v>
      </c>
      <c r="Y19" s="146">
        <v>6</v>
      </c>
      <c r="Z19" s="144" t="s">
        <v>186</v>
      </c>
      <c r="AA19" s="144" t="s">
        <v>196</v>
      </c>
      <c r="AB19" s="144" t="s">
        <v>190</v>
      </c>
      <c r="AC19" s="144" t="s">
        <v>205</v>
      </c>
      <c r="AE19" s="147">
        <v>6</v>
      </c>
      <c r="AF19" s="73" t="s">
        <v>187</v>
      </c>
      <c r="AG19" s="73" t="s">
        <v>78</v>
      </c>
      <c r="AH19" s="73" t="s">
        <v>224</v>
      </c>
      <c r="AI19" s="73" t="s">
        <v>219</v>
      </c>
    </row>
    <row r="20" spans="1:35" ht="17.25" x14ac:dyDescent="0.3">
      <c r="A20" s="133" t="s">
        <v>153</v>
      </c>
      <c r="B20" s="143" t="s">
        <v>166</v>
      </c>
      <c r="C20" s="1">
        <f>+'25년 시즌'!B25</f>
        <v>1</v>
      </c>
      <c r="D20" s="86">
        <f t="shared" si="5"/>
        <v>0</v>
      </c>
      <c r="E20" s="1">
        <f>+'25년 시즌'!D25</f>
        <v>2</v>
      </c>
      <c r="F20" s="1">
        <f>+'25년 시즌'!E25</f>
        <v>2</v>
      </c>
      <c r="G20" s="1">
        <f>+'25년 시즌'!F25</f>
        <v>0</v>
      </c>
      <c r="H20" s="1">
        <f>+'25년 시즌'!G25</f>
        <v>0</v>
      </c>
      <c r="I20" s="1">
        <f>+'25년 시즌'!H25</f>
        <v>0</v>
      </c>
      <c r="J20" s="1">
        <f>+'25년 시즌'!I25</f>
        <v>0</v>
      </c>
      <c r="K20" s="1">
        <f>+'25년 시즌'!J25</f>
        <v>0</v>
      </c>
      <c r="L20" s="1">
        <f>+'25년 시즌'!K25</f>
        <v>0</v>
      </c>
      <c r="M20" s="1">
        <f>+'25년 시즌'!L25</f>
        <v>0</v>
      </c>
      <c r="N20" s="1">
        <f>+'25년 시즌'!M25</f>
        <v>0</v>
      </c>
      <c r="O20" s="1">
        <f>+'25년 시즌'!N25</f>
        <v>0</v>
      </c>
      <c r="P20" s="1">
        <f>+'25년 시즌'!O25</f>
        <v>1</v>
      </c>
      <c r="Q20" s="136">
        <f t="shared" si="6"/>
        <v>0.5</v>
      </c>
      <c r="R20" s="46">
        <f t="shared" si="7"/>
        <v>0</v>
      </c>
      <c r="S20" s="28">
        <f t="shared" si="8"/>
        <v>0</v>
      </c>
      <c r="T20" s="58">
        <f t="shared" si="9"/>
        <v>0</v>
      </c>
      <c r="Y20" s="146">
        <v>7</v>
      </c>
      <c r="Z20" s="144" t="s">
        <v>187</v>
      </c>
      <c r="AA20" s="144" t="s">
        <v>197</v>
      </c>
      <c r="AB20" s="144" t="s">
        <v>183</v>
      </c>
      <c r="AC20" s="144" t="s">
        <v>206</v>
      </c>
      <c r="AE20" s="147">
        <v>7</v>
      </c>
      <c r="AF20" s="73" t="s">
        <v>182</v>
      </c>
      <c r="AG20" s="73" t="s">
        <v>196</v>
      </c>
      <c r="AH20" s="73" t="s">
        <v>223</v>
      </c>
      <c r="AI20" s="73" t="s">
        <v>220</v>
      </c>
    </row>
    <row r="21" spans="1:35" ht="17.25" x14ac:dyDescent="0.3">
      <c r="A21" s="133" t="s">
        <v>54</v>
      </c>
      <c r="B21" s="143" t="s">
        <v>166</v>
      </c>
      <c r="C21" s="1">
        <f>+'22년 시즌'!B24+'23년 시즌'!B24+'24년 시즌'!B23+'25년 시즌'!B26+'25년 시즌'!B26</f>
        <v>24</v>
      </c>
      <c r="D21" s="86">
        <f t="shared" si="5"/>
        <v>0.20512820512820512</v>
      </c>
      <c r="E21" s="1">
        <f>+'22년 시즌'!D24+'23년 시즌'!D24+'24년 시즌'!D23+'25년 시즌'!D26+'25년 시즌'!D26</f>
        <v>60</v>
      </c>
      <c r="F21" s="1">
        <f>+'22년 시즌'!E24+'23년 시즌'!E24+'24년 시즌'!E23+'25년 시즌'!E26+'25년 시즌'!E26</f>
        <v>39</v>
      </c>
      <c r="G21" s="1">
        <f>+'22년 시즌'!F24+'23년 시즌'!F24+'24년 시즌'!F23+'25년 시즌'!F26+'25년 시즌'!F26</f>
        <v>8</v>
      </c>
      <c r="H21" s="1">
        <f>+'22년 시즌'!G24+'23년 시즌'!G24+'24년 시즌'!G23+'25년 시즌'!G26+'25년 시즌'!G26</f>
        <v>8</v>
      </c>
      <c r="I21" s="1">
        <f>+'22년 시즌'!H24+'23년 시즌'!H24+'24년 시즌'!H23+'25년 시즌'!H26+'25년 시즌'!H26</f>
        <v>0</v>
      </c>
      <c r="J21" s="1">
        <f>+'22년 시즌'!I24+'23년 시즌'!I24+'24년 시즌'!I23+'25년 시즌'!I26+'25년 시즌'!I26</f>
        <v>0</v>
      </c>
      <c r="K21" s="1">
        <f>+'22년 시즌'!J24+'23년 시즌'!J24+'24년 시즌'!J23+'25년 시즌'!J26+'25년 시즌'!J26</f>
        <v>0</v>
      </c>
      <c r="L21" s="1">
        <f>+'22년 시즌'!K24+'23년 시즌'!K24+'24년 시즌'!K23+'25년 시즌'!K26+'25년 시즌'!K26</f>
        <v>16</v>
      </c>
      <c r="M21" s="1">
        <f>+'22년 시즌'!L24+'23년 시즌'!L24+'24년 시즌'!L23+'25년 시즌'!L26+'25년 시즌'!L26</f>
        <v>5</v>
      </c>
      <c r="N21" s="1">
        <f>+'22년 시즌'!M24+'23년 시즌'!M24+'24년 시즌'!M23+'25년 시즌'!M26+'25년 시즌'!M26</f>
        <v>8</v>
      </c>
      <c r="O21" s="1">
        <f>+'22년 시즌'!N24+'23년 시즌'!N24+'24년 시즌'!N23+'25년 시즌'!N26+'25년 시즌'!N26</f>
        <v>14</v>
      </c>
      <c r="P21" s="1">
        <f>+'22년 시즌'!O24+'23년 시즌'!O24+'24년 시즌'!O23+'25년 시즌'!O26+'25년 시즌'!O26</f>
        <v>9</v>
      </c>
      <c r="Q21" s="136">
        <f t="shared" si="6"/>
        <v>0.15</v>
      </c>
      <c r="R21" s="46">
        <f t="shared" si="7"/>
        <v>0.20512820512820512</v>
      </c>
      <c r="S21" s="28">
        <f t="shared" si="8"/>
        <v>0.36666666666666664</v>
      </c>
      <c r="T21" s="58">
        <f t="shared" si="9"/>
        <v>0.57179487179487176</v>
      </c>
      <c r="Y21" s="146">
        <v>8</v>
      </c>
      <c r="Z21" s="144" t="s">
        <v>188</v>
      </c>
      <c r="AA21" s="144" t="s">
        <v>198</v>
      </c>
      <c r="AB21" s="144" t="s">
        <v>188</v>
      </c>
      <c r="AC21" s="144" t="s">
        <v>207</v>
      </c>
      <c r="AE21" s="147">
        <v>8</v>
      </c>
      <c r="AF21" s="73" t="s">
        <v>188</v>
      </c>
      <c r="AG21" s="73" t="s">
        <v>198</v>
      </c>
      <c r="AH21" s="73" t="s">
        <v>222</v>
      </c>
      <c r="AI21" s="73" t="s">
        <v>221</v>
      </c>
    </row>
    <row r="22" spans="1:35" ht="17.25" x14ac:dyDescent="0.3">
      <c r="A22" s="11" t="s">
        <v>10</v>
      </c>
      <c r="B22" s="11"/>
      <c r="C22" s="27"/>
      <c r="D22" s="26">
        <f t="shared" ref="D22" si="10">+G22/F22</f>
        <v>0.41398446170921199</v>
      </c>
      <c r="E22" s="27">
        <f t="shared" ref="E22:P22" si="11">SUM(E4:E21)</f>
        <v>2269</v>
      </c>
      <c r="F22" s="27">
        <f t="shared" si="11"/>
        <v>1802</v>
      </c>
      <c r="G22" s="27">
        <f t="shared" si="11"/>
        <v>746</v>
      </c>
      <c r="H22" s="27">
        <f t="shared" si="11"/>
        <v>536</v>
      </c>
      <c r="I22" s="27">
        <f t="shared" si="11"/>
        <v>161</v>
      </c>
      <c r="J22" s="27">
        <f t="shared" si="11"/>
        <v>37</v>
      </c>
      <c r="K22" s="27">
        <f t="shared" si="11"/>
        <v>16</v>
      </c>
      <c r="L22" s="27">
        <f t="shared" si="11"/>
        <v>744</v>
      </c>
      <c r="M22" s="27">
        <f t="shared" si="11"/>
        <v>627</v>
      </c>
      <c r="N22" s="27">
        <f t="shared" si="11"/>
        <v>542</v>
      </c>
      <c r="O22" s="27">
        <f t="shared" si="11"/>
        <v>408</v>
      </c>
      <c r="P22" s="27">
        <f t="shared" si="11"/>
        <v>321</v>
      </c>
      <c r="Q22" s="29">
        <f t="shared" ref="Q22" si="12">+P22/E22</f>
        <v>0.14147201410312912</v>
      </c>
      <c r="R22" s="26">
        <f t="shared" ref="R22" si="13">+(H22*1+I22*2+J22*3+K22*4)/F22</f>
        <v>0.57325194228634846</v>
      </c>
      <c r="S22" s="26">
        <f t="shared" ref="S22" si="14">+(G22+O22)/E22</f>
        <v>0.50859409431467606</v>
      </c>
      <c r="T22" s="68">
        <f t="shared" ref="T22" si="15">+S22+R22</f>
        <v>1.0818460366010245</v>
      </c>
      <c r="Y22" s="146">
        <v>9</v>
      </c>
      <c r="Z22" s="144" t="s">
        <v>189</v>
      </c>
      <c r="AA22" s="144" t="s">
        <v>199</v>
      </c>
      <c r="AB22" s="144" t="s">
        <v>182</v>
      </c>
      <c r="AC22" s="144" t="s">
        <v>208</v>
      </c>
    </row>
    <row r="24" spans="1:35" ht="17.25" x14ac:dyDescent="0.3">
      <c r="A24" s="4" t="s">
        <v>3</v>
      </c>
      <c r="B24" s="4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Y24" s="142" t="s">
        <v>209</v>
      </c>
    </row>
    <row r="25" spans="1:35" ht="34.5" x14ac:dyDescent="0.3">
      <c r="A25" s="10" t="s">
        <v>27</v>
      </c>
      <c r="B25" s="10"/>
      <c r="C25" s="10" t="s">
        <v>46</v>
      </c>
      <c r="D25" s="10" t="s">
        <v>55</v>
      </c>
      <c r="E25" s="10" t="s">
        <v>41</v>
      </c>
      <c r="F25" s="10" t="s">
        <v>48</v>
      </c>
      <c r="G25" s="10" t="s">
        <v>45</v>
      </c>
      <c r="H25" s="10" t="s">
        <v>38</v>
      </c>
      <c r="I25" s="10" t="s">
        <v>5</v>
      </c>
      <c r="J25" s="10" t="s">
        <v>17</v>
      </c>
      <c r="K25" s="10" t="s">
        <v>26</v>
      </c>
      <c r="L25" s="10" t="s">
        <v>30</v>
      </c>
      <c r="M25" s="10" t="s">
        <v>11</v>
      </c>
      <c r="N25" s="10" t="s">
        <v>6</v>
      </c>
      <c r="O25" s="10" t="s">
        <v>42</v>
      </c>
      <c r="P25" s="10" t="s">
        <v>35</v>
      </c>
      <c r="Q25" s="10" t="s">
        <v>49</v>
      </c>
      <c r="R25" s="10" t="s">
        <v>56</v>
      </c>
      <c r="S25" s="10" t="s">
        <v>66</v>
      </c>
      <c r="T25" s="10" t="s">
        <v>67</v>
      </c>
      <c r="Y25" s="184" t="s">
        <v>179</v>
      </c>
      <c r="Z25" s="186" t="s">
        <v>176</v>
      </c>
      <c r="AA25" s="187"/>
      <c r="AB25" s="188" t="s">
        <v>177</v>
      </c>
      <c r="AC25" s="188"/>
    </row>
    <row r="26" spans="1:35" ht="17.25" x14ac:dyDescent="0.3">
      <c r="A26" s="9" t="s">
        <v>59</v>
      </c>
      <c r="B26" s="9"/>
      <c r="C26" s="1">
        <f>+'22년 시즌'!B29+'23년 시즌'!B29+'24년 시즌'!B28+'25년 시즌'!B31</f>
        <v>26</v>
      </c>
      <c r="D26" s="1">
        <f>+'22년 시즌'!C29+'23년 시즌'!C29+'24년 시즌'!C28+'25년 시즌'!C31</f>
        <v>4</v>
      </c>
      <c r="E26" s="1">
        <f>+'22년 시즌'!D29+'23년 시즌'!D29+'24년 시즌'!D28+'25년 시즌'!D31</f>
        <v>2</v>
      </c>
      <c r="F26" s="1">
        <f>+'22년 시즌'!E29+'23년 시즌'!E29+'24년 시즌'!E28+'25년 시즌'!E31</f>
        <v>0</v>
      </c>
      <c r="G26" s="1">
        <f>+'22년 시즌'!F29+'23년 시즌'!F29+'24년 시즌'!F28+'25년 시즌'!F31</f>
        <v>280</v>
      </c>
      <c r="H26" s="1">
        <f>+'22년 시즌'!G29+'23년 시즌'!G29+'24년 시즌'!G28+'25년 시즌'!G31</f>
        <v>189</v>
      </c>
      <c r="I26" s="6">
        <f>+'22년 시즌'!H29+'23년 시즌'!H29+'24년 시즌'!H28+'25년 시즌'!H31</f>
        <v>36.999659999329999</v>
      </c>
      <c r="J26" s="1">
        <f>+'22년 시즌'!I29+'23년 시즌'!I29+'24년 시즌'!I28+'25년 시즌'!I31</f>
        <v>71</v>
      </c>
      <c r="K26" s="1">
        <f>+'22년 시즌'!J29+'23년 시즌'!J29+'24년 시즌'!J28+'25년 시즌'!J31</f>
        <v>1</v>
      </c>
      <c r="L26" s="1">
        <f>+'22년 시즌'!K29+'23년 시즌'!K29+'24년 시즌'!K28+'25년 시즌'!K31</f>
        <v>76</v>
      </c>
      <c r="M26" s="1">
        <f>+'22년 시즌'!L29+'23년 시즌'!L29+'24년 시즌'!L28+'25년 시즌'!L31</f>
        <v>13</v>
      </c>
      <c r="N26" s="1">
        <f>+'22년 시즌'!M29+'23년 시즌'!M29+'24년 시즌'!M28+'25년 시즌'!M31</f>
        <v>28</v>
      </c>
      <c r="O26" s="1">
        <f>+'22년 시즌'!N29+'23년 시즌'!N29+'24년 시즌'!N28+'25년 시즌'!N31</f>
        <v>104</v>
      </c>
      <c r="P26" s="1">
        <f>+'22년 시즌'!O29+'23년 시즌'!O29+'24년 시즌'!O28+'25년 시즌'!O31</f>
        <v>73</v>
      </c>
      <c r="Q26" s="3">
        <f>+P26*9/I26</f>
        <v>17.756919928774945</v>
      </c>
      <c r="R26" s="38">
        <f>(L26+M26)/I26</f>
        <v>2.4054275093774278</v>
      </c>
      <c r="S26" s="39">
        <f>J26/I26</f>
        <v>1.9189365524246895</v>
      </c>
      <c r="T26" s="39">
        <f>I26/C26</f>
        <v>1.4230638461280769</v>
      </c>
      <c r="Y26" s="185"/>
      <c r="Z26" s="145" t="s">
        <v>180</v>
      </c>
      <c r="AA26" s="145" t="s">
        <v>181</v>
      </c>
      <c r="AB26" s="145" t="s">
        <v>180</v>
      </c>
      <c r="AC26" s="145" t="s">
        <v>181</v>
      </c>
    </row>
    <row r="27" spans="1:35" ht="17.25" x14ac:dyDescent="0.3">
      <c r="A27" s="9" t="s">
        <v>51</v>
      </c>
      <c r="B27" s="9"/>
      <c r="C27" s="1">
        <f>+'22년 시즌'!B31+'23년 시즌'!B31+'24년 시즌'!B30+'25년 시즌'!B33</f>
        <v>24</v>
      </c>
      <c r="D27" s="1">
        <f>+'22년 시즌'!C31+'23년 시즌'!C31+'24년 시즌'!C30+'25년 시즌'!C33</f>
        <v>4</v>
      </c>
      <c r="E27" s="1">
        <f>+'22년 시즌'!D31+'23년 시즌'!D31+'24년 시즌'!D30+'25년 시즌'!D33</f>
        <v>8</v>
      </c>
      <c r="F27" s="1">
        <f>+'22년 시즌'!E31+'23년 시즌'!E31+'24년 시즌'!E30+'25년 시즌'!E33</f>
        <v>0</v>
      </c>
      <c r="G27" s="1">
        <f>+'22년 시즌'!F31+'23년 시즌'!F31+'24년 시즌'!F30+'25년 시즌'!F33</f>
        <v>298</v>
      </c>
      <c r="H27" s="1">
        <f>+'22년 시즌'!G31+'23년 시즌'!G31+'24년 시즌'!G30+'25년 시즌'!G33</f>
        <v>215</v>
      </c>
      <c r="I27" s="6">
        <f>+'22년 시즌'!H31+'23년 시즌'!H31+'24년 시즌'!H30+'25년 시즌'!H33</f>
        <v>35.666632996666664</v>
      </c>
      <c r="J27" s="1">
        <f>+'22년 시즌'!I31+'23년 시즌'!I31+'24년 시즌'!I30+'25년 시즌'!I33</f>
        <v>77</v>
      </c>
      <c r="K27" s="1">
        <f>+'22년 시즌'!J31+'23년 시즌'!J31+'24년 시즌'!J30+'25년 시즌'!J33</f>
        <v>4</v>
      </c>
      <c r="L27" s="1">
        <f>+'22년 시즌'!K31+'23년 시즌'!K31+'24년 시즌'!K30+'25년 시즌'!K33</f>
        <v>69</v>
      </c>
      <c r="M27" s="1">
        <f>+'22년 시즌'!L31+'23년 시즌'!L31+'24년 시즌'!L30+'25년 시즌'!L33</f>
        <v>12</v>
      </c>
      <c r="N27" s="1">
        <f>+'22년 시즌'!M31+'23년 시즌'!M31+'24년 시즌'!M30+'25년 시즌'!M33</f>
        <v>42</v>
      </c>
      <c r="O27" s="1">
        <f>+'22년 시즌'!N31+'23년 시즌'!N31+'24년 시즌'!N30+'25년 시즌'!N33</f>
        <v>130</v>
      </c>
      <c r="P27" s="1">
        <f>+'22년 시즌'!O31+'23년 시즌'!O31+'24년 시즌'!O30+'25년 시즌'!O33</f>
        <v>78</v>
      </c>
      <c r="Q27" s="3">
        <f t="shared" ref="Q27:Q31" si="16">+P27*9/I27</f>
        <v>19.682261571077024</v>
      </c>
      <c r="R27" s="38">
        <f>(L27+M27)/I27</f>
        <v>2.271030181278118</v>
      </c>
      <c r="S27" s="39">
        <f>J27/I27</f>
        <v>2.1588805426964828</v>
      </c>
      <c r="T27" s="39">
        <f>I27/C27</f>
        <v>1.4861097081944443</v>
      </c>
      <c r="Y27" s="147">
        <v>1</v>
      </c>
      <c r="Z27" s="73" t="s">
        <v>187</v>
      </c>
      <c r="AA27" s="73" t="s">
        <v>197</v>
      </c>
      <c r="AB27" s="73" t="s">
        <v>182</v>
      </c>
      <c r="AC27" s="73" t="s">
        <v>191</v>
      </c>
    </row>
    <row r="28" spans="1:35" ht="17.25" x14ac:dyDescent="0.3">
      <c r="A28" s="9" t="s">
        <v>15</v>
      </c>
      <c r="B28" s="9"/>
      <c r="C28" s="1">
        <f>+'22년 시즌'!B32+'23년 시즌'!B32+'24년 시즌'!B31+'25년 시즌'!B34</f>
        <v>42</v>
      </c>
      <c r="D28" s="1">
        <f>+'22년 시즌'!C32+'23년 시즌'!C32+'24년 시즌'!C31+'25년 시즌'!C34</f>
        <v>13</v>
      </c>
      <c r="E28" s="1">
        <f>+'22년 시즌'!D32+'23년 시즌'!D32+'24년 시즌'!D31+'25년 시즌'!D34</f>
        <v>8</v>
      </c>
      <c r="F28" s="1">
        <f>+'22년 시즌'!E32+'23년 시즌'!E32+'24년 시즌'!E31+'25년 시즌'!E34</f>
        <v>2</v>
      </c>
      <c r="G28" s="1">
        <f>+'22년 시즌'!F32+'23년 시즌'!F32+'24년 시즌'!F31+'25년 시즌'!F34</f>
        <v>569</v>
      </c>
      <c r="H28" s="1">
        <f>+'22년 시즌'!G32+'23년 시즌'!G32+'24년 시즌'!G31+'25년 시즌'!G34</f>
        <v>467</v>
      </c>
      <c r="I28" s="6">
        <f>+'22년 시즌'!H32+'23년 시즌'!H32+'24년 시즌'!H31+'25년 시즌'!H34</f>
        <v>99.999933233329998</v>
      </c>
      <c r="J28" s="1">
        <f>+'22년 시즌'!I32+'23년 시즌'!I32+'24년 시즌'!I31+'25년 시즌'!I34</f>
        <v>141</v>
      </c>
      <c r="K28" s="1">
        <f>+'22년 시즌'!J32+'23년 시즌'!J32+'24년 시즌'!J31+'25년 시즌'!J34</f>
        <v>2</v>
      </c>
      <c r="L28" s="1">
        <f>+'22년 시즌'!K32+'23년 시즌'!K32+'24년 시즌'!K31+'25년 시즌'!K34</f>
        <v>89</v>
      </c>
      <c r="M28" s="1">
        <f>+'22년 시즌'!L32+'23년 시즌'!L32+'24년 시즌'!L31+'25년 시즌'!L34</f>
        <v>18</v>
      </c>
      <c r="N28" s="1">
        <f>+'22년 시즌'!M32+'23년 시즌'!M32+'24년 시즌'!M31+'25년 시즌'!M34</f>
        <v>132</v>
      </c>
      <c r="O28" s="1">
        <f>+'22년 시즌'!N32+'23년 시즌'!N32+'24년 시즌'!N31+'25년 시즌'!N34</f>
        <v>151</v>
      </c>
      <c r="P28" s="1">
        <f>+'22년 시즌'!O32+'23년 시즌'!O32+'24년 시즌'!O31+'25년 시즌'!O34</f>
        <v>95</v>
      </c>
      <c r="Q28" s="3">
        <f t="shared" si="16"/>
        <v>8.5500057085540959</v>
      </c>
      <c r="R28" s="38">
        <f>(L28+M28)/I28</f>
        <v>1.0700007144038459</v>
      </c>
      <c r="S28" s="39">
        <f>J28/I28</f>
        <v>1.4100009414106756</v>
      </c>
      <c r="T28" s="39">
        <f>I28/C28</f>
        <v>2.3809507912697621</v>
      </c>
      <c r="Y28" s="147">
        <v>2</v>
      </c>
      <c r="Z28" s="73" t="s">
        <v>186</v>
      </c>
      <c r="AA28" s="73" t="s">
        <v>195</v>
      </c>
      <c r="AB28" s="73" t="s">
        <v>187</v>
      </c>
      <c r="AC28" s="73" t="s">
        <v>201</v>
      </c>
    </row>
    <row r="29" spans="1:35" ht="17.25" x14ac:dyDescent="0.3">
      <c r="A29" s="9" t="s">
        <v>47</v>
      </c>
      <c r="B29" s="9"/>
      <c r="C29" s="1">
        <f>+'22년 시즌'!B35+'23년 시즌'!B35+'24년 시즌'!B36+'25년 시즌'!B40</f>
        <v>8</v>
      </c>
      <c r="D29" s="1">
        <f>+'22년 시즌'!C35+'23년 시즌'!C35+'24년 시즌'!C36+'25년 시즌'!C40</f>
        <v>2</v>
      </c>
      <c r="E29" s="1">
        <f>+'22년 시즌'!D35+'23년 시즌'!D35+'24년 시즌'!D36+'25년 시즌'!D40</f>
        <v>2</v>
      </c>
      <c r="F29" s="1">
        <f>+'22년 시즌'!E35+'23년 시즌'!E35+'24년 시즌'!E36+'25년 시즌'!E40</f>
        <v>1</v>
      </c>
      <c r="G29" s="1">
        <f>+'22년 시즌'!F35+'23년 시즌'!F35+'24년 시즌'!F36+'25년 시즌'!F40</f>
        <v>102</v>
      </c>
      <c r="H29" s="1">
        <f>+'22년 시즌'!G35+'23년 시즌'!G35+'24년 시즌'!G36+'25년 시즌'!G40</f>
        <v>55</v>
      </c>
      <c r="I29" s="6">
        <f>+'22년 시즌'!H35+'23년 시즌'!H35+'24년 시즌'!H36+'25년 시즌'!H40</f>
        <v>13.666633329933001</v>
      </c>
      <c r="J29" s="1">
        <f>+'22년 시즌'!I35+'23년 시즌'!I35+'24년 시즌'!I36+'25년 시즌'!I40</f>
        <v>16</v>
      </c>
      <c r="K29" s="1">
        <f>+'22년 시즌'!J35+'23년 시즌'!J35+'24년 시즌'!J36+'25년 시즌'!J40</f>
        <v>1</v>
      </c>
      <c r="L29" s="1">
        <f>+'22년 시즌'!K35+'23년 시즌'!K35+'24년 시즌'!K36+'25년 시즌'!K40</f>
        <v>45</v>
      </c>
      <c r="M29" s="1">
        <f>+'22년 시즌'!L35+'23년 시즌'!L35+'24년 시즌'!L36+'25년 시즌'!L40</f>
        <v>1</v>
      </c>
      <c r="N29" s="1">
        <f>+'22년 시즌'!M35+'23년 시즌'!M35+'24년 시즌'!M36+'25년 시즌'!M40</f>
        <v>13</v>
      </c>
      <c r="O29" s="1">
        <f>+'22년 시즌'!N35+'23년 시즌'!N35+'24년 시즌'!N36+'25년 시즌'!N40</f>
        <v>36</v>
      </c>
      <c r="P29" s="1">
        <f>+'22년 시즌'!O35+'23년 시즌'!O35+'24년 시즌'!O36+'25년 시즌'!O40</f>
        <v>21</v>
      </c>
      <c r="Q29" s="3">
        <f t="shared" si="16"/>
        <v>13.829302026128666</v>
      </c>
      <c r="R29" s="38">
        <f>(L29+M29)/I29</f>
        <v>3.3658618687932202</v>
      </c>
      <c r="S29" s="39">
        <f>J29/I29</f>
        <v>1.1707345630585113</v>
      </c>
      <c r="T29" s="39">
        <f>I29/C29</f>
        <v>1.7083291662416251</v>
      </c>
      <c r="Y29" s="147">
        <v>3</v>
      </c>
      <c r="Z29" s="73" t="s">
        <v>183</v>
      </c>
      <c r="AA29" s="73" t="s">
        <v>192</v>
      </c>
      <c r="AB29" s="73" t="s">
        <v>184</v>
      </c>
      <c r="AC29" s="73" t="s">
        <v>204</v>
      </c>
    </row>
    <row r="30" spans="1:35" ht="17.25" x14ac:dyDescent="0.3">
      <c r="A30" s="9" t="s">
        <v>22</v>
      </c>
      <c r="B30" s="9"/>
      <c r="C30" s="1">
        <f>+'22년 시즌'!B36+'23년 시즌'!B36+'24년 시즌'!B37+'25년 시즌'!B41</f>
        <v>38</v>
      </c>
      <c r="D30" s="1">
        <f>+'22년 시즌'!C36+'23년 시즌'!C36+'24년 시즌'!C37+'25년 시즌'!C41</f>
        <v>8</v>
      </c>
      <c r="E30" s="1">
        <f>+'22년 시즌'!D36+'23년 시즌'!D36+'24년 시즌'!D37+'25년 시즌'!D41</f>
        <v>11</v>
      </c>
      <c r="F30" s="1">
        <f>+'22년 시즌'!E36+'23년 시즌'!E36+'24년 시즌'!E37+'25년 시즌'!E41</f>
        <v>3</v>
      </c>
      <c r="G30" s="1">
        <f>+'22년 시즌'!F36+'23년 시즌'!F36+'24년 시즌'!F37+'25년 시즌'!F41</f>
        <v>550</v>
      </c>
      <c r="H30" s="1">
        <f>+'22년 시즌'!G36+'23년 시즌'!G36+'24년 시즌'!G37+'25년 시즌'!G41</f>
        <v>397</v>
      </c>
      <c r="I30" s="6">
        <f>+'22년 시즌'!H36+'23년 시즌'!H36+'24년 시즌'!H37+'25년 시즌'!H41</f>
        <v>81.666632983</v>
      </c>
      <c r="J30" s="1">
        <f>+'22년 시즌'!I36+'23년 시즌'!I36+'24년 시즌'!I37+'25년 시즌'!I41</f>
        <v>133</v>
      </c>
      <c r="K30" s="1">
        <f>+'22년 시즌'!J36+'23년 시즌'!J36+'24년 시즌'!J37+'25년 시즌'!J41</f>
        <v>1</v>
      </c>
      <c r="L30" s="1">
        <f>+'22년 시즌'!K36+'23년 시즌'!K36+'24년 시즌'!K37+'25년 시즌'!K41</f>
        <v>123</v>
      </c>
      <c r="M30" s="1">
        <f>+'22년 시즌'!L36+'23년 시즌'!L36+'24년 시즌'!L37+'25년 시즌'!L41</f>
        <v>25</v>
      </c>
      <c r="N30" s="1">
        <f>+'22년 시즌'!M36+'23년 시즌'!M36+'24년 시즌'!M37+'25년 시즌'!M41</f>
        <v>131</v>
      </c>
      <c r="O30" s="1">
        <f>+'22년 시즌'!N36+'23년 시즌'!N36+'24년 시즌'!N37+'25년 시즌'!N41</f>
        <v>183</v>
      </c>
      <c r="P30" s="1">
        <f>+'22년 시즌'!O36+'23년 시즌'!O36+'24년 시즌'!O37+'25년 시즌'!O41</f>
        <v>130</v>
      </c>
      <c r="Q30" s="3">
        <f t="shared" si="16"/>
        <v>14.326536521268743</v>
      </c>
      <c r="R30" s="38">
        <f>(L30+M30)/I30</f>
        <v>1.8122456454254479</v>
      </c>
      <c r="S30" s="39">
        <f>J30/I30</f>
        <v>1.6285721002809768</v>
      </c>
      <c r="T30" s="39">
        <f>I30/C30</f>
        <v>2.1491219206052632</v>
      </c>
      <c r="Y30" s="147">
        <v>4</v>
      </c>
      <c r="Z30" s="73" t="s">
        <v>185</v>
      </c>
      <c r="AA30" s="73" t="s">
        <v>202</v>
      </c>
      <c r="AB30" s="73" t="s">
        <v>182</v>
      </c>
      <c r="AC30" s="73" t="s">
        <v>193</v>
      </c>
    </row>
    <row r="31" spans="1:35" ht="17.25" x14ac:dyDescent="0.3">
      <c r="A31" s="11" t="s">
        <v>10</v>
      </c>
      <c r="B31" s="11"/>
      <c r="C31" s="11">
        <f t="shared" ref="C31:P31" si="17">SUM(C26:C30)</f>
        <v>138</v>
      </c>
      <c r="D31" s="11">
        <f t="shared" si="17"/>
        <v>31</v>
      </c>
      <c r="E31" s="11">
        <f t="shared" si="17"/>
        <v>31</v>
      </c>
      <c r="F31" s="11">
        <f t="shared" si="17"/>
        <v>6</v>
      </c>
      <c r="G31" s="11">
        <f t="shared" si="17"/>
        <v>1799</v>
      </c>
      <c r="H31" s="11">
        <f t="shared" si="17"/>
        <v>1323</v>
      </c>
      <c r="I31" s="15">
        <f t="shared" si="17"/>
        <v>267.99949254225965</v>
      </c>
      <c r="J31" s="11">
        <f t="shared" si="17"/>
        <v>438</v>
      </c>
      <c r="K31" s="11">
        <f t="shared" si="17"/>
        <v>9</v>
      </c>
      <c r="L31" s="11">
        <f t="shared" si="17"/>
        <v>402</v>
      </c>
      <c r="M31" s="11">
        <f t="shared" si="17"/>
        <v>69</v>
      </c>
      <c r="N31" s="11">
        <f t="shared" si="17"/>
        <v>346</v>
      </c>
      <c r="O31" s="11">
        <f t="shared" si="17"/>
        <v>604</v>
      </c>
      <c r="P31" s="11">
        <f t="shared" si="17"/>
        <v>397</v>
      </c>
      <c r="Q31" s="16">
        <f t="shared" si="16"/>
        <v>13.332114796585257</v>
      </c>
      <c r="R31" s="34">
        <f t="shared" ref="R31" si="18">(L31+M31)/I31</f>
        <v>1.7574660143273597</v>
      </c>
      <c r="S31" s="35">
        <f t="shared" ref="S31" si="19">J31/I31</f>
        <v>1.6343314528139778</v>
      </c>
      <c r="T31" s="35">
        <f t="shared" ref="T31" si="20">I31/C31</f>
        <v>1.9420253082772438</v>
      </c>
      <c r="Y31" s="147">
        <v>5</v>
      </c>
      <c r="Z31" s="73" t="s">
        <v>182</v>
      </c>
      <c r="AA31" s="73" t="s">
        <v>206</v>
      </c>
      <c r="AB31" s="73" t="s">
        <v>185</v>
      </c>
      <c r="AC31" s="73" t="s">
        <v>194</v>
      </c>
    </row>
    <row r="32" spans="1:35" x14ac:dyDescent="0.3">
      <c r="Y32" s="147">
        <v>6</v>
      </c>
      <c r="Z32" s="73" t="s">
        <v>184</v>
      </c>
      <c r="AA32" s="73" t="s">
        <v>200</v>
      </c>
      <c r="AB32" s="73" t="s">
        <v>186</v>
      </c>
      <c r="AC32" s="73" t="s">
        <v>203</v>
      </c>
    </row>
    <row r="33" spans="2:29" x14ac:dyDescent="0.3">
      <c r="Y33" s="147">
        <v>7</v>
      </c>
      <c r="Z33" s="73" t="s">
        <v>188</v>
      </c>
      <c r="AA33" s="73" t="s">
        <v>198</v>
      </c>
      <c r="AB33" s="73" t="s">
        <v>188</v>
      </c>
      <c r="AC33" s="73" t="s">
        <v>207</v>
      </c>
    </row>
    <row r="34" spans="2:29" x14ac:dyDescent="0.3">
      <c r="Y34" s="147">
        <v>8</v>
      </c>
      <c r="Z34" s="73" t="s">
        <v>189</v>
      </c>
      <c r="AA34" s="73" t="s">
        <v>208</v>
      </c>
      <c r="AB34" s="73" t="s">
        <v>183</v>
      </c>
      <c r="AC34" s="73" t="s">
        <v>196</v>
      </c>
    </row>
    <row r="35" spans="2:29" x14ac:dyDescent="0.3">
      <c r="B35" s="142"/>
      <c r="Y35" s="147">
        <v>9</v>
      </c>
      <c r="Z35" s="73" t="s">
        <v>182</v>
      </c>
      <c r="AA35" s="73" t="s">
        <v>205</v>
      </c>
      <c r="AB35" s="73" t="s">
        <v>189</v>
      </c>
      <c r="AC35" s="73" t="s">
        <v>199</v>
      </c>
    </row>
    <row r="36" spans="2:29" x14ac:dyDescent="0.3">
      <c r="B36" s="142"/>
    </row>
    <row r="37" spans="2:29" x14ac:dyDescent="0.3">
      <c r="B37" s="142"/>
      <c r="C37" s="142"/>
      <c r="Y37" s="142" t="s">
        <v>210</v>
      </c>
    </row>
    <row r="38" spans="2:29" x14ac:dyDescent="0.3">
      <c r="Y38" s="184" t="s">
        <v>179</v>
      </c>
      <c r="Z38" s="186" t="s">
        <v>176</v>
      </c>
      <c r="AA38" s="187"/>
      <c r="AB38" s="188" t="s">
        <v>177</v>
      </c>
      <c r="AC38" s="188"/>
    </row>
    <row r="39" spans="2:29" x14ac:dyDescent="0.3">
      <c r="Y39" s="185"/>
      <c r="Z39" s="145" t="s">
        <v>180</v>
      </c>
      <c r="AA39" s="145" t="s">
        <v>181</v>
      </c>
      <c r="AB39" s="145" t="s">
        <v>180</v>
      </c>
      <c r="AC39" s="145" t="s">
        <v>181</v>
      </c>
    </row>
    <row r="40" spans="2:29" x14ac:dyDescent="0.3">
      <c r="Y40" s="146">
        <v>1</v>
      </c>
      <c r="Z40" s="144" t="s">
        <v>189</v>
      </c>
      <c r="AA40" s="144" t="s">
        <v>208</v>
      </c>
      <c r="AB40" s="144" t="s">
        <v>182</v>
      </c>
      <c r="AC40" s="144" t="s">
        <v>199</v>
      </c>
    </row>
    <row r="41" spans="2:29" x14ac:dyDescent="0.3">
      <c r="Y41" s="146">
        <v>2</v>
      </c>
      <c r="Z41" s="144" t="s">
        <v>186</v>
      </c>
      <c r="AA41" s="144" t="s">
        <v>196</v>
      </c>
      <c r="AB41" s="144" t="s">
        <v>187</v>
      </c>
      <c r="AC41" s="144" t="s">
        <v>201</v>
      </c>
    </row>
    <row r="42" spans="2:29" x14ac:dyDescent="0.3">
      <c r="Y42" s="146">
        <v>3</v>
      </c>
      <c r="Z42" s="144" t="s">
        <v>182</v>
      </c>
      <c r="AA42" s="144" t="s">
        <v>191</v>
      </c>
      <c r="AB42" s="144" t="s">
        <v>185</v>
      </c>
      <c r="AC42" s="144" t="s">
        <v>202</v>
      </c>
    </row>
    <row r="43" spans="2:29" x14ac:dyDescent="0.3">
      <c r="Y43" s="146">
        <v>4</v>
      </c>
      <c r="Z43" s="144" t="s">
        <v>182</v>
      </c>
      <c r="AA43" s="144" t="s">
        <v>193</v>
      </c>
      <c r="AB43" s="144" t="s">
        <v>182</v>
      </c>
      <c r="AC43" s="144" t="s">
        <v>205</v>
      </c>
    </row>
    <row r="44" spans="2:29" x14ac:dyDescent="0.3">
      <c r="Y44" s="146">
        <v>5</v>
      </c>
      <c r="Z44" s="144" t="s">
        <v>185</v>
      </c>
      <c r="AA44" s="144" t="s">
        <v>194</v>
      </c>
      <c r="AB44" s="144" t="s">
        <v>188</v>
      </c>
      <c r="AC44" s="144" t="s">
        <v>203</v>
      </c>
    </row>
    <row r="45" spans="2:29" x14ac:dyDescent="0.3">
      <c r="Y45" s="146">
        <v>6</v>
      </c>
      <c r="Z45" s="144" t="s">
        <v>184</v>
      </c>
      <c r="AA45" s="144" t="s">
        <v>200</v>
      </c>
      <c r="AB45" s="144" t="s">
        <v>183</v>
      </c>
      <c r="AC45" s="144" t="s">
        <v>192</v>
      </c>
    </row>
    <row r="46" spans="2:29" x14ac:dyDescent="0.3">
      <c r="Y46" s="146">
        <v>7</v>
      </c>
      <c r="Z46" s="144" t="s">
        <v>183</v>
      </c>
      <c r="AA46" s="144" t="s">
        <v>206</v>
      </c>
      <c r="AB46" s="144" t="s">
        <v>184</v>
      </c>
      <c r="AC46" s="144" t="s">
        <v>204</v>
      </c>
    </row>
    <row r="47" spans="2:29" x14ac:dyDescent="0.3">
      <c r="Y47" s="146">
        <v>8</v>
      </c>
      <c r="Z47" s="144" t="s">
        <v>187</v>
      </c>
      <c r="AA47" s="144" t="s">
        <v>198</v>
      </c>
      <c r="AB47" s="144" t="s">
        <v>189</v>
      </c>
      <c r="AC47" s="144" t="s">
        <v>197</v>
      </c>
    </row>
    <row r="48" spans="2:29" x14ac:dyDescent="0.3">
      <c r="Y48" s="146">
        <v>9</v>
      </c>
      <c r="Z48" s="144" t="s">
        <v>188</v>
      </c>
      <c r="AA48" s="144" t="s">
        <v>207</v>
      </c>
      <c r="AB48" s="144" t="s">
        <v>186</v>
      </c>
      <c r="AC48" s="144" t="s">
        <v>195</v>
      </c>
    </row>
  </sheetData>
  <mergeCells count="12">
    <mergeCell ref="AE12:AE13"/>
    <mergeCell ref="AF12:AG12"/>
    <mergeCell ref="AH12:AI12"/>
    <mergeCell ref="Y38:Y39"/>
    <mergeCell ref="Z38:AA38"/>
    <mergeCell ref="AB38:AC38"/>
    <mergeCell ref="AB12:AC12"/>
    <mergeCell ref="AB25:AC25"/>
    <mergeCell ref="Z25:AA25"/>
    <mergeCell ref="Y25:Y26"/>
    <mergeCell ref="Y12:Y13"/>
    <mergeCell ref="Z12:AA12"/>
  </mergeCells>
  <phoneticPr fontId="10" type="noConversion"/>
  <conditionalFormatting sqref="Q4:Q21">
    <cfRule type="cellIs" dxfId="0" priority="2" operator="greaterThan">
      <formula>0.3</formula>
    </cfRule>
  </conditionalFormatting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387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통산 성적(~'23)</vt:lpstr>
      <vt:lpstr>통산 성적(~'25)</vt:lpstr>
      <vt:lpstr>시즌별 정리</vt:lpstr>
      <vt:lpstr>통산 성적(~'24) (김희제 포함)</vt:lpstr>
      <vt:lpstr>22년 샘프리그(22')</vt:lpstr>
      <vt:lpstr>22년 드림즈(23')</vt:lpstr>
      <vt:lpstr>23년 상반기 코모도(23')</vt:lpstr>
      <vt:lpstr>23년 디비전 리그(23')</vt:lpstr>
      <vt:lpstr>25년 시즌</vt:lpstr>
      <vt:lpstr>23 서구하반기('24)</vt:lpstr>
      <vt:lpstr>23 下코모도리그('24)</vt:lpstr>
      <vt:lpstr>24 上코모도리그('24)</vt:lpstr>
      <vt:lpstr>24 上디비전리그('24)</vt:lpstr>
      <vt:lpstr>24 下코모도(6-A)('25)</vt:lpstr>
      <vt:lpstr>24 下코모도(6-C)('25)</vt:lpstr>
      <vt:lpstr>25 上코모도(6-BB)('25)</vt:lpstr>
      <vt:lpstr>25 下디비전('26)</vt:lpstr>
      <vt:lpstr>22년 시즌</vt:lpstr>
      <vt:lpstr>23년 시즌</vt:lpstr>
      <vt:lpstr>24년 시즌</vt:lpstr>
      <vt:lpstr>팀짜보기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김재영</dc:creator>
  <cp:lastModifiedBy>재영 김</cp:lastModifiedBy>
  <cp:revision>20</cp:revision>
  <dcterms:created xsi:type="dcterms:W3CDTF">2022-12-25T17:01:42Z</dcterms:created>
  <dcterms:modified xsi:type="dcterms:W3CDTF">2025-11-09T02:52:15Z</dcterms:modified>
  <cp:version>1200.0100.01</cp:version>
</cp:coreProperties>
</file>